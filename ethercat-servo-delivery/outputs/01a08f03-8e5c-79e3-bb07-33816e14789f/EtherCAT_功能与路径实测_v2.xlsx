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85f868d15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牌勾选" sheetId="1" r:id="R1f0ceade3d16493a"/>
    <x:sheet xmlns:r="http://schemas.openxmlformats.org/officeDocument/2006/relationships" name="路径与实测记录" sheetId="2" r:id="R988639cccb984413"/>
    <x:sheet xmlns:r="http://schemas.openxmlformats.org/officeDocument/2006/relationships" name="设备与测试条件" sheetId="3" r:id="Rf5b00c18c6de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"/>
    <x:numFmt numFmtId="202" formatCode="0.0"/>
    <x:numFmt numFmtId="203" formatCode="yyyy-mm-dd"/>
  </x:numFmts>
  <x:fonts count="5">
    <x:font>
      <x:sz val="11"/>
      <x:name val="Carlito"/>
    </x:font>
    <x:font>
      <x:sz val="10"/>
      <x:color rgb="FF253547"/>
      <x:name val="Arial"/>
    </x:font>
    <x:font>
      <x:b/>
      <x:sz val="16"/>
      <x:color rgb="FF25465F"/>
      <x:name val="Arial"/>
    </x:font>
    <x:font>
      <x:sz val="10"/>
      <x:color rgb="FF62748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465F"/>
      </x:patternFill>
    </x:fill>
    <x:fill>
      <x:patternFill patternType="solid">
        <x:fgColor rgb="FFFFF4D5"/>
      </x:patternFill>
    </x:fill>
    <x:fill>
      <x:patternFill patternType="solid">
        <x:fgColor rgb="FFF7F9FB"/>
      </x:patternFill>
    </x:fill>
    <x:fill>
      <x:patternFill patternType="solid">
        <x:fgColor rgb="FFF1F5F8"/>
      </x:patternFill>
    </x:fill>
  </x:fills>
  <x:borders count="6">
    <x:border/>
    <x:border>
      <x:bottom style="thin">
        <x:color rgb="FFCDD7D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medium">
        <x:color rgb="FFCDD7DF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ill>
        <x:patternFill patternType="solid">
          <x:bgColor rgb="FFFBE5E5"/>
        </x:patternFill>
      </x:fill>
    </x:dxf>
    <x:dxf>
      <x:fill>
        <x:patternFill patternType="solid">
          <x:bgColor rgb="FFFFE7B8"/>
        </x:patternFill>
      </x:fill>
    </x:dxf>
    <x:dxf>
      <x:fill>
        <x:patternFill patternType="solid">
          <x:bgColor rgb="FFEEF1F4"/>
        </x:patternFill>
      </x:fill>
    </x:dxf>
    <x:dxf>
      <x:fill>
        <x:patternFill patternType="solid">
          <x:bgColor rgb="FFEDF2F7"/>
        </x:patternFill>
      </x:fill>
    </x:dxf>
    <x:dxf>
      <x:fill>
        <x:patternFill patternType="solid">
          <x:bgColor rgb="FFFFF4D5"/>
        </x:patternFill>
      </x:fill>
    </x:dxf>
    <x:dxf>
      <x:fill>
        <x:patternFill patternType="solid">
          <x:bgColor rgb="FFFBE5E5"/>
        </x:patternFill>
      </x:fill>
    </x:dxf>
    <x:dxf>
      <x:font>
        <x:color rgb="FF942E2E"/>
      </x:font>
      <x:fill>
        <x:patternFill patternType="solid">
          <x:bgColor rgb="FFFBE5E5"/>
        </x:patternFill>
      </x:fill>
    </x:dxf>
    <x:dxf>
      <x:fill>
        <x:patternFill patternType="solid">
          <x:bgColor rgb="FFFBE5E5"/>
        </x:patternFill>
      </x:fill>
    </x:dxf>
    <x:dxf>
      <x:fill>
        <x:patternFill patternType="solid">
          <x:bgColor rgb="FFFBE5E5"/>
        </x:patternFill>
      </x:fill>
    </x:dxf>
    <x:dxf>
      <x:fill>
        <x:patternFill patternType="solid">
          <x:bgColor rgb="FFFBE5E5"/>
        </x:patternFill>
      </x:fill>
    </x:dxf>
    <x:dxf>
      <x:fill>
        <x:patternFill patternType="solid">
          <x:bgColor rgb="FFFB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8bfbbf02a47c8" /><Relationship Type="http://schemas.openxmlformats.org/officeDocument/2006/relationships/theme" Target="/xl/theme/theme1.xml" Id="R97a515ee11d64592" /><Relationship Type="http://schemas.openxmlformats.org/officeDocument/2006/relationships/sharedStrings" Target="/xl/sharedStrings.xml" Id="Rd3aef89171684ad8" /><Relationship Type="http://schemas.openxmlformats.org/officeDocument/2006/relationships/worksheet" Target="/xl/worksheets/sheet1.xml" Id="R1f0ceade3d16493a" /><Relationship Type="http://schemas.openxmlformats.org/officeDocument/2006/relationships/worksheet" Target="/xl/worksheets/sheet2.xml" Id="R988639cccb984413" /><Relationship Type="http://schemas.openxmlformats.org/officeDocument/2006/relationships/worksheet" Target="/xl/worksheets/sheet3.xml" Id="Rf5b00c18c6de4ba5" /></Relationships>
</file>

<file path=xl/tables/table1.xml><?xml version="1.0" encoding="utf-8"?>
<x:table xmlns:x="http://schemas.openxmlformats.org/spreadsheetml/2006/main" id="1" name="FunctionMatrix" displayName="FunctionMatrix" ref="A9:J327" headerRowCount="1" totalsRowCount="0" totalsRowShown="0">
  <x:autoFilter ref="A9:J327"/>
  <x:tableColumns count="10">
    <x:tableColumn id="1" name="PLC组"/>
    <x:tableColumn id="2" name="功能域"/>
    <x:tableColumn id="3" name="编号"/>
    <x:tableColumn id="4" name="功能"/>
    <x:tableColumn id="5" name="覆盖范围"/>
    <x:tableColumn id="6" name="CDHD"/>
    <x:tableColumn id="7" name="台达"/>
    <x:tableColumn id="8" name="繁易"/>
    <x:tableColumn id="9" name="Elmo"/>
    <x:tableColumn id="10" name="KEBA（可选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PathRecords" displayName="PathRecords" ref="A9:U1600" headerRowCount="1" totalsRowCount="0" totalsRowShown="0">
  <x:autoFilter ref="A9:U1600"/>
  <x:tableColumns count="21">
    <x:tableColumn id="1" name="记录编号"/>
    <x:tableColumn id="2" name="设备组合编号"/>
    <x:tableColumn id="3" name="PLC组（自动）"/>
    <x:tableColumn id="4" name="品牌（自动）"/>
    <x:tableColumn id="5" name="功能编号"/>
    <x:tableColumn id="6" name="使用路径组合/实际入口"/>
    <x:tableColumn id="7" name="覆盖分支/条件编号"/>
    <x:tableColumn id="8" name="适用性"/>
    <x:tableColumn id="9" name="适用性依据/阻塞原因"/>
    <x:tableColumn id="10" name="执行状态"/>
    <x:tableColumn id="11" name="能力结果"/>
    <x:tableColumn id="12" name="实际表现/数值/限制"/>
    <x:tableColumn id="13" name="测试人"/>
    <x:tableColumn id="14" name="岗位"/>
    <x:tableColumn id="15" name="测试日期"/>
    <x:tableColumn id="16" name="证据链接/文件编号"/>
    <x:tableColumn id="17" name="遗留问题/复测关联"/>
    <x:tableColumn id="18" name="本组合本功能路径清单"/>
    <x:tableColumn id="19" name="清单确认人"/>
    <x:tableColumn id="20" name="清单确认日期"/>
    <x:tableColumn id="21" name="记录检查（自动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Equipment" displayName="Equipment" ref="A9:L24" headerRowCount="1" totalsRowCount="0" totalsRowShown="0">
  <x:autoFilter ref="A9:L24"/>
  <x:tableColumns count="12">
    <x:tableColumn id="1" name="组合编号"/>
    <x:tableColumn id="2" name="PLC组"/>
    <x:tableColumn id="3" name="驱动品牌"/>
    <x:tableColumn id="4" name="驱动型号"/>
    <x:tableColumn id="5" name="驱动固件"/>
    <x:tableColumn id="6" name="ESI版本/校验标识"/>
    <x:tableColumn id="7" name="PLC CPU/主站型号"/>
    <x:tableColumn id="8" name="PLC固件"/>
    <x:tableColumn id="9" name="工程软件版本"/>
    <x:tableColumn id="10" name="运行时/运动库版本"/>
    <x:tableColumn id="11" name="基线归档/资料位置"/>
    <x:tableColumn id="12" name="登记状态（自动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onditions" displayName="Conditions" ref="A28:H43" headerRowCount="1" totalsRowCount="0" totalsRowShown="0">
  <x:autoFilter ref="A28:H43"/>
  <x:tableColumns count="8">
    <x:tableColumn id="1" name="组合编号"/>
    <x:tableColumn id="2" name="测试条件编号"/>
    <x:tableColumn id="3" name="总线周期（ms）"/>
    <x:tableColumn id="4" name="模式/PDO/轴数/拓扑/负载/接线"/>
    <x:tableColumn id="5" name="持续运行（h）"/>
    <x:tableColumn id="6" name="重复次数"/>
    <x:tableColumn id="7" name="判据文件/版本"/>
    <x:tableColumn id="8" name="测量设备/采样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a19dacfc3b40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75c3dc48dd49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2f4d5aa6fc4b13" /><Relationship Type="http://schemas.openxmlformats.org/officeDocument/2006/relationships/table" Target="/xl/tables/table4.xml" Id="R39ba9ed30c774092" /></Relationships>
</file>

<file path=xl/worksheets/sheet1.xml><?xml version="1.0" encoding="utf-8"?>
<x:worksheet xmlns:x="http://schemas.openxmlformats.org/spreadsheetml/2006/main">
  <x:sheetPr>
    <x:tabColor rgb="FF25465F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4.5" hidden="0" customWidth="1"/>
    <x:col min="2" max="2" width="22.5" hidden="0" customWidth="1"/>
    <x:col min="3" max="3" width="8.75" hidden="0" customWidth="1"/>
    <x:col min="4" max="4" width="27.75" hidden="0" customWidth="1"/>
    <x:col min="5" max="5" width="58.13000106811523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.2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.5" customHeight="1">
      <x:c r="A2" s="3" t="str">
        <x:v>EtherCAT 功能与品牌实测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1" customHeight="1">
      <x:c r="A4" s="5" t="str">
        <x:v>106项功能 × 3组PLC。黄色为填写区；筛选PLC或功能域查看。具体型号、版本见设备组合。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1" customHeight="1">
      <x:c r="A5" s="5" t="str">
        <x:v>勾选由工程师确认：全部设备组合及适用路径/分支测完且证据齐全，才记已实测；不等于功能达标。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1" customHeight="1">
      <x:c r="A6" s="5" t="str">
        <x:v>记录齐全数按实测记录行统计，不代表功能覆盖完成。KEBA可选；缺台架记阻塞，不算不适用。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21" customHeight="1">
      <x:c r="A7" s="2"/>
      <x:c r="B7" s="2"/>
      <x:c r="C7" s="2"/>
      <x:c r="D7" s="2"/>
      <x:c r="E7" s="2" t="str">
        <x:v>已勾选功能行数</x:v>
      </x:c>
      <x:c r="F7" s="7" t="n">
        <x:f>COUNTIFS(F10:F327,"☑ 已实测")</x:f>
        <x:v>0</x:v>
      </x:c>
      <x:c r="G7" s="7" t="n">
        <x:f>COUNTIFS(G10:G327,"☑ 已实测")</x:f>
        <x:v>0</x:v>
      </x:c>
      <x:c r="H7" s="7" t="n">
        <x:f>COUNTIFS(H10:H327,"☑ 已实测")</x:f>
        <x:v>0</x:v>
      </x:c>
      <x:c r="I7" s="7" t="n">
        <x:f>COUNTIFS(I10:I327,"☑ 已实测")</x:f>
        <x:v>0</x:v>
      </x:c>
      <x:c r="J7" s="7" t="n">
        <x:f>COUNTIFS(J10:J327,"☑ 已实测")</x:f>
        <x:v>0</x:v>
      </x:c>
    </x:row>
    <x:row r="8" ht="21" customHeight="1">
      <x:c r="A8" s="2"/>
      <x:c r="B8" s="2"/>
      <x:c r="C8" s="2"/>
      <x:c r="D8" s="2"/>
      <x:c r="E8" s="2" t="str">
        <x:v>实测记录齐全行数</x:v>
      </x:c>
      <x:c r="F8" s="7" t="n">
        <x:f>COUNTIFS(PathRecords[品牌（自动）],F$9,PathRecords[记录检查（自动）],"记录齐全")</x:f>
        <x:v>0</x:v>
      </x:c>
      <x:c r="G8" s="7" t="n">
        <x:f>COUNTIFS(PathRecords[品牌（自动）],G$9,PathRecords[记录检查（自动）],"记录齐全")</x:f>
        <x:v>0</x:v>
      </x:c>
      <x:c r="H8" s="7" t="n">
        <x:f>COUNTIFS(PathRecords[品牌（自动）],H$9,PathRecords[记录检查（自动）],"记录齐全")</x:f>
        <x:v>0</x:v>
      </x:c>
      <x:c r="I8" s="7" t="n">
        <x:f>COUNTIFS(PathRecords[品牌（自动）],I$9,PathRecords[记录检查（自动）],"记录齐全")</x:f>
        <x:v>0</x:v>
      </x:c>
      <x:c r="J8" s="7" t="n">
        <x:f>COUNTIFS(PathRecords[品牌（自动）],J$9,PathRecords[记录检查（自动）],"记录齐全")</x:f>
        <x:v>0</x:v>
      </x:c>
    </x:row>
    <x:row r="9" ht="33" customHeight="1">
      <x:c r="A9" s="16" t="str">
        <x:v>PLC组</x:v>
      </x:c>
      <x:c r="B9" s="17" t="str">
        <x:v>功能域</x:v>
      </x:c>
      <x:c r="C9" s="17" t="str">
        <x:v>编号</x:v>
      </x:c>
      <x:c r="D9" s="17" t="str">
        <x:v>功能</x:v>
      </x:c>
      <x:c r="E9" s="17" t="str">
        <x:v>覆盖范围</x:v>
      </x:c>
      <x:c r="F9" s="17" t="str">
        <x:v>CDHD</x:v>
      </x:c>
      <x:c r="G9" s="17" t="str">
        <x:v>台达</x:v>
      </x:c>
      <x:c r="H9" s="17" t="str">
        <x:v>繁易</x:v>
      </x:c>
      <x:c r="I9" s="17" t="str">
        <x:v>Elmo</x:v>
      </x:c>
      <x:c r="J9" s="18" t="str">
        <x:v>KEBA（可选）</x:v>
      </x:c>
    </x:row>
    <x:row r="10" ht="51" customHeight="1">
      <x:c r="A10" s="22" t="str">
        <x:v>汇川小型</x:v>
      </x:c>
      <x:c r="B10" s="22" t="str">
        <x:v>控制模式及模式切换</x:v>
      </x:c>
      <x:c r="C10" s="22" t="str">
        <x:v>M01</x:v>
      </x:c>
      <x:c r="D10" s="22" t="str">
        <x:v>CSP：周期同步位置</x:v>
      </x:c>
      <x:c r="E10" s="22" t="str">
        <x:v>周期位置目标跟随、连续运动、位置偏置／前馈能力（如支持）</x:v>
      </x:c>
      <x:c r="F10" s="23" t="str">
        <x:v>☐ 未测试</x:v>
      </x:c>
      <x:c r="G10" s="23" t="str">
        <x:v>☐ 未测试</x:v>
      </x:c>
      <x:c r="H10" s="23" t="str">
        <x:v>☐ 未测试</x:v>
      </x:c>
      <x:c r="I10" s="23" t="str">
        <x:v>☐ 未测试</x:v>
      </x:c>
      <x:c r="J10" s="23" t="str">
        <x:v>☐ 未测试</x:v>
      </x:c>
    </x:row>
    <x:row r="11" ht="51" customHeight="1">
      <x:c r="A11" s="24" t="str">
        <x:v>汇川小型</x:v>
      </x:c>
      <x:c r="B11" s="24" t="str">
        <x:v>控制模式及模式切换</x:v>
      </x:c>
      <x:c r="C11" s="24" t="str">
        <x:v>M02</x:v>
      </x:c>
      <x:c r="D11" s="24" t="str">
        <x:v>CSV：周期同步速度</x:v>
      </x:c>
      <x:c r="E11" s="24" t="str">
        <x:v>正反向速度控制、零速、速度跟随、速度偏置（如支持）</x:v>
      </x:c>
      <x:c r="F11" s="21" t="str">
        <x:v>☐ 未测试</x:v>
      </x:c>
      <x:c r="G11" s="21" t="str">
        <x:v>☐ 未测试</x:v>
      </x:c>
      <x:c r="H11" s="21" t="str">
        <x:v>☐ 未测试</x:v>
      </x:c>
      <x:c r="I11" s="21" t="str">
        <x:v>☐ 未测试</x:v>
      </x:c>
      <x:c r="J11" s="21" t="str">
        <x:v>☐ 未测试</x:v>
      </x:c>
    </x:row>
    <x:row r="12" ht="51" customHeight="1">
      <x:c r="A12" s="19" t="str">
        <x:v>汇川小型</x:v>
      </x:c>
      <x:c r="B12" s="19" t="str">
        <x:v>控制模式及模式切换</x:v>
      </x:c>
      <x:c r="C12" s="19" t="str">
        <x:v>M03</x:v>
      </x:c>
      <x:c r="D12" s="19" t="str">
        <x:v>CST：周期同步转矩</x:v>
      </x:c>
      <x:c r="E12" s="19" t="str">
        <x:v>正反向转矩控制、转矩跟随、转矩偏置及速度限制（如支持）</x:v>
      </x:c>
      <x:c r="F12" s="21" t="str">
        <x:v>☐ 未测试</x:v>
      </x:c>
      <x:c r="G12" s="21" t="str">
        <x:v>☐ 未测试</x:v>
      </x:c>
      <x:c r="H12" s="21" t="str">
        <x:v>☐ 未测试</x:v>
      </x:c>
      <x:c r="I12" s="21" t="str">
        <x:v>☐ 未测试</x:v>
      </x:c>
      <x:c r="J12" s="21" t="str">
        <x:v>☐ 未测试</x:v>
      </x:c>
    </x:row>
    <x:row r="13" ht="51" customHeight="1">
      <x:c r="A13" s="24" t="str">
        <x:v>汇川小型</x:v>
      </x:c>
      <x:c r="B13" s="24" t="str">
        <x:v>控制模式及模式切换</x:v>
      </x:c>
      <x:c r="C13" s="24" t="str">
        <x:v>M04</x:v>
      </x:c>
      <x:c r="D13" s="24" t="str">
        <x:v>PP：轮廓位置</x:v>
      </x:c>
      <x:c r="E13" s="24" t="str">
        <x:v>绝对／相对定位、运动中接收新目标、目标确认与到位反馈</x:v>
      </x:c>
      <x:c r="F13" s="21" t="str">
        <x:v>☐ 未测试</x:v>
      </x:c>
      <x:c r="G13" s="21" t="str">
        <x:v>☐ 未测试</x:v>
      </x:c>
      <x:c r="H13" s="21" t="str">
        <x:v>☐ 未测试</x:v>
      </x:c>
      <x:c r="I13" s="21" t="str">
        <x:v>☐ 未测试</x:v>
      </x:c>
      <x:c r="J13" s="21" t="str">
        <x:v>☐ 未测试</x:v>
      </x:c>
    </x:row>
    <x:row r="14" ht="51" customHeight="1">
      <x:c r="A14" s="19" t="str">
        <x:v>汇川小型</x:v>
      </x:c>
      <x:c r="B14" s="19" t="str">
        <x:v>控制模式及模式切换</x:v>
      </x:c>
      <x:c r="C14" s="19" t="str">
        <x:v>M05</x:v>
      </x:c>
      <x:c r="D14" s="19" t="str">
        <x:v>PV：轮廓速度</x:v>
      </x:c>
      <x:c r="E14" s="19" t="str">
        <x:v>正反转、加减速、目标速度更新、速度达到反馈</x:v>
      </x:c>
      <x:c r="F14" s="21" t="str">
        <x:v>☐ 未测试</x:v>
      </x:c>
      <x:c r="G14" s="21" t="str">
        <x:v>☐ 未测试</x:v>
      </x:c>
      <x:c r="H14" s="21" t="str">
        <x:v>☐ 未测试</x:v>
      </x:c>
      <x:c r="I14" s="21" t="str">
        <x:v>☐ 未测试</x:v>
      </x:c>
      <x:c r="J14" s="21" t="str">
        <x:v>☐ 未测试</x:v>
      </x:c>
    </x:row>
    <x:row r="15" ht="51" customHeight="1">
      <x:c r="A15" s="24" t="str">
        <x:v>汇川小型</x:v>
      </x:c>
      <x:c r="B15" s="24" t="str">
        <x:v>控制模式及模式切换</x:v>
      </x:c>
      <x:c r="C15" s="24" t="str">
        <x:v>M06</x:v>
      </x:c>
      <x:c r="D15" s="24" t="str">
        <x:v>PT：轮廓转矩</x:v>
      </x:c>
      <x:c r="E15" s="24" t="str">
        <x:v>转矩目标更新、转矩斜坡、限幅及反馈</x:v>
      </x:c>
      <x:c r="F15" s="21" t="str">
        <x:v>☐ 未测试</x:v>
      </x:c>
      <x:c r="G15" s="21" t="str">
        <x:v>☐ 未测试</x:v>
      </x:c>
      <x:c r="H15" s="21" t="str">
        <x:v>☐ 未测试</x:v>
      </x:c>
      <x:c r="I15" s="21" t="str">
        <x:v>☐ 未测试</x:v>
      </x:c>
      <x:c r="J15" s="21" t="str">
        <x:v>☐ 未测试</x:v>
      </x:c>
    </x:row>
    <x:row r="16" ht="51" customHeight="1">
      <x:c r="A16" s="19" t="str">
        <x:v>汇川小型</x:v>
      </x:c>
      <x:c r="B16" s="19" t="str">
        <x:v>控制模式及模式切换</x:v>
      </x:c>
      <x:c r="C16" s="19" t="str">
        <x:v>M07</x:v>
      </x:c>
      <x:c r="D16" s="19" t="str">
        <x:v>HM：驱动器内部回零</x:v>
      </x:c>
      <x:c r="E16" s="19" t="str">
        <x:v>支持的回零方法、完成／失败反馈、回零后的模式与位置状态</x:v>
      </x:c>
      <x:c r="F16" s="21" t="str">
        <x:v>☐ 未测试</x:v>
      </x:c>
      <x:c r="G16" s="21" t="str">
        <x:v>☐ 未测试</x:v>
      </x:c>
      <x:c r="H16" s="21" t="str">
        <x:v>☐ 未测试</x:v>
      </x:c>
      <x:c r="I16" s="21" t="str">
        <x:v>☐ 未测试</x:v>
      </x:c>
      <x:c r="J16" s="21" t="str">
        <x:v>☐ 未测试</x:v>
      </x:c>
    </x:row>
    <x:row r="17" ht="51" customHeight="1">
      <x:c r="A17" s="24" t="str">
        <x:v>汇川小型</x:v>
      </x:c>
      <x:c r="B17" s="24" t="str">
        <x:v>控制模式及模式切换</x:v>
      </x:c>
      <x:c r="C17" s="24" t="str">
        <x:v>M09</x:v>
      </x:c>
      <x:c r="D17" s="24" t="str">
        <x:v>模式切换</x:v>
      </x:c>
      <x:c r="E17" s="24" t="str">
        <x:v>哪些模式能够互切；未使能、已使能、运动中的切换限制；切换时的目标突变或异常动作</x:v>
      </x:c>
      <x:c r="F17" s="21" t="str">
        <x:v>☐ 未测试</x:v>
      </x:c>
      <x:c r="G17" s="21" t="str">
        <x:v>☐ 未测试</x:v>
      </x:c>
      <x:c r="H17" s="21" t="str">
        <x:v>☐ 未测试</x:v>
      </x:c>
      <x:c r="I17" s="21" t="str">
        <x:v>☐ 未测试</x:v>
      </x:c>
      <x:c r="J17" s="21" t="str">
        <x:v>☐ 未测试</x:v>
      </x:c>
    </x:row>
    <x:row r="18" ht="51" customHeight="1">
      <x:c r="A18" s="19" t="str">
        <x:v>汇川小型</x:v>
      </x:c>
      <x:c r="B18" s="19" t="str">
        <x:v>控制模式及模式切换</x:v>
      </x:c>
      <x:c r="C18" s="19" t="str">
        <x:v>M10</x:v>
      </x:c>
      <x:c r="D18" s="19" t="str">
        <x:v>模式请求与反馈</x:v>
      </x:c>
      <x:c r="E18" s="19" t="str">
        <x:v>请求模式与实际运行模式的一致性；不支持的模式或不允许的切换如何响应</x:v>
      </x:c>
      <x:c r="F18" s="21" t="str">
        <x:v>☐ 未测试</x:v>
      </x:c>
      <x:c r="G18" s="21" t="str">
        <x:v>☐ 未测试</x:v>
      </x:c>
      <x:c r="H18" s="21" t="str">
        <x:v>☐ 未测试</x:v>
      </x:c>
      <x:c r="I18" s="21" t="str">
        <x:v>☐ 未测试</x:v>
      </x:c>
      <x:c r="J18" s="21" t="str">
        <x:v>☐ 未测试</x:v>
      </x:c>
    </x:row>
    <x:row r="19" ht="51" customHeight="1">
      <x:c r="A19" s="25" t="str">
        <x:v>汇川小型</x:v>
      </x:c>
      <x:c r="B19" s="25" t="str">
        <x:v>PDO / SDO 与对象访问</x:v>
      </x:c>
      <x:c r="C19" s="25" t="str">
        <x:v>D01</x:v>
      </x:c>
      <x:c r="D19" s="25" t="str">
        <x:v>默认及预设PDO</x:v>
      </x:c>
      <x:c r="E19" s="25" t="str">
        <x:v>提供的组合及各组合包含的控制、反馈和诊断数据</x:v>
      </x:c>
      <x:c r="F19" s="23" t="str">
        <x:v>☐ 未测试</x:v>
      </x:c>
      <x:c r="G19" s="23" t="str">
        <x:v>☐ 未测试</x:v>
      </x:c>
      <x:c r="H19" s="23" t="str">
        <x:v>☐ 未测试</x:v>
      </x:c>
      <x:c r="I19" s="23" t="str">
        <x:v>☐ 未测试</x:v>
      </x:c>
      <x:c r="J19" s="23" t="str">
        <x:v>☐ 未测试</x:v>
      </x:c>
    </x:row>
    <x:row r="20" ht="51" customHeight="1">
      <x:c r="A20" s="19" t="str">
        <x:v>汇川小型</x:v>
      </x:c>
      <x:c r="B20" s="19" t="str">
        <x:v>PDO / SDO 与对象访问</x:v>
      </x:c>
      <x:c r="C20" s="19" t="str">
        <x:v>D02</x:v>
      </x:c>
      <x:c r="D20" s="19" t="str">
        <x:v>自定义PDO映射</x:v>
      </x:c>
      <x:c r="E20" s="19" t="str">
        <x:v>映射对象调整、数量/长度/组合和可修改状态的限制</x:v>
      </x:c>
      <x:c r="F20" s="21" t="str">
        <x:v>☐ 未测试</x:v>
      </x:c>
      <x:c r="G20" s="21" t="str">
        <x:v>☐ 未测试</x:v>
      </x:c>
      <x:c r="H20" s="21" t="str">
        <x:v>☐ 未测试</x:v>
      </x:c>
      <x:c r="I20" s="21" t="str">
        <x:v>☐ 未测试</x:v>
      </x:c>
      <x:c r="J20" s="21" t="str">
        <x:v>☐ 未测试</x:v>
      </x:c>
    </x:row>
    <x:row r="21" ht="51" customHeight="1">
      <x:c r="A21" s="24" t="str">
        <x:v>汇川小型</x:v>
      </x:c>
      <x:c r="B21" s="24" t="str">
        <x:v>PDO / SDO 与对象访问</x:v>
      </x:c>
      <x:c r="C21" s="24" t="str">
        <x:v>D03</x:v>
      </x:c>
      <x:c r="D21" s="24" t="str">
        <x:v>PDO数据交换</x:v>
      </x:c>
      <x:c r="E21" s="24" t="str">
        <x:v>数据类型、正负值、位宽、更新表现及无效数据/错误映射响应</x:v>
      </x:c>
      <x:c r="F21" s="21" t="str">
        <x:v>☐ 未测试</x:v>
      </x:c>
      <x:c r="G21" s="21" t="str">
        <x:v>☐ 未测试</x:v>
      </x:c>
      <x:c r="H21" s="21" t="str">
        <x:v>☐ 未测试</x:v>
      </x:c>
      <x:c r="I21" s="21" t="str">
        <x:v>☐ 未测试</x:v>
      </x:c>
      <x:c r="J21" s="21" t="str">
        <x:v>☐ 未测试</x:v>
      </x:c>
    </x:row>
    <x:row r="22" ht="51" customHeight="1">
      <x:c r="A22" s="19" t="str">
        <x:v>汇川小型</x:v>
      </x:c>
      <x:c r="B22" s="19" t="str">
        <x:v>PDO / SDO 与对象访问</x:v>
      </x:c>
      <x:c r="C22" s="19" t="str">
        <x:v>D04</x:v>
      </x:c>
      <x:c r="D22" s="19" t="str">
        <x:v>SDO读写</x:v>
      </x:c>
      <x:c r="E22" s="19" t="str">
        <x:v>对象、权限、可写状态及生效时机</x:v>
      </x:c>
      <x:c r="F22" s="21" t="str">
        <x:v>☐ 未测试</x:v>
      </x:c>
      <x:c r="G22" s="21" t="str">
        <x:v>☐ 未测试</x:v>
      </x:c>
      <x:c r="H22" s="21" t="str">
        <x:v>☐ 未测试</x:v>
      </x:c>
      <x:c r="I22" s="21" t="str">
        <x:v>☐ 未测试</x:v>
      </x:c>
      <x:c r="J22" s="21" t="str">
        <x:v>☐ 未测试</x:v>
      </x:c>
    </x:row>
    <x:row r="23" ht="51" customHeight="1">
      <x:c r="A23" s="24" t="str">
        <x:v>汇川小型</x:v>
      </x:c>
      <x:c r="B23" s="24" t="str">
        <x:v>PDO / SDO 与对象访问</x:v>
      </x:c>
      <x:c r="C23" s="24" t="str">
        <x:v>D05</x:v>
      </x:c>
      <x:c r="D23" s="24" t="str">
        <x:v>SDO错误响应</x:v>
      </x:c>
      <x:c r="E23" s="24" t="str">
        <x:v>不存在对象、只读对象、越界值和错误长度的响应</x:v>
      </x:c>
      <x:c r="F23" s="21" t="str">
        <x:v>☐ 未测试</x:v>
      </x:c>
      <x:c r="G23" s="21" t="str">
        <x:v>☐ 未测试</x:v>
      </x:c>
      <x:c r="H23" s="21" t="str">
        <x:v>☐ 未测试</x:v>
      </x:c>
      <x:c r="I23" s="21" t="str">
        <x:v>☐ 未测试</x:v>
      </x:c>
      <x:c r="J23" s="21" t="str">
        <x:v>☐ 未测试</x:v>
      </x:c>
    </x:row>
    <x:row r="24" ht="51" customHeight="1">
      <x:c r="A24" s="19" t="str">
        <x:v>汇川小型</x:v>
      </x:c>
      <x:c r="B24" s="19" t="str">
        <x:v>PDO / SDO 与对象访问</x:v>
      </x:c>
      <x:c r="C24" s="19" t="str">
        <x:v>D06</x:v>
      </x:c>
      <x:c r="D24" s="19" t="str">
        <x:v>同一对象多个子项的整组访问（Complete Access）</x:v>
      </x:c>
      <x:c r="E24" s="19" t="str">
        <x:v>对实际支持对象验证整组读取/写入及限制；不能与任意多个对象的批量访问混同</x:v>
      </x:c>
      <x:c r="F24" s="21" t="str">
        <x:v>☐ 未测试</x:v>
      </x:c>
      <x:c r="G24" s="21" t="str">
        <x:v>☐ 未测试</x:v>
      </x:c>
      <x:c r="H24" s="21" t="str">
        <x:v>☐ 未测试</x:v>
      </x:c>
      <x:c r="I24" s="21" t="str">
        <x:v>☐ 未测试</x:v>
      </x:c>
      <x:c r="J24" s="21" t="str">
        <x:v>☐ 未测试</x:v>
      </x:c>
    </x:row>
    <x:row r="25" ht="51" customHeight="1">
      <x:c r="A25" s="24" t="str">
        <x:v>汇川小型</x:v>
      </x:c>
      <x:c r="B25" s="24" t="str">
        <x:v>PDO / SDO 与对象访问</x:v>
      </x:c>
      <x:c r="C25" s="24" t="str">
        <x:v>D07</x:v>
      </x:c>
      <x:c r="D25" s="24" t="str">
        <x:v>大对象完整传输及分段SDO</x:v>
      </x:c>
      <x:c r="E25" s="24" t="str">
        <x:v>对实际存在的大对象验证完整传输；确认是否确实超过单次邮箱传输容量，不能把读短字符串等同验证分段</x:v>
      </x:c>
      <x:c r="F25" s="21" t="str">
        <x:v>☐ 未测试</x:v>
      </x:c>
      <x:c r="G25" s="21" t="str">
        <x:v>☐ 未测试</x:v>
      </x:c>
      <x:c r="H25" s="21" t="str">
        <x:v>☐ 未测试</x:v>
      </x:c>
      <x:c r="I25" s="21" t="str">
        <x:v>☐ 未测试</x:v>
      </x:c>
      <x:c r="J25" s="21" t="str">
        <x:v>☐ 未测试</x:v>
      </x:c>
    </x:row>
    <x:row r="26" ht="51" customHeight="1">
      <x:c r="A26" s="19" t="str">
        <x:v>汇川小型</x:v>
      </x:c>
      <x:c r="B26" s="19" t="str">
        <x:v>PDO / SDO 与对象访问</x:v>
      </x:c>
      <x:c r="C26" s="19" t="str">
        <x:v>D08</x:v>
      </x:c>
      <x:c r="D26" s="19" t="str">
        <x:v>运动中读写参数</x:v>
      </x:c>
      <x:c r="E26" s="19" t="str">
        <x:v>运动同时读诊断/参数、修改允许在线调整的参数，以及频繁访问对运动/通信的影响</x:v>
      </x:c>
      <x:c r="F26" s="21" t="str">
        <x:v>☐ 未测试</x:v>
      </x:c>
      <x:c r="G26" s="21" t="str">
        <x:v>☐ 未测试</x:v>
      </x:c>
      <x:c r="H26" s="21" t="str">
        <x:v>☐ 未测试</x:v>
      </x:c>
      <x:c r="I26" s="21" t="str">
        <x:v>☐ 未测试</x:v>
      </x:c>
      <x:c r="J26" s="21" t="str">
        <x:v>☐ 未测试</x:v>
      </x:c>
    </x:row>
    <x:row r="27" ht="51" customHeight="1">
      <x:c r="A27" s="24" t="str">
        <x:v>汇川小型</x:v>
      </x:c>
      <x:c r="B27" s="24" t="str">
        <x:v>PDO / SDO 与对象访问</x:v>
      </x:c>
      <x:c r="C27" s="24" t="str">
        <x:v>D09</x:v>
      </x:c>
      <x:c r="D27" s="24" t="str">
        <x:v>PDO / SDO 数据含义与一致性</x:v>
      </x:c>
      <x:c r="E27" s="24" t="str">
        <x:v>对两条路径均可访问的对象，明确单位/缩放/权限/更新时机及生效差异；允许有文档依据的换算，不强制原始数字相等</x:v>
      </x:c>
      <x:c r="F27" s="21" t="str">
        <x:v>☐ 未测试</x:v>
      </x:c>
      <x:c r="G27" s="21" t="str">
        <x:v>☐ 未测试</x:v>
      </x:c>
      <x:c r="H27" s="21" t="str">
        <x:v>☐ 未测试</x:v>
      </x:c>
      <x:c r="I27" s="21" t="str">
        <x:v>☐ 未测试</x:v>
      </x:c>
      <x:c r="J27" s="21" t="str">
        <x:v>☐ 未测试</x:v>
      </x:c>
    </x:row>
    <x:row r="28" ht="51" customHeight="1">
      <x:c r="A28" s="22" t="str">
        <x:v>汇川小型</x:v>
      </x:c>
      <x:c r="B28" s="22" t="str">
        <x:v>使能、停止与复位</x:v>
      </x:c>
      <x:c r="C28" s="22" t="str">
        <x:v>S01</x:v>
      </x:c>
      <x:c r="D28" s="22" t="str">
        <x:v>驱动状态与反馈</x:v>
      </x:c>
      <x:c r="E28" s="22" t="str">
        <x:v>控制字命令与状态字反馈、允许的状态转换、无效命令/组合的响应</x:v>
      </x:c>
      <x:c r="F28" s="23" t="str">
        <x:v>☐ 未测试</x:v>
      </x:c>
      <x:c r="G28" s="23" t="str">
        <x:v>☐ 未测试</x:v>
      </x:c>
      <x:c r="H28" s="23" t="str">
        <x:v>☐ 未测试</x:v>
      </x:c>
      <x:c r="I28" s="23" t="str">
        <x:v>☐ 未测试</x:v>
      </x:c>
      <x:c r="J28" s="23" t="str">
        <x:v>☐ 未测试</x:v>
      </x:c>
    </x:row>
    <x:row r="29" ht="51" customHeight="1">
      <x:c r="A29" s="24" t="str">
        <x:v>汇川小型</x:v>
      </x:c>
      <x:c r="B29" s="24" t="str">
        <x:v>使能、停止与复位</x:v>
      </x:c>
      <x:c r="C29" s="24" t="str">
        <x:v>S02</x:v>
      </x:c>
      <x:c r="D29" s="24" t="str">
        <x:v>使能与撤使能</x:v>
      </x:c>
      <x:c r="E29" s="24" t="str">
        <x:v>静止及运动中的使能/撤使能表现、重复使能、实际转矩与状态反馈</x:v>
      </x:c>
      <x:c r="F29" s="21" t="str">
        <x:v>☐ 未测试</x:v>
      </x:c>
      <x:c r="G29" s="21" t="str">
        <x:v>☐ 未测试</x:v>
      </x:c>
      <x:c r="H29" s="21" t="str">
        <x:v>☐ 未测试</x:v>
      </x:c>
      <x:c r="I29" s="21" t="str">
        <x:v>☐ 未测试</x:v>
      </x:c>
      <x:c r="J29" s="21" t="str">
        <x:v>☐ 未测试</x:v>
      </x:c>
    </x:row>
    <x:row r="30" ht="51" customHeight="1">
      <x:c r="A30" s="19" t="str">
        <x:v>汇川小型</x:v>
      </x:c>
      <x:c r="B30" s="19" t="str">
        <x:v>使能、停止与复位</x:v>
      </x:c>
      <x:c r="C30" s="19" t="str">
        <x:v>S03</x:v>
      </x:c>
      <x:c r="D30" s="19" t="str">
        <x:v>使能前置条件</x:v>
      </x:c>
      <x:c r="E30" s="19" t="str">
        <x:v>主电源、硬件使能、STO等实际具备条件对EtherCAT使能的影响；条件未满足时的反馈及恢复行为</x:v>
      </x:c>
      <x:c r="F30" s="21" t="str">
        <x:v>☐ 未测试</x:v>
      </x:c>
      <x:c r="G30" s="21" t="str">
        <x:v>☐ 未测试</x:v>
      </x:c>
      <x:c r="H30" s="21" t="str">
        <x:v>☐ 未测试</x:v>
      </x:c>
      <x:c r="I30" s="21" t="str">
        <x:v>☐ 未测试</x:v>
      </x:c>
      <x:c r="J30" s="21" t="str">
        <x:v>☐ 未测试</x:v>
      </x:c>
    </x:row>
    <x:row r="31" ht="51" customHeight="1">
      <x:c r="A31" s="24" t="str">
        <x:v>汇川小型</x:v>
      </x:c>
      <x:c r="B31" s="24" t="str">
        <x:v>使能、停止与复位</x:v>
      </x:c>
      <x:c r="C31" s="24" t="str">
        <x:v>S04</x:v>
      </x:c>
      <x:c r="D31" s="24" t="str">
        <x:v>PLC停止与暂停</x:v>
      </x:c>
      <x:c r="E31" s="24" t="str">
        <x:v>MC_Stop、MC_Halt或平台等效功能的减速、轴状态、后续命令接受条件与驱动实际表现</x:v>
      </x:c>
      <x:c r="F31" s="21" t="str">
        <x:v>☐ 未测试</x:v>
      </x:c>
      <x:c r="G31" s="21" t="str">
        <x:v>☐ 未测试</x:v>
      </x:c>
      <x:c r="H31" s="21" t="str">
        <x:v>☐ 未测试</x:v>
      </x:c>
      <x:c r="I31" s="21" t="str">
        <x:v>☐ 未测试</x:v>
      </x:c>
      <x:c r="J31" s="21" t="str">
        <x:v>☐ 未测试</x:v>
      </x:c>
    </x:row>
    <x:row r="32" ht="51" customHeight="1">
      <x:c r="A32" s="19" t="str">
        <x:v>汇川小型</x:v>
      </x:c>
      <x:c r="B32" s="19" t="str">
        <x:v>使能、停止与复位</x:v>
      </x:c>
      <x:c r="C32" s="19" t="str">
        <x:v>S05</x:v>
      </x:c>
      <x:c r="D32" s="19" t="str">
        <x:v>驱动快速停止（Quick Stop）</x:v>
      </x:c>
      <x:c r="E32" s="19" t="str">
        <x:v>可选停止方式、减速参数、停止后是否保持使能/转矩以及退出快速停止的条件</x:v>
      </x:c>
      <x:c r="F32" s="21" t="str">
        <x:v>☐ 未测试</x:v>
      </x:c>
      <x:c r="G32" s="21" t="str">
        <x:v>☐ 未测试</x:v>
      </x:c>
      <x:c r="H32" s="21" t="str">
        <x:v>☐ 未测试</x:v>
      </x:c>
      <x:c r="I32" s="21" t="str">
        <x:v>☐ 未测试</x:v>
      </x:c>
      <x:c r="J32" s="21" t="str">
        <x:v>☐ 未测试</x:v>
      </x:c>
    </x:row>
    <x:row r="33" ht="51" customHeight="1">
      <x:c r="A33" s="24" t="str">
        <x:v>汇川小型</x:v>
      </x:c>
      <x:c r="B33" s="24" t="str">
        <x:v>使能、停止与复位</x:v>
      </x:c>
      <x:c r="C33" s="24" t="str">
        <x:v>S06</x:v>
      </x:c>
      <x:c r="D33" s="24" t="str">
        <x:v>驱动暂停（Halt）</x:v>
      </x:c>
      <x:c r="E33" s="24" t="str">
        <x:v>各支持模式下的暂停、保持、恢复及目标处理；与PLC暂停入口分别留证</x:v>
      </x:c>
      <x:c r="F33" s="21" t="str">
        <x:v>☐ 未测试</x:v>
      </x:c>
      <x:c r="G33" s="21" t="str">
        <x:v>☐ 未测试</x:v>
      </x:c>
      <x:c r="H33" s="21" t="str">
        <x:v>☐ 未测试</x:v>
      </x:c>
      <x:c r="I33" s="21" t="str">
        <x:v>☐ 未测试</x:v>
      </x:c>
      <x:c r="J33" s="21" t="str">
        <x:v>☐ 未测试</x:v>
      </x:c>
    </x:row>
    <x:row r="34" ht="51" customHeight="1">
      <x:c r="A34" s="19" t="str">
        <x:v>汇川小型</x:v>
      </x:c>
      <x:c r="B34" s="19" t="str">
        <x:v>使能、停止与复位</x:v>
      </x:c>
      <x:c r="C34" s="19" t="str">
        <x:v>S07</x:v>
      </x:c>
      <x:c r="D34" s="19" t="str">
        <x:v>故障复位</x:v>
      </x:c>
      <x:c r="E34" s="19" t="str">
        <x:v>故障仍存在/已经消除时的复位响应，驱动故障与PLC轴错误能否分别清除</x:v>
      </x:c>
      <x:c r="F34" s="21" t="str">
        <x:v>☐ 未测试</x:v>
      </x:c>
      <x:c r="G34" s="21" t="str">
        <x:v>☐ 未测试</x:v>
      </x:c>
      <x:c r="H34" s="21" t="str">
        <x:v>☐ 未测试</x:v>
      </x:c>
      <x:c r="I34" s="21" t="str">
        <x:v>☐ 未测试</x:v>
      </x:c>
      <x:c r="J34" s="21" t="str">
        <x:v>☐ 未测试</x:v>
      </x:c>
    </x:row>
    <x:row r="35" ht="51" customHeight="1">
      <x:c r="A35" s="24" t="str">
        <x:v>汇川小型</x:v>
      </x:c>
      <x:c r="B35" s="24" t="str">
        <x:v>使能、停止与复位</x:v>
      </x:c>
      <x:c r="C35" s="24" t="str">
        <x:v>S08</x:v>
      </x:c>
      <x:c r="D35" s="24" t="str">
        <x:v>停机或复位后恢复运动</x:v>
      </x:c>
      <x:c r="E35" s="24" t="str">
        <x:v>是否需要重新使能、旧目标/旧命令的处理、位置连续性以及是否意外续跑</x:v>
      </x:c>
      <x:c r="F35" s="21" t="str">
        <x:v>☐ 未测试</x:v>
      </x:c>
      <x:c r="G35" s="21" t="str">
        <x:v>☐ 未测试</x:v>
      </x:c>
      <x:c r="H35" s="21" t="str">
        <x:v>☐ 未测试</x:v>
      </x:c>
      <x:c r="I35" s="21" t="str">
        <x:v>☐ 未测试</x:v>
      </x:c>
      <x:c r="J35" s="21" t="str">
        <x:v>☐ 未测试</x:v>
      </x:c>
    </x:row>
    <x:row r="36" ht="51" customHeight="1">
      <x:c r="A36" s="19" t="str">
        <x:v>汇川小型</x:v>
      </x:c>
      <x:c r="B36" s="19" t="str">
        <x:v>使能、停止与复位</x:v>
      </x:c>
      <x:c r="C36" s="19" t="str">
        <x:v>S09</x:v>
      </x:c>
      <x:c r="D36" s="19" t="str">
        <x:v>控制入口交接与冲突</x:v>
      </x:c>
      <x:c r="E36" s="19" t="str">
        <x:v>PLC程序、PLC调试界面、厂家工具等并存时的控制权、冲突响应与交接表现</x:v>
      </x:c>
      <x:c r="F36" s="21" t="str">
        <x:v>☐ 未测试</x:v>
      </x:c>
      <x:c r="G36" s="21" t="str">
        <x:v>☐ 未测试</x:v>
      </x:c>
      <x:c r="H36" s="21" t="str">
        <x:v>☐ 未测试</x:v>
      </x:c>
      <x:c r="I36" s="21" t="str">
        <x:v>☐ 未测试</x:v>
      </x:c>
      <x:c r="J36" s="21" t="str">
        <x:v>☐ 未测试</x:v>
      </x:c>
    </x:row>
    <x:row r="37" ht="51" customHeight="1">
      <x:c r="A37" s="25" t="str">
        <x:v>汇川小型</x:v>
      </x:c>
      <x:c r="B37" s="25" t="str">
        <x:v>单位、坐标与位置反馈</x:v>
      </x:c>
      <x:c r="C37" s="25" t="str">
        <x:v>U01</x:v>
      </x:c>
      <x:c r="D37" s="25" t="str">
        <x:v>位置单位与电子齿轮</x:v>
      </x:c>
      <x:c r="E37" s="25" t="str">
        <x:v>指令/反馈计数与实际转角或位移的换算、电子齿轮/传动比设置及其范围</x:v>
      </x:c>
      <x:c r="F37" s="23" t="str">
        <x:v>☐ 未测试</x:v>
      </x:c>
      <x:c r="G37" s="23" t="str">
        <x:v>☐ 未测试</x:v>
      </x:c>
      <x:c r="H37" s="23" t="str">
        <x:v>☐ 未测试</x:v>
      </x:c>
      <x:c r="I37" s="23" t="str">
        <x:v>☐ 未测试</x:v>
      </x:c>
      <x:c r="J37" s="23" t="str">
        <x:v>☐ 未测试</x:v>
      </x:c>
    </x:row>
    <x:row r="38" ht="51" customHeight="1">
      <x:c r="A38" s="19" t="str">
        <x:v>汇川小型</x:v>
      </x:c>
      <x:c r="B38" s="19" t="str">
        <x:v>单位、坐标与位置反馈</x:v>
      </x:c>
      <x:c r="C38" s="19" t="str">
        <x:v>U02</x:v>
      </x:c>
      <x:c r="D38" s="19" t="str">
        <x:v>速度单位</x:v>
      </x:c>
      <x:c r="E38" s="19" t="str">
        <x:v>速度指令、反馈、限值的单位与换算，PLC显示和驱动反馈的对应关系</x:v>
      </x:c>
      <x:c r="F38" s="21" t="str">
        <x:v>☐ 未测试</x:v>
      </x:c>
      <x:c r="G38" s="21" t="str">
        <x:v>☐ 未测试</x:v>
      </x:c>
      <x:c r="H38" s="21" t="str">
        <x:v>☐ 未测试</x:v>
      </x:c>
      <x:c r="I38" s="21" t="str">
        <x:v>☐ 未测试</x:v>
      </x:c>
      <x:c r="J38" s="21" t="str">
        <x:v>☐ 未测试</x:v>
      </x:c>
    </x:row>
    <x:row r="39" ht="51" customHeight="1">
      <x:c r="A39" s="24" t="str">
        <x:v>汇川小型</x:v>
      </x:c>
      <x:c r="B39" s="24" t="str">
        <x:v>单位、坐标与位置反馈</x:v>
      </x:c>
      <x:c r="C39" s="24" t="str">
        <x:v>U03</x:v>
      </x:c>
      <x:c r="D39" s="24" t="str">
        <x:v>转矩单位</x:v>
      </x:c>
      <x:c r="E39" s="24" t="str">
        <x:v>转矩指令、反馈、限值采用的基准与比例，例如相对额定转矩的比例或实际转矩单位</x:v>
      </x:c>
      <x:c r="F39" s="21" t="str">
        <x:v>☐ 未测试</x:v>
      </x:c>
      <x:c r="G39" s="21" t="str">
        <x:v>☐ 未测试</x:v>
      </x:c>
      <x:c r="H39" s="21" t="str">
        <x:v>☐ 未测试</x:v>
      </x:c>
      <x:c r="I39" s="21" t="str">
        <x:v>☐ 未测试</x:v>
      </x:c>
      <x:c r="J39" s="21" t="str">
        <x:v>☐ 未测试</x:v>
      </x:c>
    </x:row>
    <x:row r="40" ht="51" customHeight="1">
      <x:c r="A40" s="19" t="str">
        <x:v>汇川小型</x:v>
      </x:c>
      <x:c r="B40" s="19" t="str">
        <x:v>单位、坐标与位置反馈</x:v>
      </x:c>
      <x:c r="C40" s="19" t="str">
        <x:v>U04</x:v>
      </x:c>
      <x:c r="D40" s="19" t="str">
        <x:v>方向与极性</x:v>
      </x:c>
      <x:c r="E40" s="19" t="str">
        <x:v>正反方向定义、方向反转设置对指令/反馈以及回零/限位方向的影响</x:v>
      </x:c>
      <x:c r="F40" s="21" t="str">
        <x:v>☐ 未测试</x:v>
      </x:c>
      <x:c r="G40" s="21" t="str">
        <x:v>☐ 未测试</x:v>
      </x:c>
      <x:c r="H40" s="21" t="str">
        <x:v>☐ 未测试</x:v>
      </x:c>
      <x:c r="I40" s="21" t="str">
        <x:v>☐ 未测试</x:v>
      </x:c>
      <x:c r="J40" s="21" t="str">
        <x:v>☐ 未测试</x:v>
      </x:c>
    </x:row>
    <x:row r="41" ht="51" customHeight="1">
      <x:c r="A41" s="24" t="str">
        <x:v>汇川小型</x:v>
      </x:c>
      <x:c r="B41" s="24" t="str">
        <x:v>单位、坐标与位置反馈</x:v>
      </x:c>
      <x:c r="C41" s="24" t="str">
        <x:v>U05</x:v>
      </x:c>
      <x:c r="D41" s="24" t="str">
        <x:v>坐标设定与零点偏置</x:v>
      </x:c>
      <x:c r="E41" s="24" t="str">
        <x:v>驱动设零/偏置、PLC设位置等实际入口的支持范围，对反馈/目标/机械运动及重启保持的影响</x:v>
      </x:c>
      <x:c r="F41" s="21" t="str">
        <x:v>☐ 未测试</x:v>
      </x:c>
      <x:c r="G41" s="21" t="str">
        <x:v>☐ 未测试</x:v>
      </x:c>
      <x:c r="H41" s="21" t="str">
        <x:v>☐ 未测试</x:v>
      </x:c>
      <x:c r="I41" s="21" t="str">
        <x:v>☐ 未测试</x:v>
      </x:c>
      <x:c r="J41" s="21" t="str">
        <x:v>☐ 未测试</x:v>
      </x:c>
    </x:row>
    <x:row r="42" ht="51" customHeight="1">
      <x:c r="A42" s="19" t="str">
        <x:v>汇川小型</x:v>
      </x:c>
      <x:c r="B42" s="19" t="str">
        <x:v>单位、坐标与位置反馈</x:v>
      </x:c>
      <x:c r="C42" s="19" t="str">
        <x:v>U06</x:v>
      </x:c>
      <x:c r="D42" s="19" t="str">
        <x:v>绝对位置与掉电保持</x:v>
      </x:c>
      <x:c r="E42" s="19" t="str">
        <x:v>实际支持的单圈/多圈位置、PLC或驱动重启后的机器坐标、断电移动后的反馈与位置有效性</x:v>
      </x:c>
      <x:c r="F42" s="21" t="str">
        <x:v>☐ 未测试</x:v>
      </x:c>
      <x:c r="G42" s="21" t="str">
        <x:v>☐ 未测试</x:v>
      </x:c>
      <x:c r="H42" s="21" t="str">
        <x:v>☐ 未测试</x:v>
      </x:c>
      <x:c r="I42" s="21" t="str">
        <x:v>☐ 未测试</x:v>
      </x:c>
      <x:c r="J42" s="21" t="str">
        <x:v>☐ 未测试</x:v>
      </x:c>
    </x:row>
    <x:row r="43" ht="51" customHeight="1">
      <x:c r="A43" s="24" t="str">
        <x:v>汇川小型</x:v>
      </x:c>
      <x:c r="B43" s="24" t="str">
        <x:v>单位、坐标与位置反馈</x:v>
      </x:c>
      <x:c r="C43" s="24" t="str">
        <x:v>U07</x:v>
      </x:c>
      <x:c r="D43" s="24" t="str">
        <x:v>增量位置与参考有效性</x:v>
      </x:c>
      <x:c r="E43" s="24" t="str">
        <x:v>上电位置初值、回零/参考有效标志、重启或反馈异常后需要重新建立参考的条件</x:v>
      </x:c>
      <x:c r="F43" s="21" t="str">
        <x:v>☐ 未测试</x:v>
      </x:c>
      <x:c r="G43" s="21" t="str">
        <x:v>☐ 未测试</x:v>
      </x:c>
      <x:c r="H43" s="21" t="str">
        <x:v>☐ 未测试</x:v>
      </x:c>
      <x:c r="I43" s="21" t="str">
        <x:v>☐ 未测试</x:v>
      </x:c>
      <x:c r="J43" s="21" t="str">
        <x:v>☐ 未测试</x:v>
      </x:c>
    </x:row>
    <x:row r="44" ht="51" customHeight="1">
      <x:c r="A44" s="19" t="str">
        <x:v>汇川小型</x:v>
      </x:c>
      <x:c r="B44" s="19" t="str">
        <x:v>单位、坐标与位置反馈</x:v>
      </x:c>
      <x:c r="C44" s="19" t="str">
        <x:v>U08</x:v>
      </x:c>
      <x:c r="D44" s="19" t="str">
        <x:v>旋转轴与模数坐标</x:v>
      </x:c>
      <x:c r="E44" s="19" t="str">
        <x:v>跨零/跨圈反馈、圈数、正反向与最短路径等实际可用定位方式；驱动与PLC各自的实现和限制</x:v>
      </x:c>
      <x:c r="F44" s="21" t="str">
        <x:v>☐ 未测试</x:v>
      </x:c>
      <x:c r="G44" s="21" t="str">
        <x:v>☐ 未测试</x:v>
      </x:c>
      <x:c r="H44" s="21" t="str">
        <x:v>☐ 未测试</x:v>
      </x:c>
      <x:c r="I44" s="21" t="str">
        <x:v>☐ 未测试</x:v>
      </x:c>
      <x:c r="J44" s="21" t="str">
        <x:v>☐ 未测试</x:v>
      </x:c>
    </x:row>
    <x:row r="45" ht="51" customHeight="1">
      <x:c r="A45" s="24" t="str">
        <x:v>汇川小型</x:v>
      </x:c>
      <x:c r="B45" s="24" t="str">
        <x:v>单位、坐标与位置反馈</x:v>
      </x:c>
      <x:c r="C45" s="24" t="str">
        <x:v>U09</x:v>
      </x:c>
      <x:c r="D45" s="24" t="str">
        <x:v>位置计数边界</x:v>
      </x:c>
      <x:c r="E45" s="24" t="str">
        <x:v>实际位宽、正负边界、溢出/回绕；支持连续回绕时的表现，禁止跨界时的限制或错误响应</x:v>
      </x:c>
      <x:c r="F45" s="21" t="str">
        <x:v>☐ 未测试</x:v>
      </x:c>
      <x:c r="G45" s="21" t="str">
        <x:v>☐ 未测试</x:v>
      </x:c>
      <x:c r="H45" s="21" t="str">
        <x:v>☐ 未测试</x:v>
      </x:c>
      <x:c r="I45" s="21" t="str">
        <x:v>☐ 未测试</x:v>
      </x:c>
      <x:c r="J45" s="21" t="str">
        <x:v>☐ 未测试</x:v>
      </x:c>
    </x:row>
    <x:row r="46" ht="51" customHeight="1">
      <x:c r="A46" s="19" t="str">
        <x:v>汇川小型</x:v>
      </x:c>
      <x:c r="B46" s="19" t="str">
        <x:v>单位、坐标与位置反馈</x:v>
      </x:c>
      <x:c r="C46" s="19" t="str">
        <x:v>U10</x:v>
      </x:c>
      <x:c r="D46" s="19" t="str">
        <x:v>位置反馈来源</x:v>
      </x:c>
      <x:c r="E46" s="19" t="str">
        <x:v>电机编码器、负载编码器、第二路反馈等实际存在的来源，EtherCAT可读取哪些值、能否选择及各自单位</x:v>
      </x:c>
      <x:c r="F46" s="21" t="str">
        <x:v>☐ 未测试</x:v>
      </x:c>
      <x:c r="G46" s="21" t="str">
        <x:v>☐ 未测试</x:v>
      </x:c>
      <x:c r="H46" s="21" t="str">
        <x:v>☐ 未测试</x:v>
      </x:c>
      <x:c r="I46" s="21" t="str">
        <x:v>☐ 未测试</x:v>
      </x:c>
      <x:c r="J46" s="21" t="str">
        <x:v>☐ 未测试</x:v>
      </x:c>
    </x:row>
    <x:row r="47" ht="51" customHeight="1">
      <x:c r="A47" s="25" t="str">
        <x:v>汇川小型</x:v>
      </x:c>
      <x:c r="B47" s="25" t="str">
        <x:v>回零、限位与位置锁存</x:v>
      </x:c>
      <x:c r="C47" s="25" t="str">
        <x:v>H01</x:v>
      </x:c>
      <x:c r="D47" s="25" t="str">
        <x:v>驱动内部回零方法</x:v>
      </x:c>
      <x:c r="E47" s="25" t="str">
        <x:v>实际提供的原点开关、限位、编码器Z相、当前位置等回零方法及各自适用条件</x:v>
      </x:c>
      <x:c r="F47" s="23" t="str">
        <x:v>☐ 未测试</x:v>
      </x:c>
      <x:c r="G47" s="23" t="str">
        <x:v>☐ 未测试</x:v>
      </x:c>
      <x:c r="H47" s="23" t="str">
        <x:v>☐ 未测试</x:v>
      </x:c>
      <x:c r="I47" s="23" t="str">
        <x:v>☐ 未测试</x:v>
      </x:c>
      <x:c r="J47" s="23" t="str">
        <x:v>☐ 未测试</x:v>
      </x:c>
    </x:row>
    <x:row r="48" ht="51" customHeight="1">
      <x:c r="A48" s="19" t="str">
        <x:v>汇川小型</x:v>
      </x:c>
      <x:c r="B48" s="19" t="str">
        <x:v>回零、限位与位置锁存</x:v>
      </x:c>
      <x:c r="C48" s="19" t="str">
        <x:v>H02</x:v>
      </x:c>
      <x:c r="D48" s="19" t="str">
        <x:v>PLC主导回零</x:v>
      </x:c>
      <x:c r="E48" s="19" t="str">
        <x:v>PLC运动库/回零功能块与该驱动的配合，输入接PLC或驱动时的可用路径及限制</x:v>
      </x:c>
      <x:c r="F48" s="21" t="str">
        <x:v>☐ 未测试</x:v>
      </x:c>
      <x:c r="G48" s="21" t="str">
        <x:v>☐ 未测试</x:v>
      </x:c>
      <x:c r="H48" s="21" t="str">
        <x:v>☐ 未测试</x:v>
      </x:c>
      <x:c r="I48" s="21" t="str">
        <x:v>☐ 未测试</x:v>
      </x:c>
      <x:c r="J48" s="21" t="str">
        <x:v>☐ 未测试</x:v>
      </x:c>
    </x:row>
    <x:row r="49" ht="51" customHeight="1">
      <x:c r="A49" s="24" t="str">
        <x:v>汇川小型</x:v>
      </x:c>
      <x:c r="B49" s="24" t="str">
        <x:v>回零、限位与位置锁存</x:v>
      </x:c>
      <x:c r="C49" s="24" t="str">
        <x:v>H03</x:v>
      </x:c>
      <x:c r="D49" s="24" t="str">
        <x:v>回零参数</x:v>
      </x:c>
      <x:c r="E49" s="24" t="str">
        <x:v>搜索方向、搜索/退出速度、加速度、原点偏置等实际可配置参数及生效表现</x:v>
      </x:c>
      <x:c r="F49" s="21" t="str">
        <x:v>☐ 未测试</x:v>
      </x:c>
      <x:c r="G49" s="21" t="str">
        <x:v>☐ 未测试</x:v>
      </x:c>
      <x:c r="H49" s="21" t="str">
        <x:v>☐ 未测试</x:v>
      </x:c>
      <x:c r="I49" s="21" t="str">
        <x:v>☐ 未测试</x:v>
      </x:c>
      <x:c r="J49" s="21" t="str">
        <x:v>☐ 未测试</x:v>
      </x:c>
    </x:row>
    <x:row r="50" ht="51" customHeight="1">
      <x:c r="A50" s="19" t="str">
        <x:v>汇川小型</x:v>
      </x:c>
      <x:c r="B50" s="19" t="str">
        <x:v>回零、限位与位置锁存</x:v>
      </x:c>
      <x:c r="C50" s="19" t="str">
        <x:v>H04</x:v>
      </x:c>
      <x:c r="D50" s="19" t="str">
        <x:v>回零异常与中断</x:v>
      </x:c>
      <x:c r="E50" s="19" t="str">
        <x:v>开始时已压住开关、找不到原点/索引、触及限位、暂停/撤使能/中断后再次回零的表现</x:v>
      </x:c>
      <x:c r="F50" s="21" t="str">
        <x:v>☐ 未测试</x:v>
      </x:c>
      <x:c r="G50" s="21" t="str">
        <x:v>☐ 未测试</x:v>
      </x:c>
      <x:c r="H50" s="21" t="str">
        <x:v>☐ 未测试</x:v>
      </x:c>
      <x:c r="I50" s="21" t="str">
        <x:v>☐ 未测试</x:v>
      </x:c>
      <x:c r="J50" s="21" t="str">
        <x:v>☐ 未测试</x:v>
      </x:c>
    </x:row>
    <x:row r="51" ht="51" customHeight="1">
      <x:c r="A51" s="24" t="str">
        <x:v>汇川小型</x:v>
      </x:c>
      <x:c r="B51" s="24" t="str">
        <x:v>回零、限位与位置锁存</x:v>
      </x:c>
      <x:c r="C51" s="24" t="str">
        <x:v>H05</x:v>
      </x:c>
      <x:c r="D51" s="24" t="str">
        <x:v>回零结果与重复性</x:v>
      </x:c>
      <x:c r="E51" s="24" t="str">
        <x:v>完成/失败反馈、参考有效性、重复回零的位置偏差以及回零后正常运动的坐标衔接</x:v>
      </x:c>
      <x:c r="F51" s="21" t="str">
        <x:v>☐ 未测试</x:v>
      </x:c>
      <x:c r="G51" s="21" t="str">
        <x:v>☐ 未测试</x:v>
      </x:c>
      <x:c r="H51" s="21" t="str">
        <x:v>☐ 未测试</x:v>
      </x:c>
      <x:c r="I51" s="21" t="str">
        <x:v>☐ 未测试</x:v>
      </x:c>
      <x:c r="J51" s="21" t="str">
        <x:v>☐ 未测试</x:v>
      </x:c>
    </x:row>
    <x:row r="52" ht="51" customHeight="1">
      <x:c r="A52" s="19" t="str">
        <x:v>汇川小型</x:v>
      </x:c>
      <x:c r="B52" s="19" t="str">
        <x:v>回零、限位与位置锁存</x:v>
      </x:c>
      <x:c r="C52" s="19" t="str">
        <x:v>H06</x:v>
      </x:c>
      <x:c r="D52" s="19" t="str">
        <x:v>正负软件限位</x:v>
      </x:c>
      <x:c r="E52" s="19" t="str">
        <x:v>设定范围、启用条件、越界目标/实际越界响应、退出限位方向以及改变零点后的作用</x:v>
      </x:c>
      <x:c r="F52" s="21" t="str">
        <x:v>☐ 未测试</x:v>
      </x:c>
      <x:c r="G52" s="21" t="str">
        <x:v>☐ 未测试</x:v>
      </x:c>
      <x:c r="H52" s="21" t="str">
        <x:v>☐ 未测试</x:v>
      </x:c>
      <x:c r="I52" s="21" t="str">
        <x:v>☐ 未测试</x:v>
      </x:c>
      <x:c r="J52" s="21" t="str">
        <x:v>☐ 未测试</x:v>
      </x:c>
    </x:row>
    <x:row r="53" ht="51" customHeight="1">
      <x:c r="A53" s="24" t="str">
        <x:v>汇川小型</x:v>
      </x:c>
      <x:c r="B53" s="24" t="str">
        <x:v>回零、限位与位置锁存</x:v>
      </x:c>
      <x:c r="C53" s="24" t="str">
        <x:v>H07</x:v>
      </x:c>
      <x:c r="D53" s="24" t="str">
        <x:v>正负硬件限位</x:v>
      </x:c>
      <x:c r="E53" s="24" t="str">
        <x:v>限位输入、停止/报警反应、允许脱离的方向、恢复条件，以及不同模式下的作用</x:v>
      </x:c>
      <x:c r="F53" s="21" t="str">
        <x:v>☐ 未测试</x:v>
      </x:c>
      <x:c r="G53" s="21" t="str">
        <x:v>☐ 未测试</x:v>
      </x:c>
      <x:c r="H53" s="21" t="str">
        <x:v>☐ 未测试</x:v>
      </x:c>
      <x:c r="I53" s="21" t="str">
        <x:v>☐ 未测试</x:v>
      </x:c>
      <x:c r="J53" s="21" t="str">
        <x:v>☐ 未测试</x:v>
      </x:c>
    </x:row>
    <x:row r="54" ht="51" customHeight="1">
      <x:c r="A54" s="19" t="str">
        <x:v>汇川小型</x:v>
      </x:c>
      <x:c r="B54" s="19" t="str">
        <x:v>回零、限位与位置锁存</x:v>
      </x:c>
      <x:c r="C54" s="19" t="str">
        <x:v>H08</x:v>
      </x:c>
      <x:c r="D54" s="19" t="str">
        <x:v>原点与限位输入的配置和读取</x:v>
      </x:c>
      <x:c r="E54" s="19" t="str">
        <x:v>输入源、极性、滤波等实际能力，EtherCAT可读取的输入状态及与真实信号的对应关系</x:v>
      </x:c>
      <x:c r="F54" s="21" t="str">
        <x:v>☐ 未测试</x:v>
      </x:c>
      <x:c r="G54" s="21" t="str">
        <x:v>☐ 未测试</x:v>
      </x:c>
      <x:c r="H54" s="21" t="str">
        <x:v>☐ 未测试</x:v>
      </x:c>
      <x:c r="I54" s="21" t="str">
        <x:v>☐ 未测试</x:v>
      </x:c>
      <x:c r="J54" s="21" t="str">
        <x:v>☐ 未测试</x:v>
      </x:c>
    </x:row>
    <x:row r="55" ht="51" customHeight="1">
      <x:c r="A55" s="24" t="str">
        <x:v>汇川小型</x:v>
      </x:c>
      <x:c r="B55" s="24" t="str">
        <x:v>回零、限位与位置锁存</x:v>
      </x:c>
      <x:c r="C55" s="24" t="str">
        <x:v>H09</x:v>
      </x:c>
      <x:c r="D55" s="24" t="str">
        <x:v>位置锁存（Touch Probe）</x:v>
      </x:c>
      <x:c r="E55" s="24" t="str">
        <x:v>可用通道/触发源、上升沿/下降沿、单次/连续锁存、清除和重新触发能力</x:v>
      </x:c>
      <x:c r="F55" s="21" t="str">
        <x:v>☐ 未测试</x:v>
      </x:c>
      <x:c r="G55" s="21" t="str">
        <x:v>☐ 未测试</x:v>
      </x:c>
      <x:c r="H55" s="21" t="str">
        <x:v>☐ 未测试</x:v>
      </x:c>
      <x:c r="I55" s="21" t="str">
        <x:v>☐ 未测试</x:v>
      </x:c>
      <x:c r="J55" s="21" t="str">
        <x:v>☐ 未测试</x:v>
      </x:c>
    </x:row>
    <x:row r="56" ht="51" customHeight="1">
      <x:c r="A56" s="19" t="str">
        <x:v>汇川小型</x:v>
      </x:c>
      <x:c r="B56" s="19" t="str">
        <x:v>回零、限位与位置锁存</x:v>
      </x:c>
      <x:c r="C56" s="19" t="str">
        <x:v>H10</x:v>
      </x:c>
      <x:c r="D56" s="19" t="str">
        <x:v>锁存反馈与连续事件</x:v>
      </x:c>
      <x:c r="E56" s="19" t="str">
        <x:v>锁存位置来源、精度、时间戳（如有）、新数据标志以及快速连续触发时的覆盖/丢事件表现</x:v>
      </x:c>
      <x:c r="F56" s="21" t="str">
        <x:v>☐ 未测试</x:v>
      </x:c>
      <x:c r="G56" s="21" t="str">
        <x:v>☐ 未测试</x:v>
      </x:c>
      <x:c r="H56" s="21" t="str">
        <x:v>☐ 未测试</x:v>
      </x:c>
      <x:c r="I56" s="21" t="str">
        <x:v>☐ 未测试</x:v>
      </x:c>
      <x:c r="J56" s="21" t="str">
        <x:v>☐ 未测试</x:v>
      </x:c>
    </x:row>
    <x:row r="57" ht="51" customHeight="1">
      <x:c r="A57" s="24" t="str">
        <x:v>汇川小型</x:v>
      </x:c>
      <x:c r="B57" s="24" t="str">
        <x:v>回零、限位与位置锁存</x:v>
      </x:c>
      <x:c r="C57" s="24" t="str">
        <x:v>H11</x:v>
      </x:c>
      <x:c r="D57" s="24" t="str">
        <x:v>利用锁存结果的PLC功能</x:v>
      </x:c>
      <x:c r="E57" s="24" t="str">
        <x:v>中断定位、测长等实际可用应用，PLC功能块能否正确取得锁存数据并完成后续动作</x:v>
      </x:c>
      <x:c r="F57" s="21" t="str">
        <x:v>☐ 未测试</x:v>
      </x:c>
      <x:c r="G57" s="21" t="str">
        <x:v>☐ 未测试</x:v>
      </x:c>
      <x:c r="H57" s="21" t="str">
        <x:v>☐ 未测试</x:v>
      </x:c>
      <x:c r="I57" s="21" t="str">
        <x:v>☐ 未测试</x:v>
      </x:c>
      <x:c r="J57" s="21" t="str">
        <x:v>☐ 未测试</x:v>
      </x:c>
    </x:row>
    <x:row r="58" ht="51" customHeight="1">
      <x:c r="A58" s="22" t="str">
        <x:v>汇川小型</x:v>
      </x:c>
      <x:c r="B58" s="22" t="str">
        <x:v>同步、通信异常与恢复</x:v>
      </x:c>
      <x:c r="C58" s="22" t="str">
        <x:v>N01</x:v>
      </x:c>
      <x:c r="D58" s="22" t="str">
        <x:v>EtherCAT通信状态</x:v>
      </x:c>
      <x:c r="E58" s="22" t="str">
        <x:v>INIT、PREOP、SAFEOP、OP的进入/退出条件，各状态下可用的参数/过程数据访问及输出行为</x:v>
      </x:c>
      <x:c r="F58" s="23" t="str">
        <x:v>☐ 未测试</x:v>
      </x:c>
      <x:c r="G58" s="23" t="str">
        <x:v>☐ 未测试</x:v>
      </x:c>
      <x:c r="H58" s="23" t="str">
        <x:v>☐ 未测试</x:v>
      </x:c>
      <x:c r="I58" s="23" t="str">
        <x:v>☐ 未测试</x:v>
      </x:c>
      <x:c r="J58" s="23" t="str">
        <x:v>☐ 未测试</x:v>
      </x:c>
    </x:row>
    <x:row r="59" ht="51" customHeight="1">
      <x:c r="A59" s="24" t="str">
        <x:v>汇川小型</x:v>
      </x:c>
      <x:c r="B59" s="24" t="str">
        <x:v>同步、通信异常与恢复</x:v>
      </x:c>
      <x:c r="C59" s="24" t="str">
        <x:v>N02</x:v>
      </x:c>
      <x:c r="D59" s="24" t="str">
        <x:v>通信周期范围</x:v>
      </x:c>
      <x:c r="E59" s="24" t="str">
        <x:v>实际支持的周期、最短/最长周期、模式与PDO配置对周期能力的限制，以及不支持周期的响应</x:v>
      </x:c>
      <x:c r="F59" s="21" t="str">
        <x:v>☐ 未测试</x:v>
      </x:c>
      <x:c r="G59" s="21" t="str">
        <x:v>☐ 未测试</x:v>
      </x:c>
      <x:c r="H59" s="21" t="str">
        <x:v>☐ 未测试</x:v>
      </x:c>
      <x:c r="I59" s="21" t="str">
        <x:v>☐ 未测试</x:v>
      </x:c>
      <x:c r="J59" s="21" t="str">
        <x:v>☐ 未测试</x:v>
      </x:c>
    </x:row>
    <x:row r="60" ht="51" customHeight="1">
      <x:c r="A60" s="19" t="str">
        <x:v>汇川小型</x:v>
      </x:c>
      <x:c r="B60" s="19" t="str">
        <x:v>同步、通信异常与恢复</x:v>
      </x:c>
      <x:c r="C60" s="19" t="str">
        <x:v>N03</x:v>
      </x:c>
      <x:c r="D60" s="19" t="str">
        <x:v>同步方式</x:v>
      </x:c>
      <x:c r="E60" s="19" t="str">
        <x:v>DC分布式时钟、SM事件同步、FreeRun等实际支持方式，各方式的配置限制及运动表现</x:v>
      </x:c>
      <x:c r="F60" s="21" t="str">
        <x:v>☐ 未测试</x:v>
      </x:c>
      <x:c r="G60" s="21" t="str">
        <x:v>☐ 未测试</x:v>
      </x:c>
      <x:c r="H60" s="21" t="str">
        <x:v>☐ 未测试</x:v>
      </x:c>
      <x:c r="I60" s="21" t="str">
        <x:v>☐ 未测试</x:v>
      </x:c>
      <x:c r="J60" s="21" t="str">
        <x:v>☐ 未测试</x:v>
      </x:c>
    </x:row>
    <x:row r="61" ht="51" customHeight="1">
      <x:c r="A61" s="24" t="str">
        <x:v>汇川小型</x:v>
      </x:c>
      <x:c r="B61" s="24" t="str">
        <x:v>同步、通信异常与恢复</x:v>
      </x:c>
      <x:c r="C61" s="24" t="str">
        <x:v>N04</x:v>
      </x:c>
      <x:c r="D61" s="24" t="str">
        <x:v>同步异常与时序容限</x:v>
      </x:c>
      <x:c r="E61" s="24" t="str">
        <x:v>周期抖动、任务超时、同步失锁/配置不匹配时的检测、报警、运动反应与重新同步</x:v>
      </x:c>
      <x:c r="F61" s="21" t="str">
        <x:v>☐ 未测试</x:v>
      </x:c>
      <x:c r="G61" s="21" t="str">
        <x:v>☐ 未测试</x:v>
      </x:c>
      <x:c r="H61" s="21" t="str">
        <x:v>☐ 未测试</x:v>
      </x:c>
      <x:c r="I61" s="21" t="str">
        <x:v>☐ 未测试</x:v>
      </x:c>
      <x:c r="J61" s="21" t="str">
        <x:v>☐ 未测试</x:v>
      </x:c>
    </x:row>
    <x:row r="62" ht="51" customHeight="1">
      <x:c r="A62" s="19" t="str">
        <x:v>汇川小型</x:v>
      </x:c>
      <x:c r="B62" s="19" t="str">
        <x:v>同步、通信异常与恢复</x:v>
      </x:c>
      <x:c r="C62" s="19" t="str">
        <x:v>N05</x:v>
      </x:c>
      <x:c r="D62" s="19" t="str">
        <x:v>通信看门狗</x:v>
      </x:c>
      <x:c r="E62" s="19" t="str">
        <x:v>超时检测是否提供、配置范围、触发条件、检测与反应时间，以及超时后的驱动状态</x:v>
      </x:c>
      <x:c r="F62" s="21" t="str">
        <x:v>☐ 未测试</x:v>
      </x:c>
      <x:c r="G62" s="21" t="str">
        <x:v>☐ 未测试</x:v>
      </x:c>
      <x:c r="H62" s="21" t="str">
        <x:v>☐ 未测试</x:v>
      </x:c>
      <x:c r="I62" s="21" t="str">
        <x:v>☐ 未测试</x:v>
      </x:c>
      <x:c r="J62" s="21" t="str">
        <x:v>☐ 未测试</x:v>
      </x:c>
    </x:row>
    <x:row r="63" ht="51" customHeight="1">
      <x:c r="A63" s="24" t="str">
        <x:v>汇川小型</x:v>
      </x:c>
      <x:c r="B63" s="24" t="str">
        <x:v>同步、通信异常与恢复</x:v>
      </x:c>
      <x:c r="C63" s="24" t="str">
        <x:v>N06</x:v>
      </x:c>
      <x:c r="D63" s="24" t="str">
        <x:v>断线与重连</x:v>
      </x:c>
      <x:c r="E63" s="24" t="str">
        <x:v>持续/间歇断链、重新接通时的节点状态、运动反应、自动或手动恢复能力</x:v>
      </x:c>
      <x:c r="F63" s="21" t="str">
        <x:v>☐ 未测试</x:v>
      </x:c>
      <x:c r="G63" s="21" t="str">
        <x:v>☐ 未测试</x:v>
      </x:c>
      <x:c r="H63" s="21" t="str">
        <x:v>☐ 未测试</x:v>
      </x:c>
      <x:c r="I63" s="21" t="str">
        <x:v>☐ 未测试</x:v>
      </x:c>
      <x:c r="J63" s="21" t="str">
        <x:v>☐ 未测试</x:v>
      </x:c>
    </x:row>
    <x:row r="64" ht="51" customHeight="1">
      <x:c r="A64" s="19" t="str">
        <x:v>汇川小型</x:v>
      </x:c>
      <x:c r="B64" s="19" t="str">
        <x:v>同步、通信异常与恢复</x:v>
      </x:c>
      <x:c r="C64" s="19" t="str">
        <x:v>N07</x:v>
      </x:c>
      <x:c r="D64" s="19" t="str">
        <x:v>PLC停止与继续运行</x:v>
      </x:c>
      <x:c r="E64" s="19" t="str">
        <x:v>PLC STOP/PROGRAM/RUN等实际操作下，过程数据是否继续更新、驱动如何反应、恢复运行后如何处理</x:v>
      </x:c>
      <x:c r="F64" s="21" t="str">
        <x:v>☐ 未测试</x:v>
      </x:c>
      <x:c r="G64" s="21" t="str">
        <x:v>☐ 未测试</x:v>
      </x:c>
      <x:c r="H64" s="21" t="str">
        <x:v>☐ 未测试</x:v>
      </x:c>
      <x:c r="I64" s="21" t="str">
        <x:v>☐ 未测试</x:v>
      </x:c>
      <x:c r="J64" s="21" t="str">
        <x:v>☐ 未测试</x:v>
      </x:c>
    </x:row>
    <x:row r="65" ht="51" customHeight="1">
      <x:c r="A65" s="24" t="str">
        <x:v>汇川小型</x:v>
      </x:c>
      <x:c r="B65" s="24" t="str">
        <x:v>同步、通信异常与恢复</x:v>
      </x:c>
      <x:c r="C65" s="24" t="str">
        <x:v>N08</x:v>
      </x:c>
      <x:c r="D65" s="24" t="str">
        <x:v>PLC重启与工程变更</x:v>
      </x:c>
      <x:c r="E65" s="24" t="str">
        <x:v>PLC/运行时重启、工程下载或重新激活后的重新建站、同步、参数及轴状态恢复能力</x:v>
      </x:c>
      <x:c r="F65" s="21" t="str">
        <x:v>☐ 未测试</x:v>
      </x:c>
      <x:c r="G65" s="21" t="str">
        <x:v>☐ 未测试</x:v>
      </x:c>
      <x:c r="H65" s="21" t="str">
        <x:v>☐ 未测试</x:v>
      </x:c>
      <x:c r="I65" s="21" t="str">
        <x:v>☐ 未测试</x:v>
      </x:c>
      <x:c r="J65" s="21" t="str">
        <x:v>☐ 未测试</x:v>
      </x:c>
    </x:row>
    <x:row r="66" ht="51" customHeight="1">
      <x:c r="A66" s="19" t="str">
        <x:v>汇川小型</x:v>
      </x:c>
      <x:c r="B66" s="19" t="str">
        <x:v>同步、通信异常与恢复</x:v>
      </x:c>
      <x:c r="C66" s="19" t="str">
        <x:v>N09</x:v>
      </x:c>
      <x:c r="D66" s="19" t="str">
        <x:v>驱动电源中断</x:v>
      </x:c>
      <x:c r="E66" s="19" t="str">
        <x:v>控制电与主回路电分别中断/恢复时的通信、报警、实际停机及本轴/下游节点影响</x:v>
      </x:c>
      <x:c r="F66" s="21" t="str">
        <x:v>☐ 未测试</x:v>
      </x:c>
      <x:c r="G66" s="21" t="str">
        <x:v>☐ 未测试</x:v>
      </x:c>
      <x:c r="H66" s="21" t="str">
        <x:v>☐ 未测试</x:v>
      </x:c>
      <x:c r="I66" s="21" t="str">
        <x:v>☐ 未测试</x:v>
      </x:c>
      <x:c r="J66" s="21" t="str">
        <x:v>☐ 未测试</x:v>
      </x:c>
    </x:row>
    <x:row r="67" ht="51" customHeight="1">
      <x:c r="A67" s="24" t="str">
        <x:v>汇川小型</x:v>
      </x:c>
      <x:c r="B67" s="24" t="str">
        <x:v>同步、通信异常与恢复</x:v>
      </x:c>
      <x:c r="C67" s="24" t="str">
        <x:v>N10</x:v>
      </x:c>
      <x:c r="D67" s="24" t="str">
        <x:v>上电顺序与延迟上线</x:v>
      </x:c>
      <x:c r="E67" s="24" t="str">
        <x:v>PLC先上电、驱动先上电、主电源晚到和从站延迟上线时的等待、超时及恢复表现</x:v>
      </x:c>
      <x:c r="F67" s="21" t="str">
        <x:v>☐ 未测试</x:v>
      </x:c>
      <x:c r="G67" s="21" t="str">
        <x:v>☐ 未测试</x:v>
      </x:c>
      <x:c r="H67" s="21" t="str">
        <x:v>☐ 未测试</x:v>
      </x:c>
      <x:c r="I67" s="21" t="str">
        <x:v>☐ 未测试</x:v>
      </x:c>
      <x:c r="J67" s="21" t="str">
        <x:v>☐ 未测试</x:v>
      </x:c>
    </x:row>
    <x:row r="68" ht="51" customHeight="1">
      <x:c r="A68" s="19" t="str">
        <x:v>汇川小型</x:v>
      </x:c>
      <x:c r="B68" s="19" t="str">
        <x:v>同步、通信异常与恢复</x:v>
      </x:c>
      <x:c r="C68" s="19" t="str">
        <x:v>N11</x:v>
      </x:c>
      <x:c r="D68" s="19" t="str">
        <x:v>通信恢复后的运动接管</x:v>
      </x:c>
      <x:c r="E68" s="19" t="str">
        <x:v>通信恢复后是否需清故障/重新使能，旧目标/旧命令的处理、位置连续性和意外续跑风险</x:v>
      </x:c>
      <x:c r="F68" s="21" t="str">
        <x:v>☐ 未测试</x:v>
      </x:c>
      <x:c r="G68" s="21" t="str">
        <x:v>☐ 未测试</x:v>
      </x:c>
      <x:c r="H68" s="21" t="str">
        <x:v>☐ 未测试</x:v>
      </x:c>
      <x:c r="I68" s="21" t="str">
        <x:v>☐ 未测试</x:v>
      </x:c>
      <x:c r="J68" s="21" t="str">
        <x:v>☐ 未测试</x:v>
      </x:c>
    </x:row>
    <x:row r="69" ht="51" customHeight="1">
      <x:c r="A69" s="24" t="str">
        <x:v>汇川小型</x:v>
      </x:c>
      <x:c r="B69" s="24" t="str">
        <x:v>同步、通信异常与恢复</x:v>
      </x:c>
      <x:c r="C69" s="24" t="str">
        <x:v>N12</x:v>
      </x:c>
      <x:c r="D69" s="24" t="str">
        <x:v>通信继续但目标不再更新</x:v>
      </x:c>
      <x:c r="E69" s="24" t="str">
        <x:v>PLC轨迹计算停止而总线仍发送旧目标时，是否能识别、由哪层处理、允许保持什么及保持多久</x:v>
      </x:c>
      <x:c r="F69" s="21" t="str">
        <x:v>☐ 未测试</x:v>
      </x:c>
      <x:c r="G69" s="21" t="str">
        <x:v>☐ 未测试</x:v>
      </x:c>
      <x:c r="H69" s="21" t="str">
        <x:v>☐ 未测试</x:v>
      </x:c>
      <x:c r="I69" s="21" t="str">
        <x:v>☐ 未测试</x:v>
      </x:c>
      <x:c r="J69" s="21" t="str">
        <x:v>☐ 未测试</x:v>
      </x:c>
    </x:row>
    <x:row r="70" ht="51" customHeight="1">
      <x:c r="A70" s="22" t="str">
        <x:v>汇川小型</x:v>
      </x:c>
      <x:c r="B70" s="22" t="str">
        <x:v>参数保存、启动配置与设备更换</x:v>
      </x:c>
      <x:c r="C70" s="22" t="str">
        <x:v>P01</x:v>
      </x:c>
      <x:c r="D70" s="22" t="str">
        <x:v>EtherCAT可配置范围</x:v>
      </x:c>
      <x:c r="E70" s="22" t="str">
        <x:v>电机/编码器、控制增益、滤波、制动器、I/O等实际参数中，哪些能从PLC经EtherCAT配置，哪些必须使用厂家工具及其通信接口</x:v>
      </x:c>
      <x:c r="F70" s="23" t="str">
        <x:v>☐ 未测试</x:v>
      </x:c>
      <x:c r="G70" s="23" t="str">
        <x:v>☐ 未测试</x:v>
      </x:c>
      <x:c r="H70" s="23" t="str">
        <x:v>☐ 未测试</x:v>
      </x:c>
      <x:c r="I70" s="23" t="str">
        <x:v>☐ 未测试</x:v>
      </x:c>
      <x:c r="J70" s="23" t="str">
        <x:v>☐ 未测试</x:v>
      </x:c>
    </x:row>
    <x:row r="71" ht="51" customHeight="1">
      <x:c r="A71" s="24" t="str">
        <x:v>汇川小型</x:v>
      </x:c>
      <x:c r="B71" s="24" t="str">
        <x:v>参数保存、启动配置与设备更换</x:v>
      </x:c>
      <x:c r="C71" s="24" t="str">
        <x:v>P02</x:v>
      </x:c>
      <x:c r="D71" s="24" t="str">
        <x:v>参数生效与联动</x:v>
      </x:c>
      <x:c r="E71" s="24" t="str">
        <x:v>在线立即生效、撤使能后生效、重启后生效的区别；关联参数能否成组更新，中途失败时是否留下部分配置</x:v>
      </x:c>
      <x:c r="F71" s="21" t="str">
        <x:v>☐ 未测试</x:v>
      </x:c>
      <x:c r="G71" s="21" t="str">
        <x:v>☐ 未测试</x:v>
      </x:c>
      <x:c r="H71" s="21" t="str">
        <x:v>☐ 未测试</x:v>
      </x:c>
      <x:c r="I71" s="21" t="str">
        <x:v>☐ 未测试</x:v>
      </x:c>
      <x:c r="J71" s="21" t="str">
        <x:v>☐ 未测试</x:v>
      </x:c>
    </x:row>
    <x:row r="72" ht="51" customHeight="1">
      <x:c r="A72" s="19" t="str">
        <x:v>汇川小型</x:v>
      </x:c>
      <x:c r="B72" s="19" t="str">
        <x:v>参数保存、启动配置与设备更换</x:v>
      </x:c>
      <x:c r="C72" s="19" t="str">
        <x:v>P03</x:v>
      </x:c>
      <x:c r="D72" s="19" t="str">
        <x:v>参数保存与掉电保持</x:v>
      </x:c>
      <x:c r="E72" s="19" t="str">
        <x:v>临时值与永久值的区别、保存入口、保存完成/失败反馈，以及重启和断电后的实际保持范围</x:v>
      </x:c>
      <x:c r="F72" s="21" t="str">
        <x:v>☐ 未测试</x:v>
      </x:c>
      <x:c r="G72" s="21" t="str">
        <x:v>☐ 未测试</x:v>
      </x:c>
      <x:c r="H72" s="21" t="str">
        <x:v>☐ 未测试</x:v>
      </x:c>
      <x:c r="I72" s="21" t="str">
        <x:v>☐ 未测试</x:v>
      </x:c>
      <x:c r="J72" s="21" t="str">
        <x:v>☐ 未测试</x:v>
      </x:c>
    </x:row>
    <x:row r="73" ht="51" customHeight="1">
      <x:c r="A73" s="24" t="str">
        <x:v>汇川小型</x:v>
      </x:c>
      <x:c r="B73" s="24" t="str">
        <x:v>参数保存、启动配置与设备更换</x:v>
      </x:c>
      <x:c r="C73" s="24" t="str">
        <x:v>P04</x:v>
      </x:c>
      <x:c r="D73" s="24" t="str">
        <x:v>启动参数与现有参数的覆盖</x:v>
      </x:c>
      <x:c r="E73" s="24" t="str">
        <x:v>PLC启动参数、驱动已保存参数、在线修改值和PDO周期写入并存时，实际采用哪一个值、何时被覆盖及如何追溯来源</x:v>
      </x:c>
      <x:c r="F73" s="21" t="str">
        <x:v>☐ 未测试</x:v>
      </x:c>
      <x:c r="G73" s="21" t="str">
        <x:v>☐ 未测试</x:v>
      </x:c>
      <x:c r="H73" s="21" t="str">
        <x:v>☐ 未测试</x:v>
      </x:c>
      <x:c r="I73" s="21" t="str">
        <x:v>☐ 未测试</x:v>
      </x:c>
      <x:c r="J73" s="21" t="str">
        <x:v>☐ 未测试</x:v>
      </x:c>
    </x:row>
    <x:row r="74" ht="51" customHeight="1">
      <x:c r="A74" s="19" t="str">
        <x:v>汇川小型</x:v>
      </x:c>
      <x:c r="B74" s="19" t="str">
        <x:v>参数保存、启动配置与设备更换</x:v>
      </x:c>
      <x:c r="C74" s="19" t="str">
        <x:v>P05</x:v>
      </x:c>
      <x:c r="D74" s="19" t="str">
        <x:v>启动参数下发异常</x:v>
      </x:c>
      <x:c r="E74" s="19" t="str">
        <x:v>参数依赖/顺序、下发状态、超时、拒写或部分失败时的提示、建站结果及重试后的配置完整性</x:v>
      </x:c>
      <x:c r="F74" s="21" t="str">
        <x:v>☐ 未测试</x:v>
      </x:c>
      <x:c r="G74" s="21" t="str">
        <x:v>☐ 未测试</x:v>
      </x:c>
      <x:c r="H74" s="21" t="str">
        <x:v>☐ 未测试</x:v>
      </x:c>
      <x:c r="I74" s="21" t="str">
        <x:v>☐ 未测试</x:v>
      </x:c>
      <x:c r="J74" s="21" t="str">
        <x:v>☐ 未测试</x:v>
      </x:c>
    </x:row>
    <x:row r="75" ht="51" customHeight="1">
      <x:c r="A75" s="24" t="str">
        <x:v>汇川小型</x:v>
      </x:c>
      <x:c r="B75" s="24" t="str">
        <x:v>参数保存、启动配置与设备更换</x:v>
      </x:c>
      <x:c r="C75" s="24" t="str">
        <x:v>P06</x:v>
      </x:c>
      <x:c r="D75" s="24" t="str">
        <x:v>参数备份与恢复</x:v>
      </x:c>
      <x:c r="E75" s="24" t="str">
        <x:v>PLC或厂家工具可导出/恢复的范围、遗漏项、差异比较，以及恢复后的实际配置与原机是否一致；记录实际传输接口</x:v>
      </x:c>
      <x:c r="F75" s="21" t="str">
        <x:v>☐ 未测试</x:v>
      </x:c>
      <x:c r="G75" s="21" t="str">
        <x:v>☐ 未测试</x:v>
      </x:c>
      <x:c r="H75" s="21" t="str">
        <x:v>☐ 未测试</x:v>
      </x:c>
      <x:c r="I75" s="21" t="str">
        <x:v>☐ 未测试</x:v>
      </x:c>
      <x:c r="J75" s="21" t="str">
        <x:v>☐ 未测试</x:v>
      </x:c>
    </x:row>
    <x:row r="76" ht="51" customHeight="1">
      <x:c r="A76" s="19" t="str">
        <x:v>汇川小型</x:v>
      </x:c>
      <x:c r="B76" s="19" t="str">
        <x:v>参数保存、启动配置与设备更换</x:v>
      </x:c>
      <x:c r="C76" s="19" t="str">
        <x:v>P07</x:v>
      </x:c>
      <x:c r="D76" s="19" t="str">
        <x:v>恢复默认设置</x:v>
      </x:c>
      <x:c r="E76" s="19" t="str">
        <x:v>支持整机/分组恢复哪些默认值，对通信、轴配置及重新接入的影响；厂家工具与EtherCAT入口分别记录</x:v>
      </x:c>
      <x:c r="F76" s="21" t="str">
        <x:v>☐ 未测试</x:v>
      </x:c>
      <x:c r="G76" s="21" t="str">
        <x:v>☐ 未测试</x:v>
      </x:c>
      <x:c r="H76" s="21" t="str">
        <x:v>☐ 未测试</x:v>
      </x:c>
      <x:c r="I76" s="21" t="str">
        <x:v>☐ 未测试</x:v>
      </x:c>
      <x:c r="J76" s="21" t="str">
        <x:v>☐ 未测试</x:v>
      </x:c>
    </x:row>
    <x:row r="77" ht="51" customHeight="1">
      <x:c r="A77" s="24" t="str">
        <x:v>汇川小型</x:v>
      </x:c>
      <x:c r="B77" s="24" t="str">
        <x:v>参数保存、启动配置与设备更换</x:v>
      </x:c>
      <x:c r="C77" s="24" t="str">
        <x:v>P08</x:v>
      </x:c>
      <x:c r="D77" s="24" t="str">
        <x:v>设备与版本匹配</x:v>
      </x:c>
      <x:c r="E77" s="24" t="str">
        <x:v>型号、产品标识、硬件/固件版本与ESI、PLC工程的匹配检查；不匹配时能否识别、提示并定位差异</x:v>
      </x:c>
      <x:c r="F77" s="21" t="str">
        <x:v>☐ 未测试</x:v>
      </x:c>
      <x:c r="G77" s="21" t="str">
        <x:v>☐ 未测试</x:v>
      </x:c>
      <x:c r="H77" s="21" t="str">
        <x:v>☐ 未测试</x:v>
      </x:c>
      <x:c r="I77" s="21" t="str">
        <x:v>☐ 未测试</x:v>
      </x:c>
      <x:c r="J77" s="21" t="str">
        <x:v>☐ 未测试</x:v>
      </x:c>
    </x:row>
    <x:row r="78" ht="51" customHeight="1">
      <x:c r="A78" s="19" t="str">
        <x:v>汇川小型</x:v>
      </x:c>
      <x:c r="B78" s="19" t="str">
        <x:v>参数保存、启动配置与设备更换</x:v>
      </x:c>
      <x:c r="C78" s="19" t="str">
        <x:v>P09</x:v>
      </x:c>
      <x:c r="D78" s="19" t="str">
        <x:v>更换驱动与配置迁移</x:v>
      </x:c>
      <x:c r="E78" s="19" t="str">
        <x:v>同型号同版本及厂家声明兼容的版本之间，更换后哪些配置可自动恢复、哪些需人工补齐；节点身份、轴对应和机器专用参数是否正确</x:v>
      </x:c>
      <x:c r="F78" s="21" t="str">
        <x:v>☐ 未测试</x:v>
      </x:c>
      <x:c r="G78" s="21" t="str">
        <x:v>☐ 未测试</x:v>
      </x:c>
      <x:c r="H78" s="21" t="str">
        <x:v>☐ 未测试</x:v>
      </x:c>
      <x:c r="I78" s="21" t="str">
        <x:v>☐ 未测试</x:v>
      </x:c>
      <x:c r="J78" s="21" t="str">
        <x:v>☐ 未测试</x:v>
      </x:c>
    </x:row>
    <x:row r="79" ht="51" customHeight="1">
      <x:c r="A79" s="24" t="str">
        <x:v>汇川小型</x:v>
      </x:c>
      <x:c r="B79" s="24" t="str">
        <x:v>参数保存、启动配置与设备更换</x:v>
      </x:c>
      <x:c r="C79" s="24" t="str">
        <x:v>P10</x:v>
      </x:c>
      <x:c r="D79" s="24" t="str">
        <x:v>固件升级与升级后兼容性</x:v>
      </x:c>
      <x:c r="E79" s="24" t="str">
        <x:v>是否支持经EtherCAT升级（如FoE），实际限制、失败/中断恢复能力，以及升级后的参数、对象字典、PDO和原PLC工程兼容性</x:v>
      </x:c>
      <x:c r="F79" s="21" t="str">
        <x:v>☐ 未测试</x:v>
      </x:c>
      <x:c r="G79" s="21" t="str">
        <x:v>☐ 未测试</x:v>
      </x:c>
      <x:c r="H79" s="21" t="str">
        <x:v>☐ 未测试</x:v>
      </x:c>
      <x:c r="I79" s="21" t="str">
        <x:v>☐ 未测试</x:v>
      </x:c>
      <x:c r="J79" s="21" t="str">
        <x:v>☐ 未测试</x:v>
      </x:c>
    </x:row>
    <x:row r="80" ht="51" customHeight="1">
      <x:c r="A80" s="22" t="str">
        <x:v>汇川小型</x:v>
      </x:c>
      <x:c r="B80" s="22" t="str">
        <x:v>报警、诊断与现场排障</x:v>
      </x:c>
      <x:c r="C80" s="22" t="str">
        <x:v>A01</x:v>
      </x:c>
      <x:c r="D80" s="22" t="str">
        <x:v>当前故障与警告</x:v>
      </x:c>
      <x:c r="E80" s="22" t="str">
        <x:v>可读取哪些故障/警告、严重程度及详细原因；仅预警、限制运行与停机故障如何区分，当前状态是否及时更新</x:v>
      </x:c>
      <x:c r="F80" s="23" t="str">
        <x:v>☐ 未测试</x:v>
      </x:c>
      <x:c r="G80" s="23" t="str">
        <x:v>☐ 未测试</x:v>
      </x:c>
      <x:c r="H80" s="23" t="str">
        <x:v>☐ 未测试</x:v>
      </x:c>
      <x:c r="I80" s="23" t="str">
        <x:v>☐ 未测试</x:v>
      </x:c>
      <x:c r="J80" s="23" t="str">
        <x:v>☐ 未测试</x:v>
      </x:c>
    </x:row>
    <x:row r="81" ht="51" customHeight="1">
      <x:c r="A81" s="24" t="str">
        <x:v>汇川小型</x:v>
      </x:c>
      <x:c r="B81" s="24" t="str">
        <x:v>报警、诊断与现场排障</x:v>
      </x:c>
      <x:c r="C81" s="24" t="str">
        <x:v>A02</x:v>
      </x:c>
      <x:c r="D81" s="24" t="str">
        <x:v>PLC与驱动报警对应</x:v>
      </x:c>
      <x:c r="E81" s="24" t="str">
        <x:v>PLC轴错误、EtherCAT通信错误、驱动故障码与厂家工具显示如何对应；能否从PLC获得原始原因而非只有通用错误</x:v>
      </x:c>
      <x:c r="F81" s="21" t="str">
        <x:v>☐ 未测试</x:v>
      </x:c>
      <x:c r="G81" s="21" t="str">
        <x:v>☐ 未测试</x:v>
      </x:c>
      <x:c r="H81" s="21" t="str">
        <x:v>☐ 未测试</x:v>
      </x:c>
      <x:c r="I81" s="21" t="str">
        <x:v>☐ 未测试</x:v>
      </x:c>
      <x:c r="J81" s="21" t="str">
        <x:v>☐ 未测试</x:v>
      </x:c>
    </x:row>
    <x:row r="82" ht="51" customHeight="1">
      <x:c r="A82" s="19" t="str">
        <x:v>汇川小型</x:v>
      </x:c>
      <x:c r="B82" s="19" t="str">
        <x:v>报警、诊断与现场排障</x:v>
      </x:c>
      <x:c r="C82" s="19" t="str">
        <x:v>A03</x:v>
      </x:c>
      <x:c r="D82" s="19" t="str">
        <x:v>短时与连续报警事件</x:v>
      </x:c>
      <x:c r="E82" s="19" t="str">
        <x:v>实际提供的事件通知/主动上报或轮询机制，短时出现后消失、连续发生及重复故障能否被PLC捕获；延迟、去重和丢失边界</x:v>
      </x:c>
      <x:c r="F82" s="21" t="str">
        <x:v>☐ 未测试</x:v>
      </x:c>
      <x:c r="G82" s="21" t="str">
        <x:v>☐ 未测试</x:v>
      </x:c>
      <x:c r="H82" s="21" t="str">
        <x:v>☐ 未测试</x:v>
      </x:c>
      <x:c r="I82" s="21" t="str">
        <x:v>☐ 未测试</x:v>
      </x:c>
      <x:c r="J82" s="21" t="str">
        <x:v>☐ 未测试</x:v>
      </x:c>
    </x:row>
    <x:row r="83" ht="51" customHeight="1">
      <x:c r="A83" s="24" t="str">
        <x:v>汇川小型</x:v>
      </x:c>
      <x:c r="B83" s="24" t="str">
        <x:v>报警、诊断与现场排障</x:v>
      </x:c>
      <x:c r="C83" s="24" t="str">
        <x:v>A04</x:v>
      </x:c>
      <x:c r="D83" s="24" t="str">
        <x:v>故障历史与保持</x:v>
      </x:c>
      <x:c r="E83" s="24" t="str">
        <x:v>历史容量、先后顺序、时间信息及故障现场值；清故障、重启、掉电后的保留情况及清除入口</x:v>
      </x:c>
      <x:c r="F83" s="21" t="str">
        <x:v>☐ 未测试</x:v>
      </x:c>
      <x:c r="G83" s="21" t="str">
        <x:v>☐ 未测试</x:v>
      </x:c>
      <x:c r="H83" s="21" t="str">
        <x:v>☐ 未测试</x:v>
      </x:c>
      <x:c r="I83" s="21" t="str">
        <x:v>☐ 未测试</x:v>
      </x:c>
      <x:c r="J83" s="21" t="str">
        <x:v>☐ 未测试</x:v>
      </x:c>
    </x:row>
    <x:row r="84" ht="51" customHeight="1">
      <x:c r="A84" s="19" t="str">
        <x:v>汇川小型</x:v>
      </x:c>
      <x:c r="B84" s="19" t="str">
        <x:v>报警、诊断与现场排障</x:v>
      </x:c>
      <x:c r="C84" s="19" t="str">
        <x:v>A05</x:v>
      </x:c>
      <x:c r="D84" s="19" t="str">
        <x:v>多故障与最初原因</x:v>
      </x:c>
      <x:c r="E84" s="19" t="str">
        <x:v>多个故障同时或先后发生时，首个原因、后续连锁故障和仍未消除的原因能否区分，显示/上报优先级如何处理</x:v>
      </x:c>
      <x:c r="F84" s="21" t="str">
        <x:v>☐ 未测试</x:v>
      </x:c>
      <x:c r="G84" s="21" t="str">
        <x:v>☐ 未测试</x:v>
      </x:c>
      <x:c r="H84" s="21" t="str">
        <x:v>☐ 未测试</x:v>
      </x:c>
      <x:c r="I84" s="21" t="str">
        <x:v>☐ 未测试</x:v>
      </x:c>
      <x:c r="J84" s="21" t="str">
        <x:v>☐ 未测试</x:v>
      </x:c>
    </x:row>
    <x:row r="85" ht="51" customHeight="1">
      <x:c r="A85" s="24" t="str">
        <x:v>汇川小型</x:v>
      </x:c>
      <x:c r="B85" s="24" t="str">
        <x:v>报警、诊断与现场排障</x:v>
      </x:c>
      <x:c r="C85" s="24" t="str">
        <x:v>A06</x:v>
      </x:c>
      <x:c r="D85" s="24" t="str">
        <x:v>无报警但不动作的诊断</x:v>
      </x:c>
      <x:c r="E85" s="24" t="str">
        <x:v>未使能、模式未就绪、限位、指令未接受、控制权冲突等场景，能否看到具体阻止原因及命令接受/执行状态</x:v>
      </x:c>
      <x:c r="F85" s="21" t="str">
        <x:v>☐ 未测试</x:v>
      </x:c>
      <x:c r="G85" s="21" t="str">
        <x:v>☐ 未测试</x:v>
      </x:c>
      <x:c r="H85" s="21" t="str">
        <x:v>☐ 未测试</x:v>
      </x:c>
      <x:c r="I85" s="21" t="str">
        <x:v>☐ 未测试</x:v>
      </x:c>
      <x:c r="J85" s="21" t="str">
        <x:v>☐ 未测试</x:v>
      </x:c>
    </x:row>
    <x:row r="86" ht="51" customHeight="1">
      <x:c r="A86" s="19" t="str">
        <x:v>汇川小型</x:v>
      </x:c>
      <x:c r="B86" s="19" t="str">
        <x:v>报警、诊断与现场排障</x:v>
      </x:c>
      <x:c r="C86" s="19" t="str">
        <x:v>A07</x:v>
      </x:c>
      <x:c r="D86" s="19" t="str">
        <x:v>运行状态与诊断量</x:v>
      </x:c>
      <x:c r="E86" s="19" t="str">
        <x:v>实际开放的跟随误差、负载/转矩、母线电压、温度、I/O及通信诊断量的访问入口、单位、刷新速度和有效性；区分主站统计与驱动提供的数据</x:v>
      </x:c>
      <x:c r="F86" s="21" t="str">
        <x:v>☐ 未测试</x:v>
      </x:c>
      <x:c r="G86" s="21" t="str">
        <x:v>☐ 未测试</x:v>
      </x:c>
      <x:c r="H86" s="21" t="str">
        <x:v>☐ 未测试</x:v>
      </x:c>
      <x:c r="I86" s="21" t="str">
        <x:v>☐ 未测试</x:v>
      </x:c>
      <x:c r="J86" s="21" t="str">
        <x:v>☐ 未测试</x:v>
      </x:c>
    </x:row>
    <x:row r="87" ht="51" customHeight="1">
      <x:c r="A87" s="24" t="str">
        <x:v>汇川小型</x:v>
      </x:c>
      <x:c r="B87" s="24" t="str">
        <x:v>报警、诊断与现场排障</x:v>
      </x:c>
      <x:c r="C87" s="24" t="str">
        <x:v>A08</x:v>
      </x:c>
      <x:c r="D87" s="24" t="str">
        <x:v>波形与故障现场捕获</x:v>
      </x:c>
      <x:c r="E87" s="24" t="str">
        <x:v>PLC采样和驱动内部记录各能捕获哪些量、采样周期/长度、触发及故障前后数据；能否经EtherCAT取得，断线后哪些证据仍可保留</x:v>
      </x:c>
      <x:c r="F87" s="21" t="str">
        <x:v>☐ 未测试</x:v>
      </x:c>
      <x:c r="G87" s="21" t="str">
        <x:v>☐ 未测试</x:v>
      </x:c>
      <x:c r="H87" s="21" t="str">
        <x:v>☐ 未测试</x:v>
      </x:c>
      <x:c r="I87" s="21" t="str">
        <x:v>☐ 未测试</x:v>
      </x:c>
      <x:c r="J87" s="21" t="str">
        <x:v>☐ 未测试</x:v>
      </x:c>
    </x:row>
    <x:row r="88" ht="51" customHeight="1">
      <x:c r="A88" s="19" t="str">
        <x:v>汇川小型</x:v>
      </x:c>
      <x:c r="B88" s="19" t="str">
        <x:v>报警、诊断与现场排障</x:v>
      </x:c>
      <x:c r="C88" s="19" t="str">
        <x:v>A09</x:v>
      </x:c>
      <x:c r="D88" s="19" t="str">
        <x:v>诊断资料导出与追溯</x:v>
      </x:c>
      <x:c r="E88" s="19" t="str">
        <x:v>报警历史、波形、参数快照、通信状态及设备/软件版本能否导出并关联到同一故障；明确需从哪些入口分别取得及时间能否对齐</x:v>
      </x:c>
      <x:c r="F88" s="21" t="str">
        <x:v>☐ 未测试</x:v>
      </x:c>
      <x:c r="G88" s="21" t="str">
        <x:v>☐ 未测试</x:v>
      </x:c>
      <x:c r="H88" s="21" t="str">
        <x:v>☐ 未测试</x:v>
      </x:c>
      <x:c r="I88" s="21" t="str">
        <x:v>☐ 未测试</x:v>
      </x:c>
      <x:c r="J88" s="21" t="str">
        <x:v>☐ 未测试</x:v>
      </x:c>
    </x:row>
    <x:row r="89" ht="51" customHeight="1">
      <x:c r="A89" s="25" t="str">
        <x:v>汇川小型</x:v>
      </x:c>
      <x:c r="B89" s="25" t="str">
        <x:v>运动指令衔接与多轴配合</x:v>
      </x:c>
      <x:c r="C89" s="25" t="str">
        <x:v>C01</x:v>
      </x:c>
      <x:c r="D89" s="25" t="str">
        <x:v>点动与正反向切换</x:v>
      </x:c>
      <x:c r="E89" s="25" t="str">
        <x:v>持续点动、松开停止、快速重复点动、运行中换向及正反命令同时出现时的动作、停止距离和状态反馈</x:v>
      </x:c>
      <x:c r="F89" s="23" t="str">
        <x:v>☐ 未测试</x:v>
      </x:c>
      <x:c r="G89" s="23" t="str">
        <x:v>☐ 未测试</x:v>
      </x:c>
      <x:c r="H89" s="23" t="str">
        <x:v>☐ 未测试</x:v>
      </x:c>
      <x:c r="I89" s="23" t="str">
        <x:v>☐ 未测试</x:v>
      </x:c>
      <x:c r="J89" s="23" t="str">
        <x:v>☐ 未测试</x:v>
      </x:c>
    </x:row>
    <x:row r="90" ht="51" customHeight="1">
      <x:c r="A90" s="19" t="str">
        <x:v>汇川小型</x:v>
      </x:c>
      <x:c r="B90" s="19" t="str">
        <x:v>运动指令衔接与多轴配合</x:v>
      </x:c>
      <x:c r="C90" s="19" t="str">
        <x:v>C02</x:v>
      </x:c>
      <x:c r="D90" s="19" t="str">
        <x:v>运动中更新目标</x:v>
      </x:c>
      <x:c r="E90" s="19" t="str">
        <x:v>定位或速度运动中修改目标位置、速度、加减速等实际允许的量，更新生效时机、轨迹连续性及不允许更新时的响应</x:v>
      </x:c>
      <x:c r="F90" s="21" t="str">
        <x:v>☐ 未测试</x:v>
      </x:c>
      <x:c r="G90" s="21" t="str">
        <x:v>☐ 未测试</x:v>
      </x:c>
      <x:c r="H90" s="21" t="str">
        <x:v>☐ 未测试</x:v>
      </x:c>
      <x:c r="I90" s="21" t="str">
        <x:v>☐ 未测试</x:v>
      </x:c>
      <x:c r="J90" s="21" t="str">
        <x:v>☐ 未测试</x:v>
      </x:c>
    </x:row>
    <x:row r="91" ht="51" customHeight="1">
      <x:c r="A91" s="24" t="str">
        <x:v>汇川小型</x:v>
      </x:c>
      <x:c r="B91" s="24" t="str">
        <x:v>运动指令衔接与多轴配合</x:v>
      </x:c>
      <x:c r="C91" s="24" t="str">
        <x:v>C03</x:v>
      </x:c>
      <x:c r="D91" s="24" t="str">
        <x:v>连续指令、排队与打断</x:v>
      </x:c>
      <x:c r="E91" s="24" t="str">
        <x:v>多段定位/运动的立即打断、排队执行、连续过渡等实际支持方式；命令顺序、交接速度、队列限制及被中断指令的反馈</x:v>
      </x:c>
      <x:c r="F91" s="21" t="str">
        <x:v>☐ 未测试</x:v>
      </x:c>
      <x:c r="G91" s="21" t="str">
        <x:v>☐ 未测试</x:v>
      </x:c>
      <x:c r="H91" s="21" t="str">
        <x:v>☐ 未测试</x:v>
      </x:c>
      <x:c r="I91" s="21" t="str">
        <x:v>☐ 未测试</x:v>
      </x:c>
      <x:c r="J91" s="21" t="str">
        <x:v>☐ 未测试</x:v>
      </x:c>
    </x:row>
    <x:row r="92" ht="51" customHeight="1">
      <x:c r="A92" s="19" t="str">
        <x:v>汇川小型</x:v>
      </x:c>
      <x:c r="B92" s="19" t="str">
        <x:v>运动指令衔接与多轴配合</x:v>
      </x:c>
      <x:c r="C92" s="19" t="str">
        <x:v>C04</x:v>
      </x:c>
      <x:c r="D92" s="19" t="str">
        <x:v>运行倍率与动态限制</x:v>
      </x:c>
      <x:c r="E92" s="19" t="str">
        <x:v>PLC速度倍率、加速度/减速度倍率等实际能力及驱动限速/限矩共同作用时的运动表现；调低、恢复或超出允许范围时的响应</x:v>
      </x:c>
      <x:c r="F92" s="21" t="str">
        <x:v>☐ 未测试</x:v>
      </x:c>
      <x:c r="G92" s="21" t="str">
        <x:v>☐ 未测试</x:v>
      </x:c>
      <x:c r="H92" s="21" t="str">
        <x:v>☐ 未测试</x:v>
      </x:c>
      <x:c r="I92" s="21" t="str">
        <x:v>☐ 未测试</x:v>
      </x:c>
      <x:c r="J92" s="21" t="str">
        <x:v>☐ 未测试</x:v>
      </x:c>
    </x:row>
    <x:row r="93" ht="51" customHeight="1">
      <x:c r="A93" s="24" t="str">
        <x:v>汇川小型</x:v>
      </x:c>
      <x:c r="B93" s="24" t="str">
        <x:v>运动指令衔接与多轴配合</x:v>
      </x:c>
      <x:c r="C93" s="24" t="str">
        <x:v>C05</x:v>
      </x:c>
      <x:c r="D93" s="24" t="str">
        <x:v>多轴同步运动</x:v>
      </x:c>
      <x:c r="E93" s="24" t="str">
        <x:v>多轴共同起停、反向及连续轨迹时的实际位置/速度关系和同步误差；记录轴数、周期、负载和误差测量方法</x:v>
      </x:c>
      <x:c r="F93" s="21" t="str">
        <x:v>☐ 未测试</x:v>
      </x:c>
      <x:c r="G93" s="21" t="str">
        <x:v>☐ 未测试</x:v>
      </x:c>
      <x:c r="H93" s="21" t="str">
        <x:v>☐ 未测试</x:v>
      </x:c>
      <x:c r="I93" s="21" t="str">
        <x:v>☐ 未测试</x:v>
      </x:c>
      <x:c r="J93" s="21" t="str">
        <x:v>☐ 未测试</x:v>
      </x:c>
    </x:row>
    <x:row r="94" ht="51" customHeight="1">
      <x:c r="A94" s="19" t="str">
        <x:v>汇川小型</x:v>
      </x:c>
      <x:c r="B94" s="19" t="str">
        <x:v>运动指令衔接与多轴配合</x:v>
      </x:c>
      <x:c r="C94" s="19" t="str">
        <x:v>C06</x:v>
      </x:c>
      <x:c r="D94" s="19" t="str">
        <x:v>电子齿轮跟随</x:v>
      </x:c>
      <x:c r="E94" s="19" t="str">
        <x:v>虚拟/实际主轴等实际来源、比例/方向、接入/退出及主轴停转/反转时的跟随表现，运行中改比例和重新同步的限制</x:v>
      </x:c>
      <x:c r="F94" s="21" t="str">
        <x:v>☐ 未测试</x:v>
      </x:c>
      <x:c r="G94" s="21" t="str">
        <x:v>☐ 未测试</x:v>
      </x:c>
      <x:c r="H94" s="21" t="str">
        <x:v>☐ 未测试</x:v>
      </x:c>
      <x:c r="I94" s="21" t="str">
        <x:v>☐ 未测试</x:v>
      </x:c>
      <x:c r="J94" s="21" t="str">
        <x:v>☐ 未测试</x:v>
      </x:c>
    </x:row>
    <x:row r="95" ht="51" customHeight="1">
      <x:c r="A95" s="24" t="str">
        <x:v>汇川小型</x:v>
      </x:c>
      <x:c r="B95" s="24" t="str">
        <x:v>运动指令衔接与多轴配合</x:v>
      </x:c>
      <x:c r="C95" s="24" t="str">
        <x:v>C07</x:v>
      </x:c>
      <x:c r="D95" s="24" t="str">
        <x:v>电子凸轮</x:v>
      </x:c>
      <x:c r="E95" s="24" t="str">
        <x:v>实际支持的凸轮表、接入/退出、周期运行、相位/偏置调整和表切换能力，以及主轴停转/反转后的轨迹与同步表现</x:v>
      </x:c>
      <x:c r="F95" s="21" t="str">
        <x:v>☐ 未测试</x:v>
      </x:c>
      <x:c r="G95" s="21" t="str">
        <x:v>☐ 未测试</x:v>
      </x:c>
      <x:c r="H95" s="21" t="str">
        <x:v>☐ 未测试</x:v>
      </x:c>
      <x:c r="I95" s="21" t="str">
        <x:v>☐ 未测试</x:v>
      </x:c>
      <x:c r="J95" s="21" t="str">
        <x:v>☐ 未测试</x:v>
      </x:c>
    </x:row>
    <x:row r="96" ht="51" customHeight="1">
      <x:c r="A96" s="19" t="str">
        <x:v>汇川小型</x:v>
      </x:c>
      <x:c r="B96" s="19" t="str">
        <x:v>运动指令衔接与多轴配合</x:v>
      </x:c>
      <x:c r="C96" s="19" t="str">
        <x:v>C08</x:v>
      </x:c>
      <x:c r="D96" s="19" t="str">
        <x:v>轴组与插补运动</x:v>
      </x:c>
      <x:c r="E96" s="19" t="str">
        <x:v>平台实际支持的直线/圆弧等轴组运动、连续轨迹衔接、暂停/恢复及组状态反馈，记录实际轨迹误差和驱动配合限制</x:v>
      </x:c>
      <x:c r="F96" s="21" t="str">
        <x:v>☐ 未测试</x:v>
      </x:c>
      <x:c r="G96" s="21" t="str">
        <x:v>☐ 未测试</x:v>
      </x:c>
      <x:c r="H96" s="21" t="str">
        <x:v>☐ 未测试</x:v>
      </x:c>
      <x:c r="I96" s="21" t="str">
        <x:v>☐ 未测试</x:v>
      </x:c>
      <x:c r="J96" s="21" t="str">
        <x:v>☐ 未测试</x:v>
      </x:c>
    </x:row>
    <x:row r="97" ht="51" customHeight="1">
      <x:c r="A97" s="24" t="str">
        <x:v>汇川小型</x:v>
      </x:c>
      <x:c r="B97" s="24" t="str">
        <x:v>运动指令衔接与多轴配合</x:v>
      </x:c>
      <x:c r="C97" s="24" t="str">
        <x:v>C09</x:v>
      </x:c>
      <x:c r="D97" s="24" t="str">
        <x:v>联动中的单轴异常</x:v>
      </x:c>
      <x:c r="E97" s="24" t="str">
        <x:v>跟随轴/主轴故障、触限位、撤使能或掉线时其他轴及轴组的行为，解除联动、清错、重新接入和恢复后的相位/位置关系</x:v>
      </x:c>
      <x:c r="F97" s="21" t="str">
        <x:v>☐ 未测试</x:v>
      </x:c>
      <x:c r="G97" s="21" t="str">
        <x:v>☐ 未测试</x:v>
      </x:c>
      <x:c r="H97" s="21" t="str">
        <x:v>☐ 未测试</x:v>
      </x:c>
      <x:c r="I97" s="21" t="str">
        <x:v>☐ 未测试</x:v>
      </x:c>
      <x:c r="J97" s="21" t="str">
        <x:v>☐ 未测试</x:v>
      </x:c>
    </x:row>
    <x:row r="98" ht="51" customHeight="1">
      <x:c r="A98" s="19" t="str">
        <x:v>汇川小型</x:v>
      </x:c>
      <x:c r="B98" s="19" t="str">
        <x:v>运动指令衔接与多轴配合</x:v>
      </x:c>
      <x:c r="C98" s="19" t="str">
        <x:v>C10</x:v>
      </x:c>
      <x:c r="D98" s="19" t="str">
        <x:v>一台EtherCAT设备控制多轴</x:v>
      </x:c>
      <x:c r="E98" s="19" t="str">
        <x:v>单从站多轴产品的各通道对象/PDO/状态/报警是否对应，能否独立和同时运行，以及共享资源或单通道异常对其他通道的影响</x:v>
      </x:c>
      <x:c r="F98" s="21" t="str">
        <x:v>☐ 未测试</x:v>
      </x:c>
      <x:c r="G98" s="21" t="str">
        <x:v>☐ 未测试</x:v>
      </x:c>
      <x:c r="H98" s="21" t="str">
        <x:v>☐ 未测试</x:v>
      </x:c>
      <x:c r="I98" s="21" t="str">
        <x:v>☐ 未测试</x:v>
      </x:c>
      <x:c r="J98" s="21" t="str">
        <x:v>☐ 未测试</x:v>
      </x:c>
    </x:row>
    <x:row r="99" ht="51" customHeight="1">
      <x:c r="A99" s="25" t="str">
        <x:v>汇川小型</x:v>
      </x:c>
      <x:c r="B99" s="25" t="str">
        <x:v>网络组合、容量与长期运行</x:v>
      </x:c>
      <x:c r="C99" s="25" t="str">
        <x:v>T01</x:v>
      </x:c>
      <x:c r="D99" s="25" t="str">
        <x:v>多台驱动识别与轴对应</x:v>
      </x:c>
      <x:c r="E99" s="25" t="str">
        <x:v>同型号多台、不同型号/品牌驱动共网时的识别、轴绑定及数据/报警对应；节点顺序或位置变化后的匹配、拒绝和提示行为</x:v>
      </x:c>
      <x:c r="F99" s="23" t="str">
        <x:v>☐ 未测试</x:v>
      </x:c>
      <x:c r="G99" s="23" t="str">
        <x:v>☐ 未测试</x:v>
      </x:c>
      <x:c r="H99" s="23" t="str">
        <x:v>☐ 未测试</x:v>
      </x:c>
      <x:c r="I99" s="23" t="str">
        <x:v>☐ 未测试</x:v>
      </x:c>
      <x:c r="J99" s="23" t="str">
        <x:v>☐ 未测试</x:v>
      </x:c>
    </x:row>
    <x:row r="100" ht="51" customHeight="1">
      <x:c r="A100" s="19" t="str">
        <x:v>汇川小型</x:v>
      </x:c>
      <x:c r="B100" s="19" t="str">
        <x:v>网络组合、容量与长期运行</x:v>
      </x:c>
      <x:c r="C100" s="19" t="str">
        <x:v>T02</x:v>
      </x:c>
      <x:c r="D100" s="19" t="str">
        <x:v>混合从站与网络拓扑</x:v>
      </x:c>
      <x:c r="E100" s="19" t="str">
        <x:v>驱动与I/O、耦合器等从站共网，串接及实际支持的分支拓扑下的建站、端口连接限制、同步和数据交换表现</x:v>
      </x:c>
      <x:c r="F100" s="21" t="str">
        <x:v>☐ 未测试</x:v>
      </x:c>
      <x:c r="G100" s="21" t="str">
        <x:v>☐ 未测试</x:v>
      </x:c>
      <x:c r="H100" s="21" t="str">
        <x:v>☐ 未测试</x:v>
      </x:c>
      <x:c r="I100" s="21" t="str">
        <x:v>☐ 未测试</x:v>
      </x:c>
      <x:c r="J100" s="21" t="str">
        <x:v>☐ 未测试</x:v>
      </x:c>
    </x:row>
    <x:row r="101" ht="51" customHeight="1">
      <x:c r="A101" s="24" t="str">
        <x:v>汇川小型</x:v>
      </x:c>
      <x:c r="B101" s="24" t="str">
        <x:v>网络组合、容量与长期运行</x:v>
      </x:c>
      <x:c r="C101" s="24" t="str">
        <x:v>T03</x:v>
      </x:c>
      <x:c r="D101" s="24" t="str">
        <x:v>参考时钟与节点排列</x:v>
      </x:c>
      <x:c r="E101" s="24" t="str">
        <x:v>实际采用哪台设备作为DC参考时钟、驱动能否承担该角色；允许的参考时钟/节点排列变化后同步能否建立，运行误差有何变化</x:v>
      </x:c>
      <x:c r="F101" s="21" t="str">
        <x:v>☐ 未测试</x:v>
      </x:c>
      <x:c r="G101" s="21" t="str">
        <x:v>☐ 未测试</x:v>
      </x:c>
      <x:c r="H101" s="21" t="str">
        <x:v>☐ 未测试</x:v>
      </x:c>
      <x:c r="I101" s="21" t="str">
        <x:v>☐ 未测试</x:v>
      </x:c>
      <x:c r="J101" s="21" t="str">
        <x:v>☐ 未测试</x:v>
      </x:c>
    </x:row>
    <x:row r="102" ht="51" customHeight="1">
      <x:c r="A102" s="19" t="str">
        <x:v>汇川小型</x:v>
      </x:c>
      <x:c r="B102" s="19" t="str">
        <x:v>网络组合、容量与长期运行</x:v>
      </x:c>
      <x:c r="C102" s="19" t="str">
        <x:v>T04</x:v>
      </x:c>
      <x:c r="D102" s="19" t="str">
        <x:v>轴数、PDO与周期的组合容量</x:v>
      </x:c>
      <x:c r="E102" s="19" t="str">
        <x:v>多轴及I/O在不同PDO长度、目标周期下能否同时运行，主站/网络负载、同步误差及越过实测可用范围时的表现</x:v>
      </x:c>
      <x:c r="F102" s="21" t="str">
        <x:v>☐ 未测试</x:v>
      </x:c>
      <x:c r="G102" s="21" t="str">
        <x:v>☐ 未测试</x:v>
      </x:c>
      <x:c r="H102" s="21" t="str">
        <x:v>☐ 未测试</x:v>
      </x:c>
      <x:c r="I102" s="21" t="str">
        <x:v>☐ 未测试</x:v>
      </x:c>
      <x:c r="J102" s="21" t="str">
        <x:v>☐ 未测试</x:v>
      </x:c>
    </x:row>
    <x:row r="103" ht="51" customHeight="1">
      <x:c r="A103" s="24" t="str">
        <x:v>汇川小型</x:v>
      </x:c>
      <x:c r="B103" s="24" t="str">
        <x:v>网络组合、容量与长期运行</x:v>
      </x:c>
      <x:c r="C103" s="24" t="str">
        <x:v>T05</x:v>
      </x:c>
      <x:c r="D103" s="24" t="str">
        <x:v>后台通信与运动并行</x:v>
      </x:c>
      <x:c r="E103" s="24" t="str">
        <x:v>HMI刷新、SDO读写、在线监视、波形获取及实际支持的EoE/文件传输等同时进行时，运动/通信受何影响，各类访问是否受限或超时</x:v>
      </x:c>
      <x:c r="F103" s="21" t="str">
        <x:v>☐ 未测试</x:v>
      </x:c>
      <x:c r="G103" s="21" t="str">
        <x:v>☐ 未测试</x:v>
      </x:c>
      <x:c r="H103" s="21" t="str">
        <x:v>☐ 未测试</x:v>
      </x:c>
      <x:c r="I103" s="21" t="str">
        <x:v>☐ 未测试</x:v>
      </x:c>
      <x:c r="J103" s="21" t="str">
        <x:v>☐ 未测试</x:v>
      </x:c>
    </x:row>
    <x:row r="104" ht="51" customHeight="1">
      <x:c r="A104" s="19" t="str">
        <x:v>汇川小型</x:v>
      </x:c>
      <x:c r="B104" s="19" t="str">
        <x:v>网络组合、容量与长期运行</x:v>
      </x:c>
      <x:c r="C104" s="19" t="str">
        <x:v>T06</x:v>
      </x:c>
      <x:c r="D104" s="19" t="str">
        <x:v>长时间连续运行</x:v>
      </x:c>
      <x:c r="E104" s="19" t="str">
        <x:v>持续执行约定运动及正常后台访问后的周期/同步稳定性、运动误差、累计通信错误、偶发报警及性能变化</x:v>
      </x:c>
      <x:c r="F104" s="21" t="str">
        <x:v>☐ 未测试</x:v>
      </x:c>
      <x:c r="G104" s="21" t="str">
        <x:v>☐ 未测试</x:v>
      </x:c>
      <x:c r="H104" s="21" t="str">
        <x:v>☐ 未测试</x:v>
      </x:c>
      <x:c r="I104" s="21" t="str">
        <x:v>☐ 未测试</x:v>
      </x:c>
      <x:c r="J104" s="21" t="str">
        <x:v>☐ 未测试</x:v>
      </x:c>
    </x:row>
    <x:row r="105" ht="51" customHeight="1">
      <x:c r="A105" s="24" t="str">
        <x:v>汇川小型</x:v>
      </x:c>
      <x:c r="B105" s="24" t="str">
        <x:v>网络组合、容量与长期运行</x:v>
      </x:c>
      <x:c r="C105" s="24" t="str">
        <x:v>T07</x:v>
      </x:c>
      <x:c r="D105" s="24" t="str">
        <x:v>反复启停与恢复</x:v>
      </x:c>
      <x:c r="E105" s="24" t="str">
        <x:v>反复使能、运动、停止、允许的重启/断线恢复后，是否出现偶发失败、状态残留、参数/位置变化或恢复时间增长</x:v>
      </x:c>
      <x:c r="F105" s="21" t="str">
        <x:v>☐ 未测试</x:v>
      </x:c>
      <x:c r="G105" s="21" t="str">
        <x:v>☐ 未测试</x:v>
      </x:c>
      <x:c r="H105" s="21" t="str">
        <x:v>☐ 未测试</x:v>
      </x:c>
      <x:c r="I105" s="21" t="str">
        <x:v>☐ 未测试</x:v>
      </x:c>
      <x:c r="J105" s="21" t="str">
        <x:v>☐ 未测试</x:v>
      </x:c>
    </x:row>
    <x:row r="106" ht="51" customHeight="1">
      <x:c r="A106" s="19" t="str">
        <x:v>汇川小型</x:v>
      </x:c>
      <x:c r="B106" s="19" t="str">
        <x:v>网络组合、容量与长期运行</x:v>
      </x:c>
      <x:c r="C106" s="19" t="str">
        <x:v>T08</x:v>
      </x:c>
      <x:c r="D106" s="19" t="str">
        <x:v>热连接与可选站组</x:v>
      </x:c>
      <x:c r="E106" s="19" t="str">
        <x:v>实际支持时，预配置设备组在运行中缺席、加入、移除及再次加入的识别、同步、轴状态恢复，以及对其余节点的影响</x:v>
      </x:c>
      <x:c r="F106" s="21" t="str">
        <x:v>☐ 未测试</x:v>
      </x:c>
      <x:c r="G106" s="21" t="str">
        <x:v>☐ 未测试</x:v>
      </x:c>
      <x:c r="H106" s="21" t="str">
        <x:v>☐ 未测试</x:v>
      </x:c>
      <x:c r="I106" s="21" t="str">
        <x:v>☐ 未测试</x:v>
      </x:c>
      <x:c r="J106" s="21" t="str">
        <x:v>☐ 未测试</x:v>
      </x:c>
    </x:row>
    <x:row r="107" ht="51" customHeight="1">
      <x:c r="A107" s="24" t="str">
        <x:v>汇川小型</x:v>
      </x:c>
      <x:c r="B107" s="24" t="str">
        <x:v>网络组合、容量与长期运行</x:v>
      </x:c>
      <x:c r="C107" s="24" t="str">
        <x:v>T09</x:v>
      </x:c>
      <x:c r="D107" s="24" t="str">
        <x:v>电缆冗余</x:v>
      </x:c>
      <x:c r="E107" s="24" t="str">
        <x:v>实际支持时，冗余链路断开、恢复或冗余能力耗尽后的通信、运动和诊断表现；记录所需主站、布线及从站限制</x:v>
      </x:c>
      <x:c r="F107" s="21" t="str">
        <x:v>☐ 未测试</x:v>
      </x:c>
      <x:c r="G107" s="21" t="str">
        <x:v>☐ 未测试</x:v>
      </x:c>
      <x:c r="H107" s="21" t="str">
        <x:v>☐ 未测试</x:v>
      </x:c>
      <x:c r="I107" s="21" t="str">
        <x:v>☐ 未测试</x:v>
      </x:c>
      <x:c r="J107" s="21" t="str">
        <x:v>☐ 未测试</x:v>
      </x:c>
    </x:row>
    <x:row r="108" ht="51" customHeight="1">
      <x:c r="A108" s="22" t="str">
        <x:v>汇川小型</x:v>
      </x:c>
      <x:c r="B108" s="22" t="str">
        <x:v>运动监控、限幅与辅助I/O</x:v>
      </x:c>
      <x:c r="C108" s="22" t="str">
        <x:v>R01</x:v>
      </x:c>
      <x:c r="D108" s="22" t="str">
        <x:v>到位、速度达到与零速判断</x:v>
      </x:c>
      <x:c r="E108" s="22" t="str">
        <x:v>实际支持的位置/速度窗口、持续时间、零速阈值及状态反馈；驱动达到标志、PLC功能块完成和实际机械状态如何对应，各模式含义是否不同</x:v>
      </x:c>
      <x:c r="F108" s="23" t="str">
        <x:v>☐ 未测试</x:v>
      </x:c>
      <x:c r="G108" s="23" t="str">
        <x:v>☐ 未测试</x:v>
      </x:c>
      <x:c r="H108" s="23" t="str">
        <x:v>☐ 未测试</x:v>
      </x:c>
      <x:c r="I108" s="23" t="str">
        <x:v>☐ 未测试</x:v>
      </x:c>
      <x:c r="J108" s="23" t="str">
        <x:v>☐ 未测试</x:v>
      </x:c>
    </x:row>
    <x:row r="109" ht="51" customHeight="1">
      <x:c r="A109" s="24" t="str">
        <x:v>汇川小型</x:v>
      </x:c>
      <x:c r="B109" s="24" t="str">
        <x:v>运动监控、限幅与辅助I/O</x:v>
      </x:c>
      <x:c r="C109" s="24" t="str">
        <x:v>R02</x:v>
      </x:c>
      <x:c r="D109" s="24" t="str">
        <x:v>跟随误差监控</x:v>
      </x:c>
      <x:c r="E109" s="24" t="str">
        <x:v>误差来源、窗口/超时参数、启用条件及支持模式，超限时的报警/停止与恢复；PLC监控和驱动监控分别设置或同时启用时的行为</x:v>
      </x:c>
      <x:c r="F109" s="21" t="str">
        <x:v>☐ 未测试</x:v>
      </x:c>
      <x:c r="G109" s="21" t="str">
        <x:v>☐ 未测试</x:v>
      </x:c>
      <x:c r="H109" s="21" t="str">
        <x:v>☐ 未测试</x:v>
      </x:c>
      <x:c r="I109" s="21" t="str">
        <x:v>☐ 未测试</x:v>
      </x:c>
      <x:c r="J109" s="21" t="str">
        <x:v>☐ 未测试</x:v>
      </x:c>
    </x:row>
    <x:row r="110" ht="51" customHeight="1">
      <x:c r="A110" s="19" t="str">
        <x:v>汇川小型</x:v>
      </x:c>
      <x:c r="B110" s="19" t="str">
        <x:v>运动监控、限幅与辅助I/O</x:v>
      </x:c>
      <x:c r="C110" s="19" t="str">
        <x:v>R03</x:v>
      </x:c>
      <x:c r="D110" s="19" t="str">
        <x:v>速度限制</x:v>
      </x:c>
      <x:c r="E110" s="19" t="str">
        <x:v>正负方向、不同模式下的限速范围和生效条件，超出限值的目标及实际超速如何处理，限幅/超速反馈能否经EtherCAT获得</x:v>
      </x:c>
      <x:c r="F110" s="21" t="str">
        <x:v>☐ 未测试</x:v>
      </x:c>
      <x:c r="G110" s="21" t="str">
        <x:v>☐ 未测试</x:v>
      </x:c>
      <x:c r="H110" s="21" t="str">
        <x:v>☐ 未测试</x:v>
      </x:c>
      <x:c r="I110" s="21" t="str">
        <x:v>☐ 未测试</x:v>
      </x:c>
      <x:c r="J110" s="21" t="str">
        <x:v>☐ 未测试</x:v>
      </x:c>
    </x:row>
    <x:row r="111" ht="51" customHeight="1">
      <x:c r="A111" s="24" t="str">
        <x:v>汇川小型</x:v>
      </x:c>
      <x:c r="B111" s="24" t="str">
        <x:v>运动监控、限幅与辅助I/O</x:v>
      </x:c>
      <x:c r="C111" s="24" t="str">
        <x:v>R04</x:v>
      </x:c>
      <x:c r="D111" s="24" t="str">
        <x:v>转矩限制</x:v>
      </x:c>
      <x:c r="E111" s="24" t="str">
        <x:v>正负限矩、运行中调整及多种限值同时存在时的实际作用，触及限制后的运动/状态反馈及退出表现；分别记录转矩模式与位置/速度模式</x:v>
      </x:c>
      <x:c r="F111" s="21" t="str">
        <x:v>☐ 未测试</x:v>
      </x:c>
      <x:c r="G111" s="21" t="str">
        <x:v>☐ 未测试</x:v>
      </x:c>
      <x:c r="H111" s="21" t="str">
        <x:v>☐ 未测试</x:v>
      </x:c>
      <x:c r="I111" s="21" t="str">
        <x:v>☐ 未测试</x:v>
      </x:c>
      <x:c r="J111" s="21" t="str">
        <x:v>☐ 未测试</x:v>
      </x:c>
    </x:row>
    <x:row r="112" ht="51" customHeight="1">
      <x:c r="A112" s="19" t="str">
        <x:v>汇川小型</x:v>
      </x:c>
      <x:c r="B112" s="19" t="str">
        <x:v>运动监控、限幅与辅助I/O</x:v>
      </x:c>
      <x:c r="C112" s="19" t="str">
        <x:v>R05</x:v>
      </x:c>
      <x:c r="D112" s="19" t="str">
        <x:v>通用数字输入</x:v>
      </x:c>
      <x:c r="E112" s="19" t="str">
        <x:v>除已覆盖的原点/限位/锁存外，驱动端输入能否作为PLC可读I/O，支持的功能分配、极性/滤波及响应表现；专用功能占用时的限制</x:v>
      </x:c>
      <x:c r="F112" s="21" t="str">
        <x:v>☐ 未测试</x:v>
      </x:c>
      <x:c r="G112" s="21" t="str">
        <x:v>☐ 未测试</x:v>
      </x:c>
      <x:c r="H112" s="21" t="str">
        <x:v>☐ 未测试</x:v>
      </x:c>
      <x:c r="I112" s="21" t="str">
        <x:v>☐ 未测试</x:v>
      </x:c>
      <x:c r="J112" s="21" t="str">
        <x:v>☐ 未测试</x:v>
      </x:c>
    </x:row>
    <x:row r="113" ht="51" customHeight="1">
      <x:c r="A113" s="24" t="str">
        <x:v>汇川小型</x:v>
      </x:c>
      <x:c r="B113" s="24" t="str">
        <x:v>运动监控、限幅与辅助I/O</x:v>
      </x:c>
      <x:c r="C113" s="24" t="str">
        <x:v>R06</x:v>
      </x:c>
      <x:c r="D113" s="24" t="str">
        <x:v>通用数字输出</x:v>
      </x:c>
      <x:c r="E113" s="24" t="str">
        <x:v>PLC经EtherCAT控制驱动端输出的能力、输出与驱动内部功能的归属，启动/撤使能/故障/断线后的真实端子状态及保持规则</x:v>
      </x:c>
      <x:c r="F113" s="21" t="str">
        <x:v>☐ 未测试</x:v>
      </x:c>
      <x:c r="G113" s="21" t="str">
        <x:v>☐ 未测试</x:v>
      </x:c>
      <x:c r="H113" s="21" t="str">
        <x:v>☐ 未测试</x:v>
      </x:c>
      <x:c r="I113" s="21" t="str">
        <x:v>☐ 未测试</x:v>
      </x:c>
      <x:c r="J113" s="21" t="str">
        <x:v>☐ 未测试</x:v>
      </x:c>
    </x:row>
    <x:row r="114" ht="51" customHeight="1">
      <x:c r="A114" s="19" t="str">
        <x:v>汇川小型</x:v>
      </x:c>
      <x:c r="B114" s="19" t="str">
        <x:v>运动监控、限幅与辅助I/O</x:v>
      </x:c>
      <x:c r="C114" s="19" t="str">
        <x:v>R07</x:v>
      </x:c>
      <x:c r="D114" s="19" t="str">
        <x:v>模拟量输入与输出</x:v>
      </x:c>
      <x:c r="E114" s="19" t="str">
        <x:v>实际具备的通道能否经EtherCAT读取/设定，量程、单位、分辨率、刷新及饱和表现；内部功能占用或通信中断后的行为</x:v>
      </x:c>
      <x:c r="F114" s="21" t="str">
        <x:v>☐ 未测试</x:v>
      </x:c>
      <x:c r="G114" s="21" t="str">
        <x:v>☐ 未测试</x:v>
      </x:c>
      <x:c r="H114" s="21" t="str">
        <x:v>☐ 未测试</x:v>
      </x:c>
      <x:c r="I114" s="21" t="str">
        <x:v>☐ 未测试</x:v>
      </x:c>
      <x:c r="J114" s="21" t="str">
        <x:v>☐ 未测试</x:v>
      </x:c>
    </x:row>
    <x:row r="115" ht="52.5" customHeight="1">
      <x:c r="A115" s="24" t="str">
        <x:v>汇川小型</x:v>
      </x:c>
      <x:c r="B115" s="24" t="str">
        <x:v>运动监控、限幅与辅助I/O</x:v>
      </x:c>
      <x:c r="C115" s="24" t="str">
        <x:v>R08</x:v>
      </x:c>
      <x:c r="D115" s="24" t="str">
        <x:v>抱闸控制与反馈</x:v>
      </x:c>
      <x:c r="E115" s="24" t="str">
        <x:v>EtherCAT使能/停机命令与自动抱闸时序的联动；实际支持的手动松闸/强制控制入口、允许条件、故障/断线时表现，以及反馈代表输出命令还是实测闸状态</x:v>
      </x:c>
      <x:c r="F115" s="21" t="str">
        <x:v>☐ 未测试</x:v>
      </x:c>
      <x:c r="G115" s="21" t="str">
        <x:v>☐ 未测试</x:v>
      </x:c>
      <x:c r="H115" s="21" t="str">
        <x:v>☐ 未测试</x:v>
      </x:c>
      <x:c r="I115" s="21" t="str">
        <x:v>☐ 未测试</x:v>
      </x:c>
      <x:c r="J115" s="21" t="str">
        <x:v>☐ 未测试</x:v>
      </x:c>
    </x:row>
    <x:row r="116" ht="51" customHeight="1">
      <x:c r="A116" s="22" t="str">
        <x:v>汇川中大型</x:v>
      </x:c>
      <x:c r="B116" s="22" t="str">
        <x:v>控制模式及模式切换</x:v>
      </x:c>
      <x:c r="C116" s="22" t="str">
        <x:v>M01</x:v>
      </x:c>
      <x:c r="D116" s="22" t="str">
        <x:v>CSP：周期同步位置</x:v>
      </x:c>
      <x:c r="E116" s="22" t="str">
        <x:v>周期位置目标跟随、连续运动、位置偏置／前馈能力（如支持）</x:v>
      </x:c>
      <x:c r="F116" s="23" t="str">
        <x:v>☐ 未测试</x:v>
      </x:c>
      <x:c r="G116" s="23" t="str">
        <x:v>☐ 未测试</x:v>
      </x:c>
      <x:c r="H116" s="23" t="str">
        <x:v>☐ 未测试</x:v>
      </x:c>
      <x:c r="I116" s="23" t="str">
        <x:v>☐ 未测试</x:v>
      </x:c>
      <x:c r="J116" s="23" t="str">
        <x:v>☐ 未测试</x:v>
      </x:c>
    </x:row>
    <x:row r="117" ht="51" customHeight="1">
      <x:c r="A117" s="24" t="str">
        <x:v>汇川中大型</x:v>
      </x:c>
      <x:c r="B117" s="24" t="str">
        <x:v>控制模式及模式切换</x:v>
      </x:c>
      <x:c r="C117" s="24" t="str">
        <x:v>M02</x:v>
      </x:c>
      <x:c r="D117" s="24" t="str">
        <x:v>CSV：周期同步速度</x:v>
      </x:c>
      <x:c r="E117" s="24" t="str">
        <x:v>正反向速度控制、零速、速度跟随、速度偏置（如支持）</x:v>
      </x:c>
      <x:c r="F117" s="21" t="str">
        <x:v>☐ 未测试</x:v>
      </x:c>
      <x:c r="G117" s="21" t="str">
        <x:v>☐ 未测试</x:v>
      </x:c>
      <x:c r="H117" s="21" t="str">
        <x:v>☐ 未测试</x:v>
      </x:c>
      <x:c r="I117" s="21" t="str">
        <x:v>☐ 未测试</x:v>
      </x:c>
      <x:c r="J117" s="21" t="str">
        <x:v>☐ 未测试</x:v>
      </x:c>
    </x:row>
    <x:row r="118" ht="51" customHeight="1">
      <x:c r="A118" s="19" t="str">
        <x:v>汇川中大型</x:v>
      </x:c>
      <x:c r="B118" s="19" t="str">
        <x:v>控制模式及模式切换</x:v>
      </x:c>
      <x:c r="C118" s="19" t="str">
        <x:v>M03</x:v>
      </x:c>
      <x:c r="D118" s="19" t="str">
        <x:v>CST：周期同步转矩</x:v>
      </x:c>
      <x:c r="E118" s="19" t="str">
        <x:v>正反向转矩控制、转矩跟随、转矩偏置及速度限制（如支持）</x:v>
      </x:c>
      <x:c r="F118" s="21" t="str">
        <x:v>☐ 未测试</x:v>
      </x:c>
      <x:c r="G118" s="21" t="str">
        <x:v>☐ 未测试</x:v>
      </x:c>
      <x:c r="H118" s="21" t="str">
        <x:v>☐ 未测试</x:v>
      </x:c>
      <x:c r="I118" s="21" t="str">
        <x:v>☐ 未测试</x:v>
      </x:c>
      <x:c r="J118" s="21" t="str">
        <x:v>☐ 未测试</x:v>
      </x:c>
    </x:row>
    <x:row r="119" ht="51" customHeight="1">
      <x:c r="A119" s="24" t="str">
        <x:v>汇川中大型</x:v>
      </x:c>
      <x:c r="B119" s="24" t="str">
        <x:v>控制模式及模式切换</x:v>
      </x:c>
      <x:c r="C119" s="24" t="str">
        <x:v>M04</x:v>
      </x:c>
      <x:c r="D119" s="24" t="str">
        <x:v>PP：轮廓位置</x:v>
      </x:c>
      <x:c r="E119" s="24" t="str">
        <x:v>绝对／相对定位、运动中接收新目标、目标确认与到位反馈</x:v>
      </x:c>
      <x:c r="F119" s="21" t="str">
        <x:v>☐ 未测试</x:v>
      </x:c>
      <x:c r="G119" s="21" t="str">
        <x:v>☐ 未测试</x:v>
      </x:c>
      <x:c r="H119" s="21" t="str">
        <x:v>☐ 未测试</x:v>
      </x:c>
      <x:c r="I119" s="21" t="str">
        <x:v>☐ 未测试</x:v>
      </x:c>
      <x:c r="J119" s="21" t="str">
        <x:v>☐ 未测试</x:v>
      </x:c>
    </x:row>
    <x:row r="120" ht="51" customHeight="1">
      <x:c r="A120" s="19" t="str">
        <x:v>汇川中大型</x:v>
      </x:c>
      <x:c r="B120" s="19" t="str">
        <x:v>控制模式及模式切换</x:v>
      </x:c>
      <x:c r="C120" s="19" t="str">
        <x:v>M05</x:v>
      </x:c>
      <x:c r="D120" s="19" t="str">
        <x:v>PV：轮廓速度</x:v>
      </x:c>
      <x:c r="E120" s="19" t="str">
        <x:v>正反转、加减速、目标速度更新、速度达到反馈</x:v>
      </x:c>
      <x:c r="F120" s="21" t="str">
        <x:v>☐ 未测试</x:v>
      </x:c>
      <x:c r="G120" s="21" t="str">
        <x:v>☐ 未测试</x:v>
      </x:c>
      <x:c r="H120" s="21" t="str">
        <x:v>☐ 未测试</x:v>
      </x:c>
      <x:c r="I120" s="21" t="str">
        <x:v>☐ 未测试</x:v>
      </x:c>
      <x:c r="J120" s="21" t="str">
        <x:v>☐ 未测试</x:v>
      </x:c>
    </x:row>
    <x:row r="121" ht="51" customHeight="1">
      <x:c r="A121" s="24" t="str">
        <x:v>汇川中大型</x:v>
      </x:c>
      <x:c r="B121" s="24" t="str">
        <x:v>控制模式及模式切换</x:v>
      </x:c>
      <x:c r="C121" s="24" t="str">
        <x:v>M06</x:v>
      </x:c>
      <x:c r="D121" s="24" t="str">
        <x:v>PT：轮廓转矩</x:v>
      </x:c>
      <x:c r="E121" s="24" t="str">
        <x:v>转矩目标更新、转矩斜坡、限幅及反馈</x:v>
      </x:c>
      <x:c r="F121" s="21" t="str">
        <x:v>☐ 未测试</x:v>
      </x:c>
      <x:c r="G121" s="21" t="str">
        <x:v>☐ 未测试</x:v>
      </x:c>
      <x:c r="H121" s="21" t="str">
        <x:v>☐ 未测试</x:v>
      </x:c>
      <x:c r="I121" s="21" t="str">
        <x:v>☐ 未测试</x:v>
      </x:c>
      <x:c r="J121" s="21" t="str">
        <x:v>☐ 未测试</x:v>
      </x:c>
    </x:row>
    <x:row r="122" ht="51" customHeight="1">
      <x:c r="A122" s="19" t="str">
        <x:v>汇川中大型</x:v>
      </x:c>
      <x:c r="B122" s="19" t="str">
        <x:v>控制模式及模式切换</x:v>
      </x:c>
      <x:c r="C122" s="19" t="str">
        <x:v>M07</x:v>
      </x:c>
      <x:c r="D122" s="19" t="str">
        <x:v>HM：驱动器内部回零</x:v>
      </x:c>
      <x:c r="E122" s="19" t="str">
        <x:v>支持的回零方法、完成／失败反馈、回零后的模式与位置状态</x:v>
      </x:c>
      <x:c r="F122" s="21" t="str">
        <x:v>☐ 未测试</x:v>
      </x:c>
      <x:c r="G122" s="21" t="str">
        <x:v>☐ 未测试</x:v>
      </x:c>
      <x:c r="H122" s="21" t="str">
        <x:v>☐ 未测试</x:v>
      </x:c>
      <x:c r="I122" s="21" t="str">
        <x:v>☐ 未测试</x:v>
      </x:c>
      <x:c r="J122" s="21" t="str">
        <x:v>☐ 未测试</x:v>
      </x:c>
    </x:row>
    <x:row r="123" ht="51" customHeight="1">
      <x:c r="A123" s="24" t="str">
        <x:v>汇川中大型</x:v>
      </x:c>
      <x:c r="B123" s="24" t="str">
        <x:v>控制模式及模式切换</x:v>
      </x:c>
      <x:c r="C123" s="24" t="str">
        <x:v>M09</x:v>
      </x:c>
      <x:c r="D123" s="24" t="str">
        <x:v>模式切换</x:v>
      </x:c>
      <x:c r="E123" s="24" t="str">
        <x:v>哪些模式能够互切；未使能、已使能、运动中的切换限制；切换时的目标突变或异常动作</x:v>
      </x:c>
      <x:c r="F123" s="21" t="str">
        <x:v>☐ 未测试</x:v>
      </x:c>
      <x:c r="G123" s="21" t="str">
        <x:v>☐ 未测试</x:v>
      </x:c>
      <x:c r="H123" s="21" t="str">
        <x:v>☐ 未测试</x:v>
      </x:c>
      <x:c r="I123" s="21" t="str">
        <x:v>☐ 未测试</x:v>
      </x:c>
      <x:c r="J123" s="21" t="str">
        <x:v>☐ 未测试</x:v>
      </x:c>
    </x:row>
    <x:row r="124" ht="51" customHeight="1">
      <x:c r="A124" s="19" t="str">
        <x:v>汇川中大型</x:v>
      </x:c>
      <x:c r="B124" s="19" t="str">
        <x:v>控制模式及模式切换</x:v>
      </x:c>
      <x:c r="C124" s="19" t="str">
        <x:v>M10</x:v>
      </x:c>
      <x:c r="D124" s="19" t="str">
        <x:v>模式请求与反馈</x:v>
      </x:c>
      <x:c r="E124" s="19" t="str">
        <x:v>请求模式与实际运行模式的一致性；不支持的模式或不允许的切换如何响应</x:v>
      </x:c>
      <x:c r="F124" s="21" t="str">
        <x:v>☐ 未测试</x:v>
      </x:c>
      <x:c r="G124" s="21" t="str">
        <x:v>☐ 未测试</x:v>
      </x:c>
      <x:c r="H124" s="21" t="str">
        <x:v>☐ 未测试</x:v>
      </x:c>
      <x:c r="I124" s="21" t="str">
        <x:v>☐ 未测试</x:v>
      </x:c>
      <x:c r="J124" s="21" t="str">
        <x:v>☐ 未测试</x:v>
      </x:c>
    </x:row>
    <x:row r="125" ht="51" customHeight="1">
      <x:c r="A125" s="25" t="str">
        <x:v>汇川中大型</x:v>
      </x:c>
      <x:c r="B125" s="25" t="str">
        <x:v>PDO / SDO 与对象访问</x:v>
      </x:c>
      <x:c r="C125" s="25" t="str">
        <x:v>D01</x:v>
      </x:c>
      <x:c r="D125" s="25" t="str">
        <x:v>默认及预设PDO</x:v>
      </x:c>
      <x:c r="E125" s="25" t="str">
        <x:v>提供的组合及各组合包含的控制、反馈和诊断数据</x:v>
      </x:c>
      <x:c r="F125" s="23" t="str">
        <x:v>☐ 未测试</x:v>
      </x:c>
      <x:c r="G125" s="23" t="str">
        <x:v>☐ 未测试</x:v>
      </x:c>
      <x:c r="H125" s="23" t="str">
        <x:v>☐ 未测试</x:v>
      </x:c>
      <x:c r="I125" s="23" t="str">
        <x:v>☐ 未测试</x:v>
      </x:c>
      <x:c r="J125" s="23" t="str">
        <x:v>☐ 未测试</x:v>
      </x:c>
    </x:row>
    <x:row r="126" ht="51" customHeight="1">
      <x:c r="A126" s="19" t="str">
        <x:v>汇川中大型</x:v>
      </x:c>
      <x:c r="B126" s="19" t="str">
        <x:v>PDO / SDO 与对象访问</x:v>
      </x:c>
      <x:c r="C126" s="19" t="str">
        <x:v>D02</x:v>
      </x:c>
      <x:c r="D126" s="19" t="str">
        <x:v>自定义PDO映射</x:v>
      </x:c>
      <x:c r="E126" s="19" t="str">
        <x:v>映射对象调整、数量/长度/组合和可修改状态的限制</x:v>
      </x:c>
      <x:c r="F126" s="21" t="str">
        <x:v>☐ 未测试</x:v>
      </x:c>
      <x:c r="G126" s="21" t="str">
        <x:v>☐ 未测试</x:v>
      </x:c>
      <x:c r="H126" s="21" t="str">
        <x:v>☐ 未测试</x:v>
      </x:c>
      <x:c r="I126" s="21" t="str">
        <x:v>☐ 未测试</x:v>
      </x:c>
      <x:c r="J126" s="21" t="str">
        <x:v>☐ 未测试</x:v>
      </x:c>
    </x:row>
    <x:row r="127" ht="51" customHeight="1">
      <x:c r="A127" s="24" t="str">
        <x:v>汇川中大型</x:v>
      </x:c>
      <x:c r="B127" s="24" t="str">
        <x:v>PDO / SDO 与对象访问</x:v>
      </x:c>
      <x:c r="C127" s="24" t="str">
        <x:v>D03</x:v>
      </x:c>
      <x:c r="D127" s="24" t="str">
        <x:v>PDO数据交换</x:v>
      </x:c>
      <x:c r="E127" s="24" t="str">
        <x:v>数据类型、正负值、位宽、更新表现及无效数据/错误映射响应</x:v>
      </x:c>
      <x:c r="F127" s="21" t="str">
        <x:v>☐ 未测试</x:v>
      </x:c>
      <x:c r="G127" s="21" t="str">
        <x:v>☐ 未测试</x:v>
      </x:c>
      <x:c r="H127" s="21" t="str">
        <x:v>☐ 未测试</x:v>
      </x:c>
      <x:c r="I127" s="21" t="str">
        <x:v>☐ 未测试</x:v>
      </x:c>
      <x:c r="J127" s="21" t="str">
        <x:v>☐ 未测试</x:v>
      </x:c>
    </x:row>
    <x:row r="128" ht="51" customHeight="1">
      <x:c r="A128" s="19" t="str">
        <x:v>汇川中大型</x:v>
      </x:c>
      <x:c r="B128" s="19" t="str">
        <x:v>PDO / SDO 与对象访问</x:v>
      </x:c>
      <x:c r="C128" s="19" t="str">
        <x:v>D04</x:v>
      </x:c>
      <x:c r="D128" s="19" t="str">
        <x:v>SDO读写</x:v>
      </x:c>
      <x:c r="E128" s="19" t="str">
        <x:v>对象、权限、可写状态及生效时机</x:v>
      </x:c>
      <x:c r="F128" s="21" t="str">
        <x:v>☐ 未测试</x:v>
      </x:c>
      <x:c r="G128" s="21" t="str">
        <x:v>☐ 未测试</x:v>
      </x:c>
      <x:c r="H128" s="21" t="str">
        <x:v>☐ 未测试</x:v>
      </x:c>
      <x:c r="I128" s="21" t="str">
        <x:v>☐ 未测试</x:v>
      </x:c>
      <x:c r="J128" s="21" t="str">
        <x:v>☐ 未测试</x:v>
      </x:c>
    </x:row>
    <x:row r="129" ht="51" customHeight="1">
      <x:c r="A129" s="24" t="str">
        <x:v>汇川中大型</x:v>
      </x:c>
      <x:c r="B129" s="24" t="str">
        <x:v>PDO / SDO 与对象访问</x:v>
      </x:c>
      <x:c r="C129" s="24" t="str">
        <x:v>D05</x:v>
      </x:c>
      <x:c r="D129" s="24" t="str">
        <x:v>SDO错误响应</x:v>
      </x:c>
      <x:c r="E129" s="24" t="str">
        <x:v>不存在对象、只读对象、越界值和错误长度的响应</x:v>
      </x:c>
      <x:c r="F129" s="21" t="str">
        <x:v>☐ 未测试</x:v>
      </x:c>
      <x:c r="G129" s="21" t="str">
        <x:v>☐ 未测试</x:v>
      </x:c>
      <x:c r="H129" s="21" t="str">
        <x:v>☐ 未测试</x:v>
      </x:c>
      <x:c r="I129" s="21" t="str">
        <x:v>☐ 未测试</x:v>
      </x:c>
      <x:c r="J129" s="21" t="str">
        <x:v>☐ 未测试</x:v>
      </x:c>
    </x:row>
    <x:row r="130" ht="51" customHeight="1">
      <x:c r="A130" s="19" t="str">
        <x:v>汇川中大型</x:v>
      </x:c>
      <x:c r="B130" s="19" t="str">
        <x:v>PDO / SDO 与对象访问</x:v>
      </x:c>
      <x:c r="C130" s="19" t="str">
        <x:v>D06</x:v>
      </x:c>
      <x:c r="D130" s="19" t="str">
        <x:v>同一对象多个子项的整组访问（Complete Access）</x:v>
      </x:c>
      <x:c r="E130" s="19" t="str">
        <x:v>对实际支持对象验证整组读取/写入及限制；不能与任意多个对象的批量访问混同</x:v>
      </x:c>
      <x:c r="F130" s="21" t="str">
        <x:v>☐ 未测试</x:v>
      </x:c>
      <x:c r="G130" s="21" t="str">
        <x:v>☐ 未测试</x:v>
      </x:c>
      <x:c r="H130" s="21" t="str">
        <x:v>☐ 未测试</x:v>
      </x:c>
      <x:c r="I130" s="21" t="str">
        <x:v>☐ 未测试</x:v>
      </x:c>
      <x:c r="J130" s="21" t="str">
        <x:v>☐ 未测试</x:v>
      </x:c>
    </x:row>
    <x:row r="131" ht="51" customHeight="1">
      <x:c r="A131" s="24" t="str">
        <x:v>汇川中大型</x:v>
      </x:c>
      <x:c r="B131" s="24" t="str">
        <x:v>PDO / SDO 与对象访问</x:v>
      </x:c>
      <x:c r="C131" s="24" t="str">
        <x:v>D07</x:v>
      </x:c>
      <x:c r="D131" s="24" t="str">
        <x:v>大对象完整传输及分段SDO</x:v>
      </x:c>
      <x:c r="E131" s="24" t="str">
        <x:v>对实际存在的大对象验证完整传输；确认是否确实超过单次邮箱传输容量，不能把读短字符串等同验证分段</x:v>
      </x:c>
      <x:c r="F131" s="21" t="str">
        <x:v>☐ 未测试</x:v>
      </x:c>
      <x:c r="G131" s="21" t="str">
        <x:v>☐ 未测试</x:v>
      </x:c>
      <x:c r="H131" s="21" t="str">
        <x:v>☐ 未测试</x:v>
      </x:c>
      <x:c r="I131" s="21" t="str">
        <x:v>☐ 未测试</x:v>
      </x:c>
      <x:c r="J131" s="21" t="str">
        <x:v>☐ 未测试</x:v>
      </x:c>
    </x:row>
    <x:row r="132" ht="51" customHeight="1">
      <x:c r="A132" s="19" t="str">
        <x:v>汇川中大型</x:v>
      </x:c>
      <x:c r="B132" s="19" t="str">
        <x:v>PDO / SDO 与对象访问</x:v>
      </x:c>
      <x:c r="C132" s="19" t="str">
        <x:v>D08</x:v>
      </x:c>
      <x:c r="D132" s="19" t="str">
        <x:v>运动中读写参数</x:v>
      </x:c>
      <x:c r="E132" s="19" t="str">
        <x:v>运动同时读诊断/参数、修改允许在线调整的参数，以及频繁访问对运动/通信的影响</x:v>
      </x:c>
      <x:c r="F132" s="21" t="str">
        <x:v>☐ 未测试</x:v>
      </x:c>
      <x:c r="G132" s="21" t="str">
        <x:v>☐ 未测试</x:v>
      </x:c>
      <x:c r="H132" s="21" t="str">
        <x:v>☐ 未测试</x:v>
      </x:c>
      <x:c r="I132" s="21" t="str">
        <x:v>☐ 未测试</x:v>
      </x:c>
      <x:c r="J132" s="21" t="str">
        <x:v>☐ 未测试</x:v>
      </x:c>
    </x:row>
    <x:row r="133" ht="51" customHeight="1">
      <x:c r="A133" s="24" t="str">
        <x:v>汇川中大型</x:v>
      </x:c>
      <x:c r="B133" s="24" t="str">
        <x:v>PDO / SDO 与对象访问</x:v>
      </x:c>
      <x:c r="C133" s="24" t="str">
        <x:v>D09</x:v>
      </x:c>
      <x:c r="D133" s="24" t="str">
        <x:v>PDO / SDO 数据含义与一致性</x:v>
      </x:c>
      <x:c r="E133" s="24" t="str">
        <x:v>对两条路径均可访问的对象，明确单位/缩放/权限/更新时机及生效差异；允许有文档依据的换算，不强制原始数字相等</x:v>
      </x:c>
      <x:c r="F133" s="21" t="str">
        <x:v>☐ 未测试</x:v>
      </x:c>
      <x:c r="G133" s="21" t="str">
        <x:v>☐ 未测试</x:v>
      </x:c>
      <x:c r="H133" s="21" t="str">
        <x:v>☐ 未测试</x:v>
      </x:c>
      <x:c r="I133" s="21" t="str">
        <x:v>☐ 未测试</x:v>
      </x:c>
      <x:c r="J133" s="21" t="str">
        <x:v>☐ 未测试</x:v>
      </x:c>
    </x:row>
    <x:row r="134" ht="51" customHeight="1">
      <x:c r="A134" s="22" t="str">
        <x:v>汇川中大型</x:v>
      </x:c>
      <x:c r="B134" s="22" t="str">
        <x:v>使能、停止与复位</x:v>
      </x:c>
      <x:c r="C134" s="22" t="str">
        <x:v>S01</x:v>
      </x:c>
      <x:c r="D134" s="22" t="str">
        <x:v>驱动状态与反馈</x:v>
      </x:c>
      <x:c r="E134" s="22" t="str">
        <x:v>控制字命令与状态字反馈、允许的状态转换、无效命令/组合的响应</x:v>
      </x:c>
      <x:c r="F134" s="23" t="str">
        <x:v>☐ 未测试</x:v>
      </x:c>
      <x:c r="G134" s="23" t="str">
        <x:v>☐ 未测试</x:v>
      </x:c>
      <x:c r="H134" s="23" t="str">
        <x:v>☐ 未测试</x:v>
      </x:c>
      <x:c r="I134" s="23" t="str">
        <x:v>☐ 未测试</x:v>
      </x:c>
      <x:c r="J134" s="23" t="str">
        <x:v>☐ 未测试</x:v>
      </x:c>
    </x:row>
    <x:row r="135" ht="51" customHeight="1">
      <x:c r="A135" s="24" t="str">
        <x:v>汇川中大型</x:v>
      </x:c>
      <x:c r="B135" s="24" t="str">
        <x:v>使能、停止与复位</x:v>
      </x:c>
      <x:c r="C135" s="24" t="str">
        <x:v>S02</x:v>
      </x:c>
      <x:c r="D135" s="24" t="str">
        <x:v>使能与撤使能</x:v>
      </x:c>
      <x:c r="E135" s="24" t="str">
        <x:v>静止及运动中的使能/撤使能表现、重复使能、实际转矩与状态反馈</x:v>
      </x:c>
      <x:c r="F135" s="21" t="str">
        <x:v>☐ 未测试</x:v>
      </x:c>
      <x:c r="G135" s="21" t="str">
        <x:v>☐ 未测试</x:v>
      </x:c>
      <x:c r="H135" s="21" t="str">
        <x:v>☐ 未测试</x:v>
      </x:c>
      <x:c r="I135" s="21" t="str">
        <x:v>☐ 未测试</x:v>
      </x:c>
      <x:c r="J135" s="21" t="str">
        <x:v>☐ 未测试</x:v>
      </x:c>
    </x:row>
    <x:row r="136" ht="51" customHeight="1">
      <x:c r="A136" s="19" t="str">
        <x:v>汇川中大型</x:v>
      </x:c>
      <x:c r="B136" s="19" t="str">
        <x:v>使能、停止与复位</x:v>
      </x:c>
      <x:c r="C136" s="19" t="str">
        <x:v>S03</x:v>
      </x:c>
      <x:c r="D136" s="19" t="str">
        <x:v>使能前置条件</x:v>
      </x:c>
      <x:c r="E136" s="19" t="str">
        <x:v>主电源、硬件使能、STO等实际具备条件对EtherCAT使能的影响；条件未满足时的反馈及恢复行为</x:v>
      </x:c>
      <x:c r="F136" s="21" t="str">
        <x:v>☐ 未测试</x:v>
      </x:c>
      <x:c r="G136" s="21" t="str">
        <x:v>☐ 未测试</x:v>
      </x:c>
      <x:c r="H136" s="21" t="str">
        <x:v>☐ 未测试</x:v>
      </x:c>
      <x:c r="I136" s="21" t="str">
        <x:v>☐ 未测试</x:v>
      </x:c>
      <x:c r="J136" s="21" t="str">
        <x:v>☐ 未测试</x:v>
      </x:c>
    </x:row>
    <x:row r="137" ht="51" customHeight="1">
      <x:c r="A137" s="24" t="str">
        <x:v>汇川中大型</x:v>
      </x:c>
      <x:c r="B137" s="24" t="str">
        <x:v>使能、停止与复位</x:v>
      </x:c>
      <x:c r="C137" s="24" t="str">
        <x:v>S04</x:v>
      </x:c>
      <x:c r="D137" s="24" t="str">
        <x:v>PLC停止与暂停</x:v>
      </x:c>
      <x:c r="E137" s="24" t="str">
        <x:v>MC_Stop、MC_Halt或平台等效功能的减速、轴状态、后续命令接受条件与驱动实际表现</x:v>
      </x:c>
      <x:c r="F137" s="21" t="str">
        <x:v>☐ 未测试</x:v>
      </x:c>
      <x:c r="G137" s="21" t="str">
        <x:v>☐ 未测试</x:v>
      </x:c>
      <x:c r="H137" s="21" t="str">
        <x:v>☐ 未测试</x:v>
      </x:c>
      <x:c r="I137" s="21" t="str">
        <x:v>☐ 未测试</x:v>
      </x:c>
      <x:c r="J137" s="21" t="str">
        <x:v>☐ 未测试</x:v>
      </x:c>
    </x:row>
    <x:row r="138" ht="51" customHeight="1">
      <x:c r="A138" s="19" t="str">
        <x:v>汇川中大型</x:v>
      </x:c>
      <x:c r="B138" s="19" t="str">
        <x:v>使能、停止与复位</x:v>
      </x:c>
      <x:c r="C138" s="19" t="str">
        <x:v>S05</x:v>
      </x:c>
      <x:c r="D138" s="19" t="str">
        <x:v>驱动快速停止（Quick Stop）</x:v>
      </x:c>
      <x:c r="E138" s="19" t="str">
        <x:v>可选停止方式、减速参数、停止后是否保持使能/转矩以及退出快速停止的条件</x:v>
      </x:c>
      <x:c r="F138" s="21" t="str">
        <x:v>☐ 未测试</x:v>
      </x:c>
      <x:c r="G138" s="21" t="str">
        <x:v>☐ 未测试</x:v>
      </x:c>
      <x:c r="H138" s="21" t="str">
        <x:v>☐ 未测试</x:v>
      </x:c>
      <x:c r="I138" s="21" t="str">
        <x:v>☐ 未测试</x:v>
      </x:c>
      <x:c r="J138" s="21" t="str">
        <x:v>☐ 未测试</x:v>
      </x:c>
    </x:row>
    <x:row r="139" ht="51" customHeight="1">
      <x:c r="A139" s="24" t="str">
        <x:v>汇川中大型</x:v>
      </x:c>
      <x:c r="B139" s="24" t="str">
        <x:v>使能、停止与复位</x:v>
      </x:c>
      <x:c r="C139" s="24" t="str">
        <x:v>S06</x:v>
      </x:c>
      <x:c r="D139" s="24" t="str">
        <x:v>驱动暂停（Halt）</x:v>
      </x:c>
      <x:c r="E139" s="24" t="str">
        <x:v>各支持模式下的暂停、保持、恢复及目标处理；与PLC暂停入口分别留证</x:v>
      </x:c>
      <x:c r="F139" s="21" t="str">
        <x:v>☐ 未测试</x:v>
      </x:c>
      <x:c r="G139" s="21" t="str">
        <x:v>☐ 未测试</x:v>
      </x:c>
      <x:c r="H139" s="21" t="str">
        <x:v>☐ 未测试</x:v>
      </x:c>
      <x:c r="I139" s="21" t="str">
        <x:v>☐ 未测试</x:v>
      </x:c>
      <x:c r="J139" s="21" t="str">
        <x:v>☐ 未测试</x:v>
      </x:c>
    </x:row>
    <x:row r="140" ht="51" customHeight="1">
      <x:c r="A140" s="19" t="str">
        <x:v>汇川中大型</x:v>
      </x:c>
      <x:c r="B140" s="19" t="str">
        <x:v>使能、停止与复位</x:v>
      </x:c>
      <x:c r="C140" s="19" t="str">
        <x:v>S07</x:v>
      </x:c>
      <x:c r="D140" s="19" t="str">
        <x:v>故障复位</x:v>
      </x:c>
      <x:c r="E140" s="19" t="str">
        <x:v>故障仍存在/已经消除时的复位响应，驱动故障与PLC轴错误能否分别清除</x:v>
      </x:c>
      <x:c r="F140" s="21" t="str">
        <x:v>☐ 未测试</x:v>
      </x:c>
      <x:c r="G140" s="21" t="str">
        <x:v>☐ 未测试</x:v>
      </x:c>
      <x:c r="H140" s="21" t="str">
        <x:v>☐ 未测试</x:v>
      </x:c>
      <x:c r="I140" s="21" t="str">
        <x:v>☐ 未测试</x:v>
      </x:c>
      <x:c r="J140" s="21" t="str">
        <x:v>☐ 未测试</x:v>
      </x:c>
    </x:row>
    <x:row r="141" ht="51" customHeight="1">
      <x:c r="A141" s="24" t="str">
        <x:v>汇川中大型</x:v>
      </x:c>
      <x:c r="B141" s="24" t="str">
        <x:v>使能、停止与复位</x:v>
      </x:c>
      <x:c r="C141" s="24" t="str">
        <x:v>S08</x:v>
      </x:c>
      <x:c r="D141" s="24" t="str">
        <x:v>停机或复位后恢复运动</x:v>
      </x:c>
      <x:c r="E141" s="24" t="str">
        <x:v>是否需要重新使能、旧目标/旧命令的处理、位置连续性以及是否意外续跑</x:v>
      </x:c>
      <x:c r="F141" s="21" t="str">
        <x:v>☐ 未测试</x:v>
      </x:c>
      <x:c r="G141" s="21" t="str">
        <x:v>☐ 未测试</x:v>
      </x:c>
      <x:c r="H141" s="21" t="str">
        <x:v>☐ 未测试</x:v>
      </x:c>
      <x:c r="I141" s="21" t="str">
        <x:v>☐ 未测试</x:v>
      </x:c>
      <x:c r="J141" s="21" t="str">
        <x:v>☐ 未测试</x:v>
      </x:c>
    </x:row>
    <x:row r="142" ht="51" customHeight="1">
      <x:c r="A142" s="19" t="str">
        <x:v>汇川中大型</x:v>
      </x:c>
      <x:c r="B142" s="19" t="str">
        <x:v>使能、停止与复位</x:v>
      </x:c>
      <x:c r="C142" s="19" t="str">
        <x:v>S09</x:v>
      </x:c>
      <x:c r="D142" s="19" t="str">
        <x:v>控制入口交接与冲突</x:v>
      </x:c>
      <x:c r="E142" s="19" t="str">
        <x:v>PLC程序、PLC调试界面、厂家工具等并存时的控制权、冲突响应与交接表现</x:v>
      </x:c>
      <x:c r="F142" s="21" t="str">
        <x:v>☐ 未测试</x:v>
      </x:c>
      <x:c r="G142" s="21" t="str">
        <x:v>☐ 未测试</x:v>
      </x:c>
      <x:c r="H142" s="21" t="str">
        <x:v>☐ 未测试</x:v>
      </x:c>
      <x:c r="I142" s="21" t="str">
        <x:v>☐ 未测试</x:v>
      </x:c>
      <x:c r="J142" s="21" t="str">
        <x:v>☐ 未测试</x:v>
      </x:c>
    </x:row>
    <x:row r="143" ht="51" customHeight="1">
      <x:c r="A143" s="25" t="str">
        <x:v>汇川中大型</x:v>
      </x:c>
      <x:c r="B143" s="25" t="str">
        <x:v>单位、坐标与位置反馈</x:v>
      </x:c>
      <x:c r="C143" s="25" t="str">
        <x:v>U01</x:v>
      </x:c>
      <x:c r="D143" s="25" t="str">
        <x:v>位置单位与电子齿轮</x:v>
      </x:c>
      <x:c r="E143" s="25" t="str">
        <x:v>指令/反馈计数与实际转角或位移的换算、电子齿轮/传动比设置及其范围</x:v>
      </x:c>
      <x:c r="F143" s="23" t="str">
        <x:v>☐ 未测试</x:v>
      </x:c>
      <x:c r="G143" s="23" t="str">
        <x:v>☐ 未测试</x:v>
      </x:c>
      <x:c r="H143" s="23" t="str">
        <x:v>☐ 未测试</x:v>
      </x:c>
      <x:c r="I143" s="23" t="str">
        <x:v>☐ 未测试</x:v>
      </x:c>
      <x:c r="J143" s="23" t="str">
        <x:v>☐ 未测试</x:v>
      </x:c>
    </x:row>
    <x:row r="144" ht="51" customHeight="1">
      <x:c r="A144" s="19" t="str">
        <x:v>汇川中大型</x:v>
      </x:c>
      <x:c r="B144" s="19" t="str">
        <x:v>单位、坐标与位置反馈</x:v>
      </x:c>
      <x:c r="C144" s="19" t="str">
        <x:v>U02</x:v>
      </x:c>
      <x:c r="D144" s="19" t="str">
        <x:v>速度单位</x:v>
      </x:c>
      <x:c r="E144" s="19" t="str">
        <x:v>速度指令、反馈、限值的单位与换算，PLC显示和驱动反馈的对应关系</x:v>
      </x:c>
      <x:c r="F144" s="21" t="str">
        <x:v>☐ 未测试</x:v>
      </x:c>
      <x:c r="G144" s="21" t="str">
        <x:v>☐ 未测试</x:v>
      </x:c>
      <x:c r="H144" s="21" t="str">
        <x:v>☐ 未测试</x:v>
      </x:c>
      <x:c r="I144" s="21" t="str">
        <x:v>☐ 未测试</x:v>
      </x:c>
      <x:c r="J144" s="21" t="str">
        <x:v>☐ 未测试</x:v>
      </x:c>
    </x:row>
    <x:row r="145" ht="51" customHeight="1">
      <x:c r="A145" s="24" t="str">
        <x:v>汇川中大型</x:v>
      </x:c>
      <x:c r="B145" s="24" t="str">
        <x:v>单位、坐标与位置反馈</x:v>
      </x:c>
      <x:c r="C145" s="24" t="str">
        <x:v>U03</x:v>
      </x:c>
      <x:c r="D145" s="24" t="str">
        <x:v>转矩单位</x:v>
      </x:c>
      <x:c r="E145" s="24" t="str">
        <x:v>转矩指令、反馈、限值采用的基准与比例，例如相对额定转矩的比例或实际转矩单位</x:v>
      </x:c>
      <x:c r="F145" s="21" t="str">
        <x:v>☐ 未测试</x:v>
      </x:c>
      <x:c r="G145" s="21" t="str">
        <x:v>☐ 未测试</x:v>
      </x:c>
      <x:c r="H145" s="21" t="str">
        <x:v>☐ 未测试</x:v>
      </x:c>
      <x:c r="I145" s="21" t="str">
        <x:v>☐ 未测试</x:v>
      </x:c>
      <x:c r="J145" s="21" t="str">
        <x:v>☐ 未测试</x:v>
      </x:c>
    </x:row>
    <x:row r="146" ht="51" customHeight="1">
      <x:c r="A146" s="19" t="str">
        <x:v>汇川中大型</x:v>
      </x:c>
      <x:c r="B146" s="19" t="str">
        <x:v>单位、坐标与位置反馈</x:v>
      </x:c>
      <x:c r="C146" s="19" t="str">
        <x:v>U04</x:v>
      </x:c>
      <x:c r="D146" s="19" t="str">
        <x:v>方向与极性</x:v>
      </x:c>
      <x:c r="E146" s="19" t="str">
        <x:v>正反方向定义、方向反转设置对指令/反馈以及回零/限位方向的影响</x:v>
      </x:c>
      <x:c r="F146" s="21" t="str">
        <x:v>☐ 未测试</x:v>
      </x:c>
      <x:c r="G146" s="21" t="str">
        <x:v>☐ 未测试</x:v>
      </x:c>
      <x:c r="H146" s="21" t="str">
        <x:v>☐ 未测试</x:v>
      </x:c>
      <x:c r="I146" s="21" t="str">
        <x:v>☐ 未测试</x:v>
      </x:c>
      <x:c r="J146" s="21" t="str">
        <x:v>☐ 未测试</x:v>
      </x:c>
    </x:row>
    <x:row r="147" ht="51" customHeight="1">
      <x:c r="A147" s="24" t="str">
        <x:v>汇川中大型</x:v>
      </x:c>
      <x:c r="B147" s="24" t="str">
        <x:v>单位、坐标与位置反馈</x:v>
      </x:c>
      <x:c r="C147" s="24" t="str">
        <x:v>U05</x:v>
      </x:c>
      <x:c r="D147" s="24" t="str">
        <x:v>坐标设定与零点偏置</x:v>
      </x:c>
      <x:c r="E147" s="24" t="str">
        <x:v>驱动设零/偏置、PLC设位置等实际入口的支持范围，对反馈/目标/机械运动及重启保持的影响</x:v>
      </x:c>
      <x:c r="F147" s="21" t="str">
        <x:v>☐ 未测试</x:v>
      </x:c>
      <x:c r="G147" s="21" t="str">
        <x:v>☐ 未测试</x:v>
      </x:c>
      <x:c r="H147" s="21" t="str">
        <x:v>☐ 未测试</x:v>
      </x:c>
      <x:c r="I147" s="21" t="str">
        <x:v>☐ 未测试</x:v>
      </x:c>
      <x:c r="J147" s="21" t="str">
        <x:v>☐ 未测试</x:v>
      </x:c>
    </x:row>
    <x:row r="148" ht="51" customHeight="1">
      <x:c r="A148" s="19" t="str">
        <x:v>汇川中大型</x:v>
      </x:c>
      <x:c r="B148" s="19" t="str">
        <x:v>单位、坐标与位置反馈</x:v>
      </x:c>
      <x:c r="C148" s="19" t="str">
        <x:v>U06</x:v>
      </x:c>
      <x:c r="D148" s="19" t="str">
        <x:v>绝对位置与掉电保持</x:v>
      </x:c>
      <x:c r="E148" s="19" t="str">
        <x:v>实际支持的单圈/多圈位置、PLC或驱动重启后的机器坐标、断电移动后的反馈与位置有效性</x:v>
      </x:c>
      <x:c r="F148" s="21" t="str">
        <x:v>☐ 未测试</x:v>
      </x:c>
      <x:c r="G148" s="21" t="str">
        <x:v>☐ 未测试</x:v>
      </x:c>
      <x:c r="H148" s="21" t="str">
        <x:v>☐ 未测试</x:v>
      </x:c>
      <x:c r="I148" s="21" t="str">
        <x:v>☐ 未测试</x:v>
      </x:c>
      <x:c r="J148" s="21" t="str">
        <x:v>☐ 未测试</x:v>
      </x:c>
    </x:row>
    <x:row r="149" ht="51" customHeight="1">
      <x:c r="A149" s="24" t="str">
        <x:v>汇川中大型</x:v>
      </x:c>
      <x:c r="B149" s="24" t="str">
        <x:v>单位、坐标与位置反馈</x:v>
      </x:c>
      <x:c r="C149" s="24" t="str">
        <x:v>U07</x:v>
      </x:c>
      <x:c r="D149" s="24" t="str">
        <x:v>增量位置与参考有效性</x:v>
      </x:c>
      <x:c r="E149" s="24" t="str">
        <x:v>上电位置初值、回零/参考有效标志、重启或反馈异常后需要重新建立参考的条件</x:v>
      </x:c>
      <x:c r="F149" s="21" t="str">
        <x:v>☐ 未测试</x:v>
      </x:c>
      <x:c r="G149" s="21" t="str">
        <x:v>☐ 未测试</x:v>
      </x:c>
      <x:c r="H149" s="21" t="str">
        <x:v>☐ 未测试</x:v>
      </x:c>
      <x:c r="I149" s="21" t="str">
        <x:v>☐ 未测试</x:v>
      </x:c>
      <x:c r="J149" s="21" t="str">
        <x:v>☐ 未测试</x:v>
      </x:c>
    </x:row>
    <x:row r="150" ht="51" customHeight="1">
      <x:c r="A150" s="19" t="str">
        <x:v>汇川中大型</x:v>
      </x:c>
      <x:c r="B150" s="19" t="str">
        <x:v>单位、坐标与位置反馈</x:v>
      </x:c>
      <x:c r="C150" s="19" t="str">
        <x:v>U08</x:v>
      </x:c>
      <x:c r="D150" s="19" t="str">
        <x:v>旋转轴与模数坐标</x:v>
      </x:c>
      <x:c r="E150" s="19" t="str">
        <x:v>跨零/跨圈反馈、圈数、正反向与最短路径等实际可用定位方式；驱动与PLC各自的实现和限制</x:v>
      </x:c>
      <x:c r="F150" s="21" t="str">
        <x:v>☐ 未测试</x:v>
      </x:c>
      <x:c r="G150" s="21" t="str">
        <x:v>☐ 未测试</x:v>
      </x:c>
      <x:c r="H150" s="21" t="str">
        <x:v>☐ 未测试</x:v>
      </x:c>
      <x:c r="I150" s="21" t="str">
        <x:v>☐ 未测试</x:v>
      </x:c>
      <x:c r="J150" s="21" t="str">
        <x:v>☐ 未测试</x:v>
      </x:c>
    </x:row>
    <x:row r="151" ht="51" customHeight="1">
      <x:c r="A151" s="24" t="str">
        <x:v>汇川中大型</x:v>
      </x:c>
      <x:c r="B151" s="24" t="str">
        <x:v>单位、坐标与位置反馈</x:v>
      </x:c>
      <x:c r="C151" s="24" t="str">
        <x:v>U09</x:v>
      </x:c>
      <x:c r="D151" s="24" t="str">
        <x:v>位置计数边界</x:v>
      </x:c>
      <x:c r="E151" s="24" t="str">
        <x:v>实际位宽、正负边界、溢出/回绕；支持连续回绕时的表现，禁止跨界时的限制或错误响应</x:v>
      </x:c>
      <x:c r="F151" s="21" t="str">
        <x:v>☐ 未测试</x:v>
      </x:c>
      <x:c r="G151" s="21" t="str">
        <x:v>☐ 未测试</x:v>
      </x:c>
      <x:c r="H151" s="21" t="str">
        <x:v>☐ 未测试</x:v>
      </x:c>
      <x:c r="I151" s="21" t="str">
        <x:v>☐ 未测试</x:v>
      </x:c>
      <x:c r="J151" s="21" t="str">
        <x:v>☐ 未测试</x:v>
      </x:c>
    </x:row>
    <x:row r="152" ht="51" customHeight="1">
      <x:c r="A152" s="19" t="str">
        <x:v>汇川中大型</x:v>
      </x:c>
      <x:c r="B152" s="19" t="str">
        <x:v>单位、坐标与位置反馈</x:v>
      </x:c>
      <x:c r="C152" s="19" t="str">
        <x:v>U10</x:v>
      </x:c>
      <x:c r="D152" s="19" t="str">
        <x:v>位置反馈来源</x:v>
      </x:c>
      <x:c r="E152" s="19" t="str">
        <x:v>电机编码器、负载编码器、第二路反馈等实际存在的来源，EtherCAT可读取哪些值、能否选择及各自单位</x:v>
      </x:c>
      <x:c r="F152" s="21" t="str">
        <x:v>☐ 未测试</x:v>
      </x:c>
      <x:c r="G152" s="21" t="str">
        <x:v>☐ 未测试</x:v>
      </x:c>
      <x:c r="H152" s="21" t="str">
        <x:v>☐ 未测试</x:v>
      </x:c>
      <x:c r="I152" s="21" t="str">
        <x:v>☐ 未测试</x:v>
      </x:c>
      <x:c r="J152" s="21" t="str">
        <x:v>☐ 未测试</x:v>
      </x:c>
    </x:row>
    <x:row r="153" ht="51" customHeight="1">
      <x:c r="A153" s="25" t="str">
        <x:v>汇川中大型</x:v>
      </x:c>
      <x:c r="B153" s="25" t="str">
        <x:v>回零、限位与位置锁存</x:v>
      </x:c>
      <x:c r="C153" s="25" t="str">
        <x:v>H01</x:v>
      </x:c>
      <x:c r="D153" s="25" t="str">
        <x:v>驱动内部回零方法</x:v>
      </x:c>
      <x:c r="E153" s="25" t="str">
        <x:v>实际提供的原点开关、限位、编码器Z相、当前位置等回零方法及各自适用条件</x:v>
      </x:c>
      <x:c r="F153" s="23" t="str">
        <x:v>☐ 未测试</x:v>
      </x:c>
      <x:c r="G153" s="23" t="str">
        <x:v>☐ 未测试</x:v>
      </x:c>
      <x:c r="H153" s="23" t="str">
        <x:v>☐ 未测试</x:v>
      </x:c>
      <x:c r="I153" s="23" t="str">
        <x:v>☐ 未测试</x:v>
      </x:c>
      <x:c r="J153" s="23" t="str">
        <x:v>☐ 未测试</x:v>
      </x:c>
    </x:row>
    <x:row r="154" ht="51" customHeight="1">
      <x:c r="A154" s="19" t="str">
        <x:v>汇川中大型</x:v>
      </x:c>
      <x:c r="B154" s="19" t="str">
        <x:v>回零、限位与位置锁存</x:v>
      </x:c>
      <x:c r="C154" s="19" t="str">
        <x:v>H02</x:v>
      </x:c>
      <x:c r="D154" s="19" t="str">
        <x:v>PLC主导回零</x:v>
      </x:c>
      <x:c r="E154" s="19" t="str">
        <x:v>PLC运动库/回零功能块与该驱动的配合，输入接PLC或驱动时的可用路径及限制</x:v>
      </x:c>
      <x:c r="F154" s="21" t="str">
        <x:v>☐ 未测试</x:v>
      </x:c>
      <x:c r="G154" s="21" t="str">
        <x:v>☐ 未测试</x:v>
      </x:c>
      <x:c r="H154" s="21" t="str">
        <x:v>☐ 未测试</x:v>
      </x:c>
      <x:c r="I154" s="21" t="str">
        <x:v>☐ 未测试</x:v>
      </x:c>
      <x:c r="J154" s="21" t="str">
        <x:v>☐ 未测试</x:v>
      </x:c>
    </x:row>
    <x:row r="155" ht="51" customHeight="1">
      <x:c r="A155" s="24" t="str">
        <x:v>汇川中大型</x:v>
      </x:c>
      <x:c r="B155" s="24" t="str">
        <x:v>回零、限位与位置锁存</x:v>
      </x:c>
      <x:c r="C155" s="24" t="str">
        <x:v>H03</x:v>
      </x:c>
      <x:c r="D155" s="24" t="str">
        <x:v>回零参数</x:v>
      </x:c>
      <x:c r="E155" s="24" t="str">
        <x:v>搜索方向、搜索/退出速度、加速度、原点偏置等实际可配置参数及生效表现</x:v>
      </x:c>
      <x:c r="F155" s="21" t="str">
        <x:v>☐ 未测试</x:v>
      </x:c>
      <x:c r="G155" s="21" t="str">
        <x:v>☐ 未测试</x:v>
      </x:c>
      <x:c r="H155" s="21" t="str">
        <x:v>☐ 未测试</x:v>
      </x:c>
      <x:c r="I155" s="21" t="str">
        <x:v>☐ 未测试</x:v>
      </x:c>
      <x:c r="J155" s="21" t="str">
        <x:v>☐ 未测试</x:v>
      </x:c>
    </x:row>
    <x:row r="156" ht="51" customHeight="1">
      <x:c r="A156" s="19" t="str">
        <x:v>汇川中大型</x:v>
      </x:c>
      <x:c r="B156" s="19" t="str">
        <x:v>回零、限位与位置锁存</x:v>
      </x:c>
      <x:c r="C156" s="19" t="str">
        <x:v>H04</x:v>
      </x:c>
      <x:c r="D156" s="19" t="str">
        <x:v>回零异常与中断</x:v>
      </x:c>
      <x:c r="E156" s="19" t="str">
        <x:v>开始时已压住开关、找不到原点/索引、触及限位、暂停/撤使能/中断后再次回零的表现</x:v>
      </x:c>
      <x:c r="F156" s="21" t="str">
        <x:v>☐ 未测试</x:v>
      </x:c>
      <x:c r="G156" s="21" t="str">
        <x:v>☐ 未测试</x:v>
      </x:c>
      <x:c r="H156" s="21" t="str">
        <x:v>☐ 未测试</x:v>
      </x:c>
      <x:c r="I156" s="21" t="str">
        <x:v>☐ 未测试</x:v>
      </x:c>
      <x:c r="J156" s="21" t="str">
        <x:v>☐ 未测试</x:v>
      </x:c>
    </x:row>
    <x:row r="157" ht="51" customHeight="1">
      <x:c r="A157" s="24" t="str">
        <x:v>汇川中大型</x:v>
      </x:c>
      <x:c r="B157" s="24" t="str">
        <x:v>回零、限位与位置锁存</x:v>
      </x:c>
      <x:c r="C157" s="24" t="str">
        <x:v>H05</x:v>
      </x:c>
      <x:c r="D157" s="24" t="str">
        <x:v>回零结果与重复性</x:v>
      </x:c>
      <x:c r="E157" s="24" t="str">
        <x:v>完成/失败反馈、参考有效性、重复回零的位置偏差以及回零后正常运动的坐标衔接</x:v>
      </x:c>
      <x:c r="F157" s="21" t="str">
        <x:v>☐ 未测试</x:v>
      </x:c>
      <x:c r="G157" s="21" t="str">
        <x:v>☐ 未测试</x:v>
      </x:c>
      <x:c r="H157" s="21" t="str">
        <x:v>☐ 未测试</x:v>
      </x:c>
      <x:c r="I157" s="21" t="str">
        <x:v>☐ 未测试</x:v>
      </x:c>
      <x:c r="J157" s="21" t="str">
        <x:v>☐ 未测试</x:v>
      </x:c>
    </x:row>
    <x:row r="158" ht="51" customHeight="1">
      <x:c r="A158" s="19" t="str">
        <x:v>汇川中大型</x:v>
      </x:c>
      <x:c r="B158" s="19" t="str">
        <x:v>回零、限位与位置锁存</x:v>
      </x:c>
      <x:c r="C158" s="19" t="str">
        <x:v>H06</x:v>
      </x:c>
      <x:c r="D158" s="19" t="str">
        <x:v>正负软件限位</x:v>
      </x:c>
      <x:c r="E158" s="19" t="str">
        <x:v>设定范围、启用条件、越界目标/实际越界响应、退出限位方向以及改变零点后的作用</x:v>
      </x:c>
      <x:c r="F158" s="21" t="str">
        <x:v>☐ 未测试</x:v>
      </x:c>
      <x:c r="G158" s="21" t="str">
        <x:v>☐ 未测试</x:v>
      </x:c>
      <x:c r="H158" s="21" t="str">
        <x:v>☐ 未测试</x:v>
      </x:c>
      <x:c r="I158" s="21" t="str">
        <x:v>☐ 未测试</x:v>
      </x:c>
      <x:c r="J158" s="21" t="str">
        <x:v>☐ 未测试</x:v>
      </x:c>
    </x:row>
    <x:row r="159" ht="51" customHeight="1">
      <x:c r="A159" s="24" t="str">
        <x:v>汇川中大型</x:v>
      </x:c>
      <x:c r="B159" s="24" t="str">
        <x:v>回零、限位与位置锁存</x:v>
      </x:c>
      <x:c r="C159" s="24" t="str">
        <x:v>H07</x:v>
      </x:c>
      <x:c r="D159" s="24" t="str">
        <x:v>正负硬件限位</x:v>
      </x:c>
      <x:c r="E159" s="24" t="str">
        <x:v>限位输入、停止/报警反应、允许脱离的方向、恢复条件，以及不同模式下的作用</x:v>
      </x:c>
      <x:c r="F159" s="21" t="str">
        <x:v>☐ 未测试</x:v>
      </x:c>
      <x:c r="G159" s="21" t="str">
        <x:v>☐ 未测试</x:v>
      </x:c>
      <x:c r="H159" s="21" t="str">
        <x:v>☐ 未测试</x:v>
      </x:c>
      <x:c r="I159" s="21" t="str">
        <x:v>☐ 未测试</x:v>
      </x:c>
      <x:c r="J159" s="21" t="str">
        <x:v>☐ 未测试</x:v>
      </x:c>
    </x:row>
    <x:row r="160" ht="51" customHeight="1">
      <x:c r="A160" s="19" t="str">
        <x:v>汇川中大型</x:v>
      </x:c>
      <x:c r="B160" s="19" t="str">
        <x:v>回零、限位与位置锁存</x:v>
      </x:c>
      <x:c r="C160" s="19" t="str">
        <x:v>H08</x:v>
      </x:c>
      <x:c r="D160" s="19" t="str">
        <x:v>原点与限位输入的配置和读取</x:v>
      </x:c>
      <x:c r="E160" s="19" t="str">
        <x:v>输入源、极性、滤波等实际能力，EtherCAT可读取的输入状态及与真实信号的对应关系</x:v>
      </x:c>
      <x:c r="F160" s="21" t="str">
        <x:v>☐ 未测试</x:v>
      </x:c>
      <x:c r="G160" s="21" t="str">
        <x:v>☐ 未测试</x:v>
      </x:c>
      <x:c r="H160" s="21" t="str">
        <x:v>☐ 未测试</x:v>
      </x:c>
      <x:c r="I160" s="21" t="str">
        <x:v>☐ 未测试</x:v>
      </x:c>
      <x:c r="J160" s="21" t="str">
        <x:v>☐ 未测试</x:v>
      </x:c>
    </x:row>
    <x:row r="161" ht="51" customHeight="1">
      <x:c r="A161" s="24" t="str">
        <x:v>汇川中大型</x:v>
      </x:c>
      <x:c r="B161" s="24" t="str">
        <x:v>回零、限位与位置锁存</x:v>
      </x:c>
      <x:c r="C161" s="24" t="str">
        <x:v>H09</x:v>
      </x:c>
      <x:c r="D161" s="24" t="str">
        <x:v>位置锁存（Touch Probe）</x:v>
      </x:c>
      <x:c r="E161" s="24" t="str">
        <x:v>可用通道/触发源、上升沿/下降沿、单次/连续锁存、清除和重新触发能力</x:v>
      </x:c>
      <x:c r="F161" s="21" t="str">
        <x:v>☐ 未测试</x:v>
      </x:c>
      <x:c r="G161" s="21" t="str">
        <x:v>☐ 未测试</x:v>
      </x:c>
      <x:c r="H161" s="21" t="str">
        <x:v>☐ 未测试</x:v>
      </x:c>
      <x:c r="I161" s="21" t="str">
        <x:v>☐ 未测试</x:v>
      </x:c>
      <x:c r="J161" s="21" t="str">
        <x:v>☐ 未测试</x:v>
      </x:c>
    </x:row>
    <x:row r="162" ht="51" customHeight="1">
      <x:c r="A162" s="19" t="str">
        <x:v>汇川中大型</x:v>
      </x:c>
      <x:c r="B162" s="19" t="str">
        <x:v>回零、限位与位置锁存</x:v>
      </x:c>
      <x:c r="C162" s="19" t="str">
        <x:v>H10</x:v>
      </x:c>
      <x:c r="D162" s="19" t="str">
        <x:v>锁存反馈与连续事件</x:v>
      </x:c>
      <x:c r="E162" s="19" t="str">
        <x:v>锁存位置来源、精度、时间戳（如有）、新数据标志以及快速连续触发时的覆盖/丢事件表现</x:v>
      </x:c>
      <x:c r="F162" s="21" t="str">
        <x:v>☐ 未测试</x:v>
      </x:c>
      <x:c r="G162" s="21" t="str">
        <x:v>☐ 未测试</x:v>
      </x:c>
      <x:c r="H162" s="21" t="str">
        <x:v>☐ 未测试</x:v>
      </x:c>
      <x:c r="I162" s="21" t="str">
        <x:v>☐ 未测试</x:v>
      </x:c>
      <x:c r="J162" s="21" t="str">
        <x:v>☐ 未测试</x:v>
      </x:c>
    </x:row>
    <x:row r="163" ht="51" customHeight="1">
      <x:c r="A163" s="24" t="str">
        <x:v>汇川中大型</x:v>
      </x:c>
      <x:c r="B163" s="24" t="str">
        <x:v>回零、限位与位置锁存</x:v>
      </x:c>
      <x:c r="C163" s="24" t="str">
        <x:v>H11</x:v>
      </x:c>
      <x:c r="D163" s="24" t="str">
        <x:v>利用锁存结果的PLC功能</x:v>
      </x:c>
      <x:c r="E163" s="24" t="str">
        <x:v>中断定位、测长等实际可用应用，PLC功能块能否正确取得锁存数据并完成后续动作</x:v>
      </x:c>
      <x:c r="F163" s="21" t="str">
        <x:v>☐ 未测试</x:v>
      </x:c>
      <x:c r="G163" s="21" t="str">
        <x:v>☐ 未测试</x:v>
      </x:c>
      <x:c r="H163" s="21" t="str">
        <x:v>☐ 未测试</x:v>
      </x:c>
      <x:c r="I163" s="21" t="str">
        <x:v>☐ 未测试</x:v>
      </x:c>
      <x:c r="J163" s="21" t="str">
        <x:v>☐ 未测试</x:v>
      </x:c>
    </x:row>
    <x:row r="164" ht="51" customHeight="1">
      <x:c r="A164" s="22" t="str">
        <x:v>汇川中大型</x:v>
      </x:c>
      <x:c r="B164" s="22" t="str">
        <x:v>同步、通信异常与恢复</x:v>
      </x:c>
      <x:c r="C164" s="22" t="str">
        <x:v>N01</x:v>
      </x:c>
      <x:c r="D164" s="22" t="str">
        <x:v>EtherCAT通信状态</x:v>
      </x:c>
      <x:c r="E164" s="22" t="str">
        <x:v>INIT、PREOP、SAFEOP、OP的进入/退出条件，各状态下可用的参数/过程数据访问及输出行为</x:v>
      </x:c>
      <x:c r="F164" s="23" t="str">
        <x:v>☐ 未测试</x:v>
      </x:c>
      <x:c r="G164" s="23" t="str">
        <x:v>☐ 未测试</x:v>
      </x:c>
      <x:c r="H164" s="23" t="str">
        <x:v>☐ 未测试</x:v>
      </x:c>
      <x:c r="I164" s="23" t="str">
        <x:v>☐ 未测试</x:v>
      </x:c>
      <x:c r="J164" s="23" t="str">
        <x:v>☐ 未测试</x:v>
      </x:c>
    </x:row>
    <x:row r="165" ht="51" customHeight="1">
      <x:c r="A165" s="24" t="str">
        <x:v>汇川中大型</x:v>
      </x:c>
      <x:c r="B165" s="24" t="str">
        <x:v>同步、通信异常与恢复</x:v>
      </x:c>
      <x:c r="C165" s="24" t="str">
        <x:v>N02</x:v>
      </x:c>
      <x:c r="D165" s="24" t="str">
        <x:v>通信周期范围</x:v>
      </x:c>
      <x:c r="E165" s="24" t="str">
        <x:v>实际支持的周期、最短/最长周期、模式与PDO配置对周期能力的限制，以及不支持周期的响应</x:v>
      </x:c>
      <x:c r="F165" s="21" t="str">
        <x:v>☐ 未测试</x:v>
      </x:c>
      <x:c r="G165" s="21" t="str">
        <x:v>☐ 未测试</x:v>
      </x:c>
      <x:c r="H165" s="21" t="str">
        <x:v>☐ 未测试</x:v>
      </x:c>
      <x:c r="I165" s="21" t="str">
        <x:v>☐ 未测试</x:v>
      </x:c>
      <x:c r="J165" s="21" t="str">
        <x:v>☐ 未测试</x:v>
      </x:c>
    </x:row>
    <x:row r="166" ht="51" customHeight="1">
      <x:c r="A166" s="19" t="str">
        <x:v>汇川中大型</x:v>
      </x:c>
      <x:c r="B166" s="19" t="str">
        <x:v>同步、通信异常与恢复</x:v>
      </x:c>
      <x:c r="C166" s="19" t="str">
        <x:v>N03</x:v>
      </x:c>
      <x:c r="D166" s="19" t="str">
        <x:v>同步方式</x:v>
      </x:c>
      <x:c r="E166" s="19" t="str">
        <x:v>DC分布式时钟、SM事件同步、FreeRun等实际支持方式，各方式的配置限制及运动表现</x:v>
      </x:c>
      <x:c r="F166" s="21" t="str">
        <x:v>☐ 未测试</x:v>
      </x:c>
      <x:c r="G166" s="21" t="str">
        <x:v>☐ 未测试</x:v>
      </x:c>
      <x:c r="H166" s="21" t="str">
        <x:v>☐ 未测试</x:v>
      </x:c>
      <x:c r="I166" s="21" t="str">
        <x:v>☐ 未测试</x:v>
      </x:c>
      <x:c r="J166" s="21" t="str">
        <x:v>☐ 未测试</x:v>
      </x:c>
    </x:row>
    <x:row r="167" ht="51" customHeight="1">
      <x:c r="A167" s="24" t="str">
        <x:v>汇川中大型</x:v>
      </x:c>
      <x:c r="B167" s="24" t="str">
        <x:v>同步、通信异常与恢复</x:v>
      </x:c>
      <x:c r="C167" s="24" t="str">
        <x:v>N04</x:v>
      </x:c>
      <x:c r="D167" s="24" t="str">
        <x:v>同步异常与时序容限</x:v>
      </x:c>
      <x:c r="E167" s="24" t="str">
        <x:v>周期抖动、任务超时、同步失锁/配置不匹配时的检测、报警、运动反应与重新同步</x:v>
      </x:c>
      <x:c r="F167" s="21" t="str">
        <x:v>☐ 未测试</x:v>
      </x:c>
      <x:c r="G167" s="21" t="str">
        <x:v>☐ 未测试</x:v>
      </x:c>
      <x:c r="H167" s="21" t="str">
        <x:v>☐ 未测试</x:v>
      </x:c>
      <x:c r="I167" s="21" t="str">
        <x:v>☐ 未测试</x:v>
      </x:c>
      <x:c r="J167" s="21" t="str">
        <x:v>☐ 未测试</x:v>
      </x:c>
    </x:row>
    <x:row r="168" ht="51" customHeight="1">
      <x:c r="A168" s="19" t="str">
        <x:v>汇川中大型</x:v>
      </x:c>
      <x:c r="B168" s="19" t="str">
        <x:v>同步、通信异常与恢复</x:v>
      </x:c>
      <x:c r="C168" s="19" t="str">
        <x:v>N05</x:v>
      </x:c>
      <x:c r="D168" s="19" t="str">
        <x:v>通信看门狗</x:v>
      </x:c>
      <x:c r="E168" s="19" t="str">
        <x:v>超时检测是否提供、配置范围、触发条件、检测与反应时间，以及超时后的驱动状态</x:v>
      </x:c>
      <x:c r="F168" s="21" t="str">
        <x:v>☐ 未测试</x:v>
      </x:c>
      <x:c r="G168" s="21" t="str">
        <x:v>☐ 未测试</x:v>
      </x:c>
      <x:c r="H168" s="21" t="str">
        <x:v>☐ 未测试</x:v>
      </x:c>
      <x:c r="I168" s="21" t="str">
        <x:v>☐ 未测试</x:v>
      </x:c>
      <x:c r="J168" s="21" t="str">
        <x:v>☐ 未测试</x:v>
      </x:c>
    </x:row>
    <x:row r="169" ht="51" customHeight="1">
      <x:c r="A169" s="24" t="str">
        <x:v>汇川中大型</x:v>
      </x:c>
      <x:c r="B169" s="24" t="str">
        <x:v>同步、通信异常与恢复</x:v>
      </x:c>
      <x:c r="C169" s="24" t="str">
        <x:v>N06</x:v>
      </x:c>
      <x:c r="D169" s="24" t="str">
        <x:v>断线与重连</x:v>
      </x:c>
      <x:c r="E169" s="24" t="str">
        <x:v>持续/间歇断链、重新接通时的节点状态、运动反应、自动或手动恢复能力</x:v>
      </x:c>
      <x:c r="F169" s="21" t="str">
        <x:v>☐ 未测试</x:v>
      </x:c>
      <x:c r="G169" s="21" t="str">
        <x:v>☐ 未测试</x:v>
      </x:c>
      <x:c r="H169" s="21" t="str">
        <x:v>☐ 未测试</x:v>
      </x:c>
      <x:c r="I169" s="21" t="str">
        <x:v>☐ 未测试</x:v>
      </x:c>
      <x:c r="J169" s="21" t="str">
        <x:v>☐ 未测试</x:v>
      </x:c>
    </x:row>
    <x:row r="170" ht="51" customHeight="1">
      <x:c r="A170" s="19" t="str">
        <x:v>汇川中大型</x:v>
      </x:c>
      <x:c r="B170" s="19" t="str">
        <x:v>同步、通信异常与恢复</x:v>
      </x:c>
      <x:c r="C170" s="19" t="str">
        <x:v>N07</x:v>
      </x:c>
      <x:c r="D170" s="19" t="str">
        <x:v>PLC停止与继续运行</x:v>
      </x:c>
      <x:c r="E170" s="19" t="str">
        <x:v>PLC STOP/PROGRAM/RUN等实际操作下，过程数据是否继续更新、驱动如何反应、恢复运行后如何处理</x:v>
      </x:c>
      <x:c r="F170" s="21" t="str">
        <x:v>☐ 未测试</x:v>
      </x:c>
      <x:c r="G170" s="21" t="str">
        <x:v>☐ 未测试</x:v>
      </x:c>
      <x:c r="H170" s="21" t="str">
        <x:v>☐ 未测试</x:v>
      </x:c>
      <x:c r="I170" s="21" t="str">
        <x:v>☐ 未测试</x:v>
      </x:c>
      <x:c r="J170" s="21" t="str">
        <x:v>☐ 未测试</x:v>
      </x:c>
    </x:row>
    <x:row r="171" ht="51" customHeight="1">
      <x:c r="A171" s="24" t="str">
        <x:v>汇川中大型</x:v>
      </x:c>
      <x:c r="B171" s="24" t="str">
        <x:v>同步、通信异常与恢复</x:v>
      </x:c>
      <x:c r="C171" s="24" t="str">
        <x:v>N08</x:v>
      </x:c>
      <x:c r="D171" s="24" t="str">
        <x:v>PLC重启与工程变更</x:v>
      </x:c>
      <x:c r="E171" s="24" t="str">
        <x:v>PLC/运行时重启、工程下载或重新激活后的重新建站、同步、参数及轴状态恢复能力</x:v>
      </x:c>
      <x:c r="F171" s="21" t="str">
        <x:v>☐ 未测试</x:v>
      </x:c>
      <x:c r="G171" s="21" t="str">
        <x:v>☐ 未测试</x:v>
      </x:c>
      <x:c r="H171" s="21" t="str">
        <x:v>☐ 未测试</x:v>
      </x:c>
      <x:c r="I171" s="21" t="str">
        <x:v>☐ 未测试</x:v>
      </x:c>
      <x:c r="J171" s="21" t="str">
        <x:v>☐ 未测试</x:v>
      </x:c>
    </x:row>
    <x:row r="172" ht="51" customHeight="1">
      <x:c r="A172" s="19" t="str">
        <x:v>汇川中大型</x:v>
      </x:c>
      <x:c r="B172" s="19" t="str">
        <x:v>同步、通信异常与恢复</x:v>
      </x:c>
      <x:c r="C172" s="19" t="str">
        <x:v>N09</x:v>
      </x:c>
      <x:c r="D172" s="19" t="str">
        <x:v>驱动电源中断</x:v>
      </x:c>
      <x:c r="E172" s="19" t="str">
        <x:v>控制电与主回路电分别中断/恢复时的通信、报警、实际停机及本轴/下游节点影响</x:v>
      </x:c>
      <x:c r="F172" s="21" t="str">
        <x:v>☐ 未测试</x:v>
      </x:c>
      <x:c r="G172" s="21" t="str">
        <x:v>☐ 未测试</x:v>
      </x:c>
      <x:c r="H172" s="21" t="str">
        <x:v>☐ 未测试</x:v>
      </x:c>
      <x:c r="I172" s="21" t="str">
        <x:v>☐ 未测试</x:v>
      </x:c>
      <x:c r="J172" s="21" t="str">
        <x:v>☐ 未测试</x:v>
      </x:c>
    </x:row>
    <x:row r="173" ht="51" customHeight="1">
      <x:c r="A173" s="24" t="str">
        <x:v>汇川中大型</x:v>
      </x:c>
      <x:c r="B173" s="24" t="str">
        <x:v>同步、通信异常与恢复</x:v>
      </x:c>
      <x:c r="C173" s="24" t="str">
        <x:v>N10</x:v>
      </x:c>
      <x:c r="D173" s="24" t="str">
        <x:v>上电顺序与延迟上线</x:v>
      </x:c>
      <x:c r="E173" s="24" t="str">
        <x:v>PLC先上电、驱动先上电、主电源晚到和从站延迟上线时的等待、超时及恢复表现</x:v>
      </x:c>
      <x:c r="F173" s="21" t="str">
        <x:v>☐ 未测试</x:v>
      </x:c>
      <x:c r="G173" s="21" t="str">
        <x:v>☐ 未测试</x:v>
      </x:c>
      <x:c r="H173" s="21" t="str">
        <x:v>☐ 未测试</x:v>
      </x:c>
      <x:c r="I173" s="21" t="str">
        <x:v>☐ 未测试</x:v>
      </x:c>
      <x:c r="J173" s="21" t="str">
        <x:v>☐ 未测试</x:v>
      </x:c>
    </x:row>
    <x:row r="174" ht="51" customHeight="1">
      <x:c r="A174" s="19" t="str">
        <x:v>汇川中大型</x:v>
      </x:c>
      <x:c r="B174" s="19" t="str">
        <x:v>同步、通信异常与恢复</x:v>
      </x:c>
      <x:c r="C174" s="19" t="str">
        <x:v>N11</x:v>
      </x:c>
      <x:c r="D174" s="19" t="str">
        <x:v>通信恢复后的运动接管</x:v>
      </x:c>
      <x:c r="E174" s="19" t="str">
        <x:v>通信恢复后是否需清故障/重新使能，旧目标/旧命令的处理、位置连续性和意外续跑风险</x:v>
      </x:c>
      <x:c r="F174" s="21" t="str">
        <x:v>☐ 未测试</x:v>
      </x:c>
      <x:c r="G174" s="21" t="str">
        <x:v>☐ 未测试</x:v>
      </x:c>
      <x:c r="H174" s="21" t="str">
        <x:v>☐ 未测试</x:v>
      </x:c>
      <x:c r="I174" s="21" t="str">
        <x:v>☐ 未测试</x:v>
      </x:c>
      <x:c r="J174" s="21" t="str">
        <x:v>☐ 未测试</x:v>
      </x:c>
    </x:row>
    <x:row r="175" ht="51" customHeight="1">
      <x:c r="A175" s="24" t="str">
        <x:v>汇川中大型</x:v>
      </x:c>
      <x:c r="B175" s="24" t="str">
        <x:v>同步、通信异常与恢复</x:v>
      </x:c>
      <x:c r="C175" s="24" t="str">
        <x:v>N12</x:v>
      </x:c>
      <x:c r="D175" s="24" t="str">
        <x:v>通信继续但目标不再更新</x:v>
      </x:c>
      <x:c r="E175" s="24" t="str">
        <x:v>PLC轨迹计算停止而总线仍发送旧目标时，是否能识别、由哪层处理、允许保持什么及保持多久</x:v>
      </x:c>
      <x:c r="F175" s="21" t="str">
        <x:v>☐ 未测试</x:v>
      </x:c>
      <x:c r="G175" s="21" t="str">
        <x:v>☐ 未测试</x:v>
      </x:c>
      <x:c r="H175" s="21" t="str">
        <x:v>☐ 未测试</x:v>
      </x:c>
      <x:c r="I175" s="21" t="str">
        <x:v>☐ 未测试</x:v>
      </x:c>
      <x:c r="J175" s="21" t="str">
        <x:v>☐ 未测试</x:v>
      </x:c>
    </x:row>
    <x:row r="176" ht="51" customHeight="1">
      <x:c r="A176" s="22" t="str">
        <x:v>汇川中大型</x:v>
      </x:c>
      <x:c r="B176" s="22" t="str">
        <x:v>参数保存、启动配置与设备更换</x:v>
      </x:c>
      <x:c r="C176" s="22" t="str">
        <x:v>P01</x:v>
      </x:c>
      <x:c r="D176" s="22" t="str">
        <x:v>EtherCAT可配置范围</x:v>
      </x:c>
      <x:c r="E176" s="22" t="str">
        <x:v>电机/编码器、控制增益、滤波、制动器、I/O等实际参数中，哪些能从PLC经EtherCAT配置，哪些必须使用厂家工具及其通信接口</x:v>
      </x:c>
      <x:c r="F176" s="23" t="str">
        <x:v>☐ 未测试</x:v>
      </x:c>
      <x:c r="G176" s="23" t="str">
        <x:v>☐ 未测试</x:v>
      </x:c>
      <x:c r="H176" s="23" t="str">
        <x:v>☐ 未测试</x:v>
      </x:c>
      <x:c r="I176" s="23" t="str">
        <x:v>☐ 未测试</x:v>
      </x:c>
      <x:c r="J176" s="23" t="str">
        <x:v>☐ 未测试</x:v>
      </x:c>
    </x:row>
    <x:row r="177" ht="51" customHeight="1">
      <x:c r="A177" s="24" t="str">
        <x:v>汇川中大型</x:v>
      </x:c>
      <x:c r="B177" s="24" t="str">
        <x:v>参数保存、启动配置与设备更换</x:v>
      </x:c>
      <x:c r="C177" s="24" t="str">
        <x:v>P02</x:v>
      </x:c>
      <x:c r="D177" s="24" t="str">
        <x:v>参数生效与联动</x:v>
      </x:c>
      <x:c r="E177" s="24" t="str">
        <x:v>在线立即生效、撤使能后生效、重启后生效的区别；关联参数能否成组更新，中途失败时是否留下部分配置</x:v>
      </x:c>
      <x:c r="F177" s="21" t="str">
        <x:v>☐ 未测试</x:v>
      </x:c>
      <x:c r="G177" s="21" t="str">
        <x:v>☐ 未测试</x:v>
      </x:c>
      <x:c r="H177" s="21" t="str">
        <x:v>☐ 未测试</x:v>
      </x:c>
      <x:c r="I177" s="21" t="str">
        <x:v>☐ 未测试</x:v>
      </x:c>
      <x:c r="J177" s="21" t="str">
        <x:v>☐ 未测试</x:v>
      </x:c>
    </x:row>
    <x:row r="178" ht="51" customHeight="1">
      <x:c r="A178" s="19" t="str">
        <x:v>汇川中大型</x:v>
      </x:c>
      <x:c r="B178" s="19" t="str">
        <x:v>参数保存、启动配置与设备更换</x:v>
      </x:c>
      <x:c r="C178" s="19" t="str">
        <x:v>P03</x:v>
      </x:c>
      <x:c r="D178" s="19" t="str">
        <x:v>参数保存与掉电保持</x:v>
      </x:c>
      <x:c r="E178" s="19" t="str">
        <x:v>临时值与永久值的区别、保存入口、保存完成/失败反馈，以及重启和断电后的实际保持范围</x:v>
      </x:c>
      <x:c r="F178" s="21" t="str">
        <x:v>☐ 未测试</x:v>
      </x:c>
      <x:c r="G178" s="21" t="str">
        <x:v>☐ 未测试</x:v>
      </x:c>
      <x:c r="H178" s="21" t="str">
        <x:v>☐ 未测试</x:v>
      </x:c>
      <x:c r="I178" s="21" t="str">
        <x:v>☐ 未测试</x:v>
      </x:c>
      <x:c r="J178" s="21" t="str">
        <x:v>☐ 未测试</x:v>
      </x:c>
    </x:row>
    <x:row r="179" ht="51" customHeight="1">
      <x:c r="A179" s="24" t="str">
        <x:v>汇川中大型</x:v>
      </x:c>
      <x:c r="B179" s="24" t="str">
        <x:v>参数保存、启动配置与设备更换</x:v>
      </x:c>
      <x:c r="C179" s="24" t="str">
        <x:v>P04</x:v>
      </x:c>
      <x:c r="D179" s="24" t="str">
        <x:v>启动参数与现有参数的覆盖</x:v>
      </x:c>
      <x:c r="E179" s="24" t="str">
        <x:v>PLC启动参数、驱动已保存参数、在线修改值和PDO周期写入并存时，实际采用哪一个值、何时被覆盖及如何追溯来源</x:v>
      </x:c>
      <x:c r="F179" s="21" t="str">
        <x:v>☐ 未测试</x:v>
      </x:c>
      <x:c r="G179" s="21" t="str">
        <x:v>☐ 未测试</x:v>
      </x:c>
      <x:c r="H179" s="21" t="str">
        <x:v>☐ 未测试</x:v>
      </x:c>
      <x:c r="I179" s="21" t="str">
        <x:v>☐ 未测试</x:v>
      </x:c>
      <x:c r="J179" s="21" t="str">
        <x:v>☐ 未测试</x:v>
      </x:c>
    </x:row>
    <x:row r="180" ht="51" customHeight="1">
      <x:c r="A180" s="19" t="str">
        <x:v>汇川中大型</x:v>
      </x:c>
      <x:c r="B180" s="19" t="str">
        <x:v>参数保存、启动配置与设备更换</x:v>
      </x:c>
      <x:c r="C180" s="19" t="str">
        <x:v>P05</x:v>
      </x:c>
      <x:c r="D180" s="19" t="str">
        <x:v>启动参数下发异常</x:v>
      </x:c>
      <x:c r="E180" s="19" t="str">
        <x:v>参数依赖/顺序、下发状态、超时、拒写或部分失败时的提示、建站结果及重试后的配置完整性</x:v>
      </x:c>
      <x:c r="F180" s="21" t="str">
        <x:v>☐ 未测试</x:v>
      </x:c>
      <x:c r="G180" s="21" t="str">
        <x:v>☐ 未测试</x:v>
      </x:c>
      <x:c r="H180" s="21" t="str">
        <x:v>☐ 未测试</x:v>
      </x:c>
      <x:c r="I180" s="21" t="str">
        <x:v>☐ 未测试</x:v>
      </x:c>
      <x:c r="J180" s="21" t="str">
        <x:v>☐ 未测试</x:v>
      </x:c>
    </x:row>
    <x:row r="181" ht="51" customHeight="1">
      <x:c r="A181" s="24" t="str">
        <x:v>汇川中大型</x:v>
      </x:c>
      <x:c r="B181" s="24" t="str">
        <x:v>参数保存、启动配置与设备更换</x:v>
      </x:c>
      <x:c r="C181" s="24" t="str">
        <x:v>P06</x:v>
      </x:c>
      <x:c r="D181" s="24" t="str">
        <x:v>参数备份与恢复</x:v>
      </x:c>
      <x:c r="E181" s="24" t="str">
        <x:v>PLC或厂家工具可导出/恢复的范围、遗漏项、差异比较，以及恢复后的实际配置与原机是否一致；记录实际传输接口</x:v>
      </x:c>
      <x:c r="F181" s="21" t="str">
        <x:v>☐ 未测试</x:v>
      </x:c>
      <x:c r="G181" s="21" t="str">
        <x:v>☐ 未测试</x:v>
      </x:c>
      <x:c r="H181" s="21" t="str">
        <x:v>☐ 未测试</x:v>
      </x:c>
      <x:c r="I181" s="21" t="str">
        <x:v>☐ 未测试</x:v>
      </x:c>
      <x:c r="J181" s="21" t="str">
        <x:v>☐ 未测试</x:v>
      </x:c>
    </x:row>
    <x:row r="182" ht="51" customHeight="1">
      <x:c r="A182" s="19" t="str">
        <x:v>汇川中大型</x:v>
      </x:c>
      <x:c r="B182" s="19" t="str">
        <x:v>参数保存、启动配置与设备更换</x:v>
      </x:c>
      <x:c r="C182" s="19" t="str">
        <x:v>P07</x:v>
      </x:c>
      <x:c r="D182" s="19" t="str">
        <x:v>恢复默认设置</x:v>
      </x:c>
      <x:c r="E182" s="19" t="str">
        <x:v>支持整机/分组恢复哪些默认值，对通信、轴配置及重新接入的影响；厂家工具与EtherCAT入口分别记录</x:v>
      </x:c>
      <x:c r="F182" s="21" t="str">
        <x:v>☐ 未测试</x:v>
      </x:c>
      <x:c r="G182" s="21" t="str">
        <x:v>☐ 未测试</x:v>
      </x:c>
      <x:c r="H182" s="21" t="str">
        <x:v>☐ 未测试</x:v>
      </x:c>
      <x:c r="I182" s="21" t="str">
        <x:v>☐ 未测试</x:v>
      </x:c>
      <x:c r="J182" s="21" t="str">
        <x:v>☐ 未测试</x:v>
      </x:c>
    </x:row>
    <x:row r="183" ht="51" customHeight="1">
      <x:c r="A183" s="24" t="str">
        <x:v>汇川中大型</x:v>
      </x:c>
      <x:c r="B183" s="24" t="str">
        <x:v>参数保存、启动配置与设备更换</x:v>
      </x:c>
      <x:c r="C183" s="24" t="str">
        <x:v>P08</x:v>
      </x:c>
      <x:c r="D183" s="24" t="str">
        <x:v>设备与版本匹配</x:v>
      </x:c>
      <x:c r="E183" s="24" t="str">
        <x:v>型号、产品标识、硬件/固件版本与ESI、PLC工程的匹配检查；不匹配时能否识别、提示并定位差异</x:v>
      </x:c>
      <x:c r="F183" s="21" t="str">
        <x:v>☐ 未测试</x:v>
      </x:c>
      <x:c r="G183" s="21" t="str">
        <x:v>☐ 未测试</x:v>
      </x:c>
      <x:c r="H183" s="21" t="str">
        <x:v>☐ 未测试</x:v>
      </x:c>
      <x:c r="I183" s="21" t="str">
        <x:v>☐ 未测试</x:v>
      </x:c>
      <x:c r="J183" s="21" t="str">
        <x:v>☐ 未测试</x:v>
      </x:c>
    </x:row>
    <x:row r="184" ht="51" customHeight="1">
      <x:c r="A184" s="19" t="str">
        <x:v>汇川中大型</x:v>
      </x:c>
      <x:c r="B184" s="19" t="str">
        <x:v>参数保存、启动配置与设备更换</x:v>
      </x:c>
      <x:c r="C184" s="19" t="str">
        <x:v>P09</x:v>
      </x:c>
      <x:c r="D184" s="19" t="str">
        <x:v>更换驱动与配置迁移</x:v>
      </x:c>
      <x:c r="E184" s="19" t="str">
        <x:v>同型号同版本及厂家声明兼容的版本之间，更换后哪些配置可自动恢复、哪些需人工补齐；节点身份、轴对应和机器专用参数是否正确</x:v>
      </x:c>
      <x:c r="F184" s="21" t="str">
        <x:v>☐ 未测试</x:v>
      </x:c>
      <x:c r="G184" s="21" t="str">
        <x:v>☐ 未测试</x:v>
      </x:c>
      <x:c r="H184" s="21" t="str">
        <x:v>☐ 未测试</x:v>
      </x:c>
      <x:c r="I184" s="21" t="str">
        <x:v>☐ 未测试</x:v>
      </x:c>
      <x:c r="J184" s="21" t="str">
        <x:v>☐ 未测试</x:v>
      </x:c>
    </x:row>
    <x:row r="185" ht="51" customHeight="1">
      <x:c r="A185" s="24" t="str">
        <x:v>汇川中大型</x:v>
      </x:c>
      <x:c r="B185" s="24" t="str">
        <x:v>参数保存、启动配置与设备更换</x:v>
      </x:c>
      <x:c r="C185" s="24" t="str">
        <x:v>P10</x:v>
      </x:c>
      <x:c r="D185" s="24" t="str">
        <x:v>固件升级与升级后兼容性</x:v>
      </x:c>
      <x:c r="E185" s="24" t="str">
        <x:v>是否支持经EtherCAT升级（如FoE），实际限制、失败/中断恢复能力，以及升级后的参数、对象字典、PDO和原PLC工程兼容性</x:v>
      </x:c>
      <x:c r="F185" s="21" t="str">
        <x:v>☐ 未测试</x:v>
      </x:c>
      <x:c r="G185" s="21" t="str">
        <x:v>☐ 未测试</x:v>
      </x:c>
      <x:c r="H185" s="21" t="str">
        <x:v>☐ 未测试</x:v>
      </x:c>
      <x:c r="I185" s="21" t="str">
        <x:v>☐ 未测试</x:v>
      </x:c>
      <x:c r="J185" s="21" t="str">
        <x:v>☐ 未测试</x:v>
      </x:c>
    </x:row>
    <x:row r="186" ht="51" customHeight="1">
      <x:c r="A186" s="22" t="str">
        <x:v>汇川中大型</x:v>
      </x:c>
      <x:c r="B186" s="22" t="str">
        <x:v>报警、诊断与现场排障</x:v>
      </x:c>
      <x:c r="C186" s="22" t="str">
        <x:v>A01</x:v>
      </x:c>
      <x:c r="D186" s="22" t="str">
        <x:v>当前故障与警告</x:v>
      </x:c>
      <x:c r="E186" s="22" t="str">
        <x:v>可读取哪些故障/警告、严重程度及详细原因；仅预警、限制运行与停机故障如何区分，当前状态是否及时更新</x:v>
      </x:c>
      <x:c r="F186" s="23" t="str">
        <x:v>☐ 未测试</x:v>
      </x:c>
      <x:c r="G186" s="23" t="str">
        <x:v>☐ 未测试</x:v>
      </x:c>
      <x:c r="H186" s="23" t="str">
        <x:v>☐ 未测试</x:v>
      </x:c>
      <x:c r="I186" s="23" t="str">
        <x:v>☐ 未测试</x:v>
      </x:c>
      <x:c r="J186" s="23" t="str">
        <x:v>☐ 未测试</x:v>
      </x:c>
    </x:row>
    <x:row r="187" ht="51" customHeight="1">
      <x:c r="A187" s="24" t="str">
        <x:v>汇川中大型</x:v>
      </x:c>
      <x:c r="B187" s="24" t="str">
        <x:v>报警、诊断与现场排障</x:v>
      </x:c>
      <x:c r="C187" s="24" t="str">
        <x:v>A02</x:v>
      </x:c>
      <x:c r="D187" s="24" t="str">
        <x:v>PLC与驱动报警对应</x:v>
      </x:c>
      <x:c r="E187" s="24" t="str">
        <x:v>PLC轴错误、EtherCAT通信错误、驱动故障码与厂家工具显示如何对应；能否从PLC获得原始原因而非只有通用错误</x:v>
      </x:c>
      <x:c r="F187" s="21" t="str">
        <x:v>☐ 未测试</x:v>
      </x:c>
      <x:c r="G187" s="21" t="str">
        <x:v>☐ 未测试</x:v>
      </x:c>
      <x:c r="H187" s="21" t="str">
        <x:v>☐ 未测试</x:v>
      </x:c>
      <x:c r="I187" s="21" t="str">
        <x:v>☐ 未测试</x:v>
      </x:c>
      <x:c r="J187" s="21" t="str">
        <x:v>☐ 未测试</x:v>
      </x:c>
    </x:row>
    <x:row r="188" ht="51" customHeight="1">
      <x:c r="A188" s="19" t="str">
        <x:v>汇川中大型</x:v>
      </x:c>
      <x:c r="B188" s="19" t="str">
        <x:v>报警、诊断与现场排障</x:v>
      </x:c>
      <x:c r="C188" s="19" t="str">
        <x:v>A03</x:v>
      </x:c>
      <x:c r="D188" s="19" t="str">
        <x:v>短时与连续报警事件</x:v>
      </x:c>
      <x:c r="E188" s="19" t="str">
        <x:v>实际提供的事件通知/主动上报或轮询机制，短时出现后消失、连续发生及重复故障能否被PLC捕获；延迟、去重和丢失边界</x:v>
      </x:c>
      <x:c r="F188" s="21" t="str">
        <x:v>☐ 未测试</x:v>
      </x:c>
      <x:c r="G188" s="21" t="str">
        <x:v>☐ 未测试</x:v>
      </x:c>
      <x:c r="H188" s="21" t="str">
        <x:v>☐ 未测试</x:v>
      </x:c>
      <x:c r="I188" s="21" t="str">
        <x:v>☐ 未测试</x:v>
      </x:c>
      <x:c r="J188" s="21" t="str">
        <x:v>☐ 未测试</x:v>
      </x:c>
    </x:row>
    <x:row r="189" ht="51" customHeight="1">
      <x:c r="A189" s="24" t="str">
        <x:v>汇川中大型</x:v>
      </x:c>
      <x:c r="B189" s="24" t="str">
        <x:v>报警、诊断与现场排障</x:v>
      </x:c>
      <x:c r="C189" s="24" t="str">
        <x:v>A04</x:v>
      </x:c>
      <x:c r="D189" s="24" t="str">
        <x:v>故障历史与保持</x:v>
      </x:c>
      <x:c r="E189" s="24" t="str">
        <x:v>历史容量、先后顺序、时间信息及故障现场值；清故障、重启、掉电后的保留情况及清除入口</x:v>
      </x:c>
      <x:c r="F189" s="21" t="str">
        <x:v>☐ 未测试</x:v>
      </x:c>
      <x:c r="G189" s="21" t="str">
        <x:v>☐ 未测试</x:v>
      </x:c>
      <x:c r="H189" s="21" t="str">
        <x:v>☐ 未测试</x:v>
      </x:c>
      <x:c r="I189" s="21" t="str">
        <x:v>☐ 未测试</x:v>
      </x:c>
      <x:c r="J189" s="21" t="str">
        <x:v>☐ 未测试</x:v>
      </x:c>
    </x:row>
    <x:row r="190" ht="51" customHeight="1">
      <x:c r="A190" s="19" t="str">
        <x:v>汇川中大型</x:v>
      </x:c>
      <x:c r="B190" s="19" t="str">
        <x:v>报警、诊断与现场排障</x:v>
      </x:c>
      <x:c r="C190" s="19" t="str">
        <x:v>A05</x:v>
      </x:c>
      <x:c r="D190" s="19" t="str">
        <x:v>多故障与最初原因</x:v>
      </x:c>
      <x:c r="E190" s="19" t="str">
        <x:v>多个故障同时或先后发生时，首个原因、后续连锁故障和仍未消除的原因能否区分，显示/上报优先级如何处理</x:v>
      </x:c>
      <x:c r="F190" s="21" t="str">
        <x:v>☐ 未测试</x:v>
      </x:c>
      <x:c r="G190" s="21" t="str">
        <x:v>☐ 未测试</x:v>
      </x:c>
      <x:c r="H190" s="21" t="str">
        <x:v>☐ 未测试</x:v>
      </x:c>
      <x:c r="I190" s="21" t="str">
        <x:v>☐ 未测试</x:v>
      </x:c>
      <x:c r="J190" s="21" t="str">
        <x:v>☐ 未测试</x:v>
      </x:c>
    </x:row>
    <x:row r="191" ht="51" customHeight="1">
      <x:c r="A191" s="24" t="str">
        <x:v>汇川中大型</x:v>
      </x:c>
      <x:c r="B191" s="24" t="str">
        <x:v>报警、诊断与现场排障</x:v>
      </x:c>
      <x:c r="C191" s="24" t="str">
        <x:v>A06</x:v>
      </x:c>
      <x:c r="D191" s="24" t="str">
        <x:v>无报警但不动作的诊断</x:v>
      </x:c>
      <x:c r="E191" s="24" t="str">
        <x:v>未使能、模式未就绪、限位、指令未接受、控制权冲突等场景，能否看到具体阻止原因及命令接受/执行状态</x:v>
      </x:c>
      <x:c r="F191" s="21" t="str">
        <x:v>☐ 未测试</x:v>
      </x:c>
      <x:c r="G191" s="21" t="str">
        <x:v>☐ 未测试</x:v>
      </x:c>
      <x:c r="H191" s="21" t="str">
        <x:v>☐ 未测试</x:v>
      </x:c>
      <x:c r="I191" s="21" t="str">
        <x:v>☐ 未测试</x:v>
      </x:c>
      <x:c r="J191" s="21" t="str">
        <x:v>☐ 未测试</x:v>
      </x:c>
    </x:row>
    <x:row r="192" ht="51" customHeight="1">
      <x:c r="A192" s="19" t="str">
        <x:v>汇川中大型</x:v>
      </x:c>
      <x:c r="B192" s="19" t="str">
        <x:v>报警、诊断与现场排障</x:v>
      </x:c>
      <x:c r="C192" s="19" t="str">
        <x:v>A07</x:v>
      </x:c>
      <x:c r="D192" s="19" t="str">
        <x:v>运行状态与诊断量</x:v>
      </x:c>
      <x:c r="E192" s="19" t="str">
        <x:v>实际开放的跟随误差、负载/转矩、母线电压、温度、I/O及通信诊断量的访问入口、单位、刷新速度和有效性；区分主站统计与驱动提供的数据</x:v>
      </x:c>
      <x:c r="F192" s="21" t="str">
        <x:v>☐ 未测试</x:v>
      </x:c>
      <x:c r="G192" s="21" t="str">
        <x:v>☐ 未测试</x:v>
      </x:c>
      <x:c r="H192" s="21" t="str">
        <x:v>☐ 未测试</x:v>
      </x:c>
      <x:c r="I192" s="21" t="str">
        <x:v>☐ 未测试</x:v>
      </x:c>
      <x:c r="J192" s="21" t="str">
        <x:v>☐ 未测试</x:v>
      </x:c>
    </x:row>
    <x:row r="193" ht="51" customHeight="1">
      <x:c r="A193" s="24" t="str">
        <x:v>汇川中大型</x:v>
      </x:c>
      <x:c r="B193" s="24" t="str">
        <x:v>报警、诊断与现场排障</x:v>
      </x:c>
      <x:c r="C193" s="24" t="str">
        <x:v>A08</x:v>
      </x:c>
      <x:c r="D193" s="24" t="str">
        <x:v>波形与故障现场捕获</x:v>
      </x:c>
      <x:c r="E193" s="24" t="str">
        <x:v>PLC采样和驱动内部记录各能捕获哪些量、采样周期/长度、触发及故障前后数据；能否经EtherCAT取得，断线后哪些证据仍可保留</x:v>
      </x:c>
      <x:c r="F193" s="21" t="str">
        <x:v>☐ 未测试</x:v>
      </x:c>
      <x:c r="G193" s="21" t="str">
        <x:v>☐ 未测试</x:v>
      </x:c>
      <x:c r="H193" s="21" t="str">
        <x:v>☐ 未测试</x:v>
      </x:c>
      <x:c r="I193" s="21" t="str">
        <x:v>☐ 未测试</x:v>
      </x:c>
      <x:c r="J193" s="21" t="str">
        <x:v>☐ 未测试</x:v>
      </x:c>
    </x:row>
    <x:row r="194" ht="51" customHeight="1">
      <x:c r="A194" s="19" t="str">
        <x:v>汇川中大型</x:v>
      </x:c>
      <x:c r="B194" s="19" t="str">
        <x:v>报警、诊断与现场排障</x:v>
      </x:c>
      <x:c r="C194" s="19" t="str">
        <x:v>A09</x:v>
      </x:c>
      <x:c r="D194" s="19" t="str">
        <x:v>诊断资料导出与追溯</x:v>
      </x:c>
      <x:c r="E194" s="19" t="str">
        <x:v>报警历史、波形、参数快照、通信状态及设备/软件版本能否导出并关联到同一故障；明确需从哪些入口分别取得及时间能否对齐</x:v>
      </x:c>
      <x:c r="F194" s="21" t="str">
        <x:v>☐ 未测试</x:v>
      </x:c>
      <x:c r="G194" s="21" t="str">
        <x:v>☐ 未测试</x:v>
      </x:c>
      <x:c r="H194" s="21" t="str">
        <x:v>☐ 未测试</x:v>
      </x:c>
      <x:c r="I194" s="21" t="str">
        <x:v>☐ 未测试</x:v>
      </x:c>
      <x:c r="J194" s="21" t="str">
        <x:v>☐ 未测试</x:v>
      </x:c>
    </x:row>
    <x:row r="195" ht="51" customHeight="1">
      <x:c r="A195" s="25" t="str">
        <x:v>汇川中大型</x:v>
      </x:c>
      <x:c r="B195" s="25" t="str">
        <x:v>运动指令衔接与多轴配合</x:v>
      </x:c>
      <x:c r="C195" s="25" t="str">
        <x:v>C01</x:v>
      </x:c>
      <x:c r="D195" s="25" t="str">
        <x:v>点动与正反向切换</x:v>
      </x:c>
      <x:c r="E195" s="25" t="str">
        <x:v>持续点动、松开停止、快速重复点动、运行中换向及正反命令同时出现时的动作、停止距离和状态反馈</x:v>
      </x:c>
      <x:c r="F195" s="23" t="str">
        <x:v>☐ 未测试</x:v>
      </x:c>
      <x:c r="G195" s="23" t="str">
        <x:v>☐ 未测试</x:v>
      </x:c>
      <x:c r="H195" s="23" t="str">
        <x:v>☐ 未测试</x:v>
      </x:c>
      <x:c r="I195" s="23" t="str">
        <x:v>☐ 未测试</x:v>
      </x:c>
      <x:c r="J195" s="23" t="str">
        <x:v>☐ 未测试</x:v>
      </x:c>
    </x:row>
    <x:row r="196" ht="51" customHeight="1">
      <x:c r="A196" s="19" t="str">
        <x:v>汇川中大型</x:v>
      </x:c>
      <x:c r="B196" s="19" t="str">
        <x:v>运动指令衔接与多轴配合</x:v>
      </x:c>
      <x:c r="C196" s="19" t="str">
        <x:v>C02</x:v>
      </x:c>
      <x:c r="D196" s="19" t="str">
        <x:v>运动中更新目标</x:v>
      </x:c>
      <x:c r="E196" s="19" t="str">
        <x:v>定位或速度运动中修改目标位置、速度、加减速等实际允许的量，更新生效时机、轨迹连续性及不允许更新时的响应</x:v>
      </x:c>
      <x:c r="F196" s="21" t="str">
        <x:v>☐ 未测试</x:v>
      </x:c>
      <x:c r="G196" s="21" t="str">
        <x:v>☐ 未测试</x:v>
      </x:c>
      <x:c r="H196" s="21" t="str">
        <x:v>☐ 未测试</x:v>
      </x:c>
      <x:c r="I196" s="21" t="str">
        <x:v>☐ 未测试</x:v>
      </x:c>
      <x:c r="J196" s="21" t="str">
        <x:v>☐ 未测试</x:v>
      </x:c>
    </x:row>
    <x:row r="197" ht="51" customHeight="1">
      <x:c r="A197" s="24" t="str">
        <x:v>汇川中大型</x:v>
      </x:c>
      <x:c r="B197" s="24" t="str">
        <x:v>运动指令衔接与多轴配合</x:v>
      </x:c>
      <x:c r="C197" s="24" t="str">
        <x:v>C03</x:v>
      </x:c>
      <x:c r="D197" s="24" t="str">
        <x:v>连续指令、排队与打断</x:v>
      </x:c>
      <x:c r="E197" s="24" t="str">
        <x:v>多段定位/运动的立即打断、排队执行、连续过渡等实际支持方式；命令顺序、交接速度、队列限制及被中断指令的反馈</x:v>
      </x:c>
      <x:c r="F197" s="21" t="str">
        <x:v>☐ 未测试</x:v>
      </x:c>
      <x:c r="G197" s="21" t="str">
        <x:v>☐ 未测试</x:v>
      </x:c>
      <x:c r="H197" s="21" t="str">
        <x:v>☐ 未测试</x:v>
      </x:c>
      <x:c r="I197" s="21" t="str">
        <x:v>☐ 未测试</x:v>
      </x:c>
      <x:c r="J197" s="21" t="str">
        <x:v>☐ 未测试</x:v>
      </x:c>
    </x:row>
    <x:row r="198" ht="51" customHeight="1">
      <x:c r="A198" s="19" t="str">
        <x:v>汇川中大型</x:v>
      </x:c>
      <x:c r="B198" s="19" t="str">
        <x:v>运动指令衔接与多轴配合</x:v>
      </x:c>
      <x:c r="C198" s="19" t="str">
        <x:v>C04</x:v>
      </x:c>
      <x:c r="D198" s="19" t="str">
        <x:v>运行倍率与动态限制</x:v>
      </x:c>
      <x:c r="E198" s="19" t="str">
        <x:v>PLC速度倍率、加速度/减速度倍率等实际能力及驱动限速/限矩共同作用时的运动表现；调低、恢复或超出允许范围时的响应</x:v>
      </x:c>
      <x:c r="F198" s="21" t="str">
        <x:v>☐ 未测试</x:v>
      </x:c>
      <x:c r="G198" s="21" t="str">
        <x:v>☐ 未测试</x:v>
      </x:c>
      <x:c r="H198" s="21" t="str">
        <x:v>☐ 未测试</x:v>
      </x:c>
      <x:c r="I198" s="21" t="str">
        <x:v>☐ 未测试</x:v>
      </x:c>
      <x:c r="J198" s="21" t="str">
        <x:v>☐ 未测试</x:v>
      </x:c>
    </x:row>
    <x:row r="199" ht="51" customHeight="1">
      <x:c r="A199" s="24" t="str">
        <x:v>汇川中大型</x:v>
      </x:c>
      <x:c r="B199" s="24" t="str">
        <x:v>运动指令衔接与多轴配合</x:v>
      </x:c>
      <x:c r="C199" s="24" t="str">
        <x:v>C05</x:v>
      </x:c>
      <x:c r="D199" s="24" t="str">
        <x:v>多轴同步运动</x:v>
      </x:c>
      <x:c r="E199" s="24" t="str">
        <x:v>多轴共同起停、反向及连续轨迹时的实际位置/速度关系和同步误差；记录轴数、周期、负载和误差测量方法</x:v>
      </x:c>
      <x:c r="F199" s="21" t="str">
        <x:v>☐ 未测试</x:v>
      </x:c>
      <x:c r="G199" s="21" t="str">
        <x:v>☐ 未测试</x:v>
      </x:c>
      <x:c r="H199" s="21" t="str">
        <x:v>☐ 未测试</x:v>
      </x:c>
      <x:c r="I199" s="21" t="str">
        <x:v>☐ 未测试</x:v>
      </x:c>
      <x:c r="J199" s="21" t="str">
        <x:v>☐ 未测试</x:v>
      </x:c>
    </x:row>
    <x:row r="200" ht="51" customHeight="1">
      <x:c r="A200" s="19" t="str">
        <x:v>汇川中大型</x:v>
      </x:c>
      <x:c r="B200" s="19" t="str">
        <x:v>运动指令衔接与多轴配合</x:v>
      </x:c>
      <x:c r="C200" s="19" t="str">
        <x:v>C06</x:v>
      </x:c>
      <x:c r="D200" s="19" t="str">
        <x:v>电子齿轮跟随</x:v>
      </x:c>
      <x:c r="E200" s="19" t="str">
        <x:v>虚拟/实际主轴等实际来源、比例/方向、接入/退出及主轴停转/反转时的跟随表现，运行中改比例和重新同步的限制</x:v>
      </x:c>
      <x:c r="F200" s="21" t="str">
        <x:v>☐ 未测试</x:v>
      </x:c>
      <x:c r="G200" s="21" t="str">
        <x:v>☐ 未测试</x:v>
      </x:c>
      <x:c r="H200" s="21" t="str">
        <x:v>☐ 未测试</x:v>
      </x:c>
      <x:c r="I200" s="21" t="str">
        <x:v>☐ 未测试</x:v>
      </x:c>
      <x:c r="J200" s="21" t="str">
        <x:v>☐ 未测试</x:v>
      </x:c>
    </x:row>
    <x:row r="201" ht="51" customHeight="1">
      <x:c r="A201" s="24" t="str">
        <x:v>汇川中大型</x:v>
      </x:c>
      <x:c r="B201" s="24" t="str">
        <x:v>运动指令衔接与多轴配合</x:v>
      </x:c>
      <x:c r="C201" s="24" t="str">
        <x:v>C07</x:v>
      </x:c>
      <x:c r="D201" s="24" t="str">
        <x:v>电子凸轮</x:v>
      </x:c>
      <x:c r="E201" s="24" t="str">
        <x:v>实际支持的凸轮表、接入/退出、周期运行、相位/偏置调整和表切换能力，以及主轴停转/反转后的轨迹与同步表现</x:v>
      </x:c>
      <x:c r="F201" s="21" t="str">
        <x:v>☐ 未测试</x:v>
      </x:c>
      <x:c r="G201" s="21" t="str">
        <x:v>☐ 未测试</x:v>
      </x:c>
      <x:c r="H201" s="21" t="str">
        <x:v>☐ 未测试</x:v>
      </x:c>
      <x:c r="I201" s="21" t="str">
        <x:v>☐ 未测试</x:v>
      </x:c>
      <x:c r="J201" s="21" t="str">
        <x:v>☐ 未测试</x:v>
      </x:c>
    </x:row>
    <x:row r="202" ht="51" customHeight="1">
      <x:c r="A202" s="19" t="str">
        <x:v>汇川中大型</x:v>
      </x:c>
      <x:c r="B202" s="19" t="str">
        <x:v>运动指令衔接与多轴配合</x:v>
      </x:c>
      <x:c r="C202" s="19" t="str">
        <x:v>C08</x:v>
      </x:c>
      <x:c r="D202" s="19" t="str">
        <x:v>轴组与插补运动</x:v>
      </x:c>
      <x:c r="E202" s="19" t="str">
        <x:v>平台实际支持的直线/圆弧等轴组运动、连续轨迹衔接、暂停/恢复及组状态反馈，记录实际轨迹误差和驱动配合限制</x:v>
      </x:c>
      <x:c r="F202" s="21" t="str">
        <x:v>☐ 未测试</x:v>
      </x:c>
      <x:c r="G202" s="21" t="str">
        <x:v>☐ 未测试</x:v>
      </x:c>
      <x:c r="H202" s="21" t="str">
        <x:v>☐ 未测试</x:v>
      </x:c>
      <x:c r="I202" s="21" t="str">
        <x:v>☐ 未测试</x:v>
      </x:c>
      <x:c r="J202" s="21" t="str">
        <x:v>☐ 未测试</x:v>
      </x:c>
    </x:row>
    <x:row r="203" ht="51" customHeight="1">
      <x:c r="A203" s="24" t="str">
        <x:v>汇川中大型</x:v>
      </x:c>
      <x:c r="B203" s="24" t="str">
        <x:v>运动指令衔接与多轴配合</x:v>
      </x:c>
      <x:c r="C203" s="24" t="str">
        <x:v>C09</x:v>
      </x:c>
      <x:c r="D203" s="24" t="str">
        <x:v>联动中的单轴异常</x:v>
      </x:c>
      <x:c r="E203" s="24" t="str">
        <x:v>跟随轴/主轴故障、触限位、撤使能或掉线时其他轴及轴组的行为，解除联动、清错、重新接入和恢复后的相位/位置关系</x:v>
      </x:c>
      <x:c r="F203" s="21" t="str">
        <x:v>☐ 未测试</x:v>
      </x:c>
      <x:c r="G203" s="21" t="str">
        <x:v>☐ 未测试</x:v>
      </x:c>
      <x:c r="H203" s="21" t="str">
        <x:v>☐ 未测试</x:v>
      </x:c>
      <x:c r="I203" s="21" t="str">
        <x:v>☐ 未测试</x:v>
      </x:c>
      <x:c r="J203" s="21" t="str">
        <x:v>☐ 未测试</x:v>
      </x:c>
    </x:row>
    <x:row r="204" ht="51" customHeight="1">
      <x:c r="A204" s="19" t="str">
        <x:v>汇川中大型</x:v>
      </x:c>
      <x:c r="B204" s="19" t="str">
        <x:v>运动指令衔接与多轴配合</x:v>
      </x:c>
      <x:c r="C204" s="19" t="str">
        <x:v>C10</x:v>
      </x:c>
      <x:c r="D204" s="19" t="str">
        <x:v>一台EtherCAT设备控制多轴</x:v>
      </x:c>
      <x:c r="E204" s="19" t="str">
        <x:v>单从站多轴产品的各通道对象/PDO/状态/报警是否对应，能否独立和同时运行，以及共享资源或单通道异常对其他通道的影响</x:v>
      </x:c>
      <x:c r="F204" s="21" t="str">
        <x:v>☐ 未测试</x:v>
      </x:c>
      <x:c r="G204" s="21" t="str">
        <x:v>☐ 未测试</x:v>
      </x:c>
      <x:c r="H204" s="21" t="str">
        <x:v>☐ 未测试</x:v>
      </x:c>
      <x:c r="I204" s="21" t="str">
        <x:v>☐ 未测试</x:v>
      </x:c>
      <x:c r="J204" s="21" t="str">
        <x:v>☐ 未测试</x:v>
      </x:c>
    </x:row>
    <x:row r="205" ht="51" customHeight="1">
      <x:c r="A205" s="25" t="str">
        <x:v>汇川中大型</x:v>
      </x:c>
      <x:c r="B205" s="25" t="str">
        <x:v>网络组合、容量与长期运行</x:v>
      </x:c>
      <x:c r="C205" s="25" t="str">
        <x:v>T01</x:v>
      </x:c>
      <x:c r="D205" s="25" t="str">
        <x:v>多台驱动识别与轴对应</x:v>
      </x:c>
      <x:c r="E205" s="25" t="str">
        <x:v>同型号多台、不同型号/品牌驱动共网时的识别、轴绑定及数据/报警对应；节点顺序或位置变化后的匹配、拒绝和提示行为</x:v>
      </x:c>
      <x:c r="F205" s="23" t="str">
        <x:v>☐ 未测试</x:v>
      </x:c>
      <x:c r="G205" s="23" t="str">
        <x:v>☐ 未测试</x:v>
      </x:c>
      <x:c r="H205" s="23" t="str">
        <x:v>☐ 未测试</x:v>
      </x:c>
      <x:c r="I205" s="23" t="str">
        <x:v>☐ 未测试</x:v>
      </x:c>
      <x:c r="J205" s="23" t="str">
        <x:v>☐ 未测试</x:v>
      </x:c>
    </x:row>
    <x:row r="206" ht="51" customHeight="1">
      <x:c r="A206" s="19" t="str">
        <x:v>汇川中大型</x:v>
      </x:c>
      <x:c r="B206" s="19" t="str">
        <x:v>网络组合、容量与长期运行</x:v>
      </x:c>
      <x:c r="C206" s="19" t="str">
        <x:v>T02</x:v>
      </x:c>
      <x:c r="D206" s="19" t="str">
        <x:v>混合从站与网络拓扑</x:v>
      </x:c>
      <x:c r="E206" s="19" t="str">
        <x:v>驱动与I/O、耦合器等从站共网，串接及实际支持的分支拓扑下的建站、端口连接限制、同步和数据交换表现</x:v>
      </x:c>
      <x:c r="F206" s="21" t="str">
        <x:v>☐ 未测试</x:v>
      </x:c>
      <x:c r="G206" s="21" t="str">
        <x:v>☐ 未测试</x:v>
      </x:c>
      <x:c r="H206" s="21" t="str">
        <x:v>☐ 未测试</x:v>
      </x:c>
      <x:c r="I206" s="21" t="str">
        <x:v>☐ 未测试</x:v>
      </x:c>
      <x:c r="J206" s="21" t="str">
        <x:v>☐ 未测试</x:v>
      </x:c>
    </x:row>
    <x:row r="207" ht="51" customHeight="1">
      <x:c r="A207" s="24" t="str">
        <x:v>汇川中大型</x:v>
      </x:c>
      <x:c r="B207" s="24" t="str">
        <x:v>网络组合、容量与长期运行</x:v>
      </x:c>
      <x:c r="C207" s="24" t="str">
        <x:v>T03</x:v>
      </x:c>
      <x:c r="D207" s="24" t="str">
        <x:v>参考时钟与节点排列</x:v>
      </x:c>
      <x:c r="E207" s="24" t="str">
        <x:v>实际采用哪台设备作为DC参考时钟、驱动能否承担该角色；允许的参考时钟/节点排列变化后同步能否建立，运行误差有何变化</x:v>
      </x:c>
      <x:c r="F207" s="21" t="str">
        <x:v>☐ 未测试</x:v>
      </x:c>
      <x:c r="G207" s="21" t="str">
        <x:v>☐ 未测试</x:v>
      </x:c>
      <x:c r="H207" s="21" t="str">
        <x:v>☐ 未测试</x:v>
      </x:c>
      <x:c r="I207" s="21" t="str">
        <x:v>☐ 未测试</x:v>
      </x:c>
      <x:c r="J207" s="21" t="str">
        <x:v>☐ 未测试</x:v>
      </x:c>
    </x:row>
    <x:row r="208" ht="51" customHeight="1">
      <x:c r="A208" s="19" t="str">
        <x:v>汇川中大型</x:v>
      </x:c>
      <x:c r="B208" s="19" t="str">
        <x:v>网络组合、容量与长期运行</x:v>
      </x:c>
      <x:c r="C208" s="19" t="str">
        <x:v>T04</x:v>
      </x:c>
      <x:c r="D208" s="19" t="str">
        <x:v>轴数、PDO与周期的组合容量</x:v>
      </x:c>
      <x:c r="E208" s="19" t="str">
        <x:v>多轴及I/O在不同PDO长度、目标周期下能否同时运行，主站/网络负载、同步误差及越过实测可用范围时的表现</x:v>
      </x:c>
      <x:c r="F208" s="21" t="str">
        <x:v>☐ 未测试</x:v>
      </x:c>
      <x:c r="G208" s="21" t="str">
        <x:v>☐ 未测试</x:v>
      </x:c>
      <x:c r="H208" s="21" t="str">
        <x:v>☐ 未测试</x:v>
      </x:c>
      <x:c r="I208" s="21" t="str">
        <x:v>☐ 未测试</x:v>
      </x:c>
      <x:c r="J208" s="21" t="str">
        <x:v>☐ 未测试</x:v>
      </x:c>
    </x:row>
    <x:row r="209" ht="51" customHeight="1">
      <x:c r="A209" s="24" t="str">
        <x:v>汇川中大型</x:v>
      </x:c>
      <x:c r="B209" s="24" t="str">
        <x:v>网络组合、容量与长期运行</x:v>
      </x:c>
      <x:c r="C209" s="24" t="str">
        <x:v>T05</x:v>
      </x:c>
      <x:c r="D209" s="24" t="str">
        <x:v>后台通信与运动并行</x:v>
      </x:c>
      <x:c r="E209" s="24" t="str">
        <x:v>HMI刷新、SDO读写、在线监视、波形获取及实际支持的EoE/文件传输等同时进行时，运动/通信受何影响，各类访问是否受限或超时</x:v>
      </x:c>
      <x:c r="F209" s="21" t="str">
        <x:v>☐ 未测试</x:v>
      </x:c>
      <x:c r="G209" s="21" t="str">
        <x:v>☐ 未测试</x:v>
      </x:c>
      <x:c r="H209" s="21" t="str">
        <x:v>☐ 未测试</x:v>
      </x:c>
      <x:c r="I209" s="21" t="str">
        <x:v>☐ 未测试</x:v>
      </x:c>
      <x:c r="J209" s="21" t="str">
        <x:v>☐ 未测试</x:v>
      </x:c>
    </x:row>
    <x:row r="210" ht="51" customHeight="1">
      <x:c r="A210" s="19" t="str">
        <x:v>汇川中大型</x:v>
      </x:c>
      <x:c r="B210" s="19" t="str">
        <x:v>网络组合、容量与长期运行</x:v>
      </x:c>
      <x:c r="C210" s="19" t="str">
        <x:v>T06</x:v>
      </x:c>
      <x:c r="D210" s="19" t="str">
        <x:v>长时间连续运行</x:v>
      </x:c>
      <x:c r="E210" s="19" t="str">
        <x:v>持续执行约定运动及正常后台访问后的周期/同步稳定性、运动误差、累计通信错误、偶发报警及性能变化</x:v>
      </x:c>
      <x:c r="F210" s="21" t="str">
        <x:v>☐ 未测试</x:v>
      </x:c>
      <x:c r="G210" s="21" t="str">
        <x:v>☐ 未测试</x:v>
      </x:c>
      <x:c r="H210" s="21" t="str">
        <x:v>☐ 未测试</x:v>
      </x:c>
      <x:c r="I210" s="21" t="str">
        <x:v>☐ 未测试</x:v>
      </x:c>
      <x:c r="J210" s="21" t="str">
        <x:v>☐ 未测试</x:v>
      </x:c>
    </x:row>
    <x:row r="211" ht="51" customHeight="1">
      <x:c r="A211" s="24" t="str">
        <x:v>汇川中大型</x:v>
      </x:c>
      <x:c r="B211" s="24" t="str">
        <x:v>网络组合、容量与长期运行</x:v>
      </x:c>
      <x:c r="C211" s="24" t="str">
        <x:v>T07</x:v>
      </x:c>
      <x:c r="D211" s="24" t="str">
        <x:v>反复启停与恢复</x:v>
      </x:c>
      <x:c r="E211" s="24" t="str">
        <x:v>反复使能、运动、停止、允许的重启/断线恢复后，是否出现偶发失败、状态残留、参数/位置变化或恢复时间增长</x:v>
      </x:c>
      <x:c r="F211" s="21" t="str">
        <x:v>☐ 未测试</x:v>
      </x:c>
      <x:c r="G211" s="21" t="str">
        <x:v>☐ 未测试</x:v>
      </x:c>
      <x:c r="H211" s="21" t="str">
        <x:v>☐ 未测试</x:v>
      </x:c>
      <x:c r="I211" s="21" t="str">
        <x:v>☐ 未测试</x:v>
      </x:c>
      <x:c r="J211" s="21" t="str">
        <x:v>☐ 未测试</x:v>
      </x:c>
    </x:row>
    <x:row r="212" ht="51" customHeight="1">
      <x:c r="A212" s="19" t="str">
        <x:v>汇川中大型</x:v>
      </x:c>
      <x:c r="B212" s="19" t="str">
        <x:v>网络组合、容量与长期运行</x:v>
      </x:c>
      <x:c r="C212" s="19" t="str">
        <x:v>T08</x:v>
      </x:c>
      <x:c r="D212" s="19" t="str">
        <x:v>热连接与可选站组</x:v>
      </x:c>
      <x:c r="E212" s="19" t="str">
        <x:v>实际支持时，预配置设备组在运行中缺席、加入、移除及再次加入的识别、同步、轴状态恢复，以及对其余节点的影响</x:v>
      </x:c>
      <x:c r="F212" s="21" t="str">
        <x:v>☐ 未测试</x:v>
      </x:c>
      <x:c r="G212" s="21" t="str">
        <x:v>☐ 未测试</x:v>
      </x:c>
      <x:c r="H212" s="21" t="str">
        <x:v>☐ 未测试</x:v>
      </x:c>
      <x:c r="I212" s="21" t="str">
        <x:v>☐ 未测试</x:v>
      </x:c>
      <x:c r="J212" s="21" t="str">
        <x:v>☐ 未测试</x:v>
      </x:c>
    </x:row>
    <x:row r="213" ht="51" customHeight="1">
      <x:c r="A213" s="24" t="str">
        <x:v>汇川中大型</x:v>
      </x:c>
      <x:c r="B213" s="24" t="str">
        <x:v>网络组合、容量与长期运行</x:v>
      </x:c>
      <x:c r="C213" s="24" t="str">
        <x:v>T09</x:v>
      </x:c>
      <x:c r="D213" s="24" t="str">
        <x:v>电缆冗余</x:v>
      </x:c>
      <x:c r="E213" s="24" t="str">
        <x:v>实际支持时，冗余链路断开、恢复或冗余能力耗尽后的通信、运动和诊断表现；记录所需主站、布线及从站限制</x:v>
      </x:c>
      <x:c r="F213" s="21" t="str">
        <x:v>☐ 未测试</x:v>
      </x:c>
      <x:c r="G213" s="21" t="str">
        <x:v>☐ 未测试</x:v>
      </x:c>
      <x:c r="H213" s="21" t="str">
        <x:v>☐ 未测试</x:v>
      </x:c>
      <x:c r="I213" s="21" t="str">
        <x:v>☐ 未测试</x:v>
      </x:c>
      <x:c r="J213" s="21" t="str">
        <x:v>☐ 未测试</x:v>
      </x:c>
    </x:row>
    <x:row r="214" ht="51" customHeight="1">
      <x:c r="A214" s="22" t="str">
        <x:v>汇川中大型</x:v>
      </x:c>
      <x:c r="B214" s="22" t="str">
        <x:v>运动监控、限幅与辅助I/O</x:v>
      </x:c>
      <x:c r="C214" s="22" t="str">
        <x:v>R01</x:v>
      </x:c>
      <x:c r="D214" s="22" t="str">
        <x:v>到位、速度达到与零速判断</x:v>
      </x:c>
      <x:c r="E214" s="22" t="str">
        <x:v>实际支持的位置/速度窗口、持续时间、零速阈值及状态反馈；驱动达到标志、PLC功能块完成和实际机械状态如何对应，各模式含义是否不同</x:v>
      </x:c>
      <x:c r="F214" s="23" t="str">
        <x:v>☐ 未测试</x:v>
      </x:c>
      <x:c r="G214" s="23" t="str">
        <x:v>☐ 未测试</x:v>
      </x:c>
      <x:c r="H214" s="23" t="str">
        <x:v>☐ 未测试</x:v>
      </x:c>
      <x:c r="I214" s="23" t="str">
        <x:v>☐ 未测试</x:v>
      </x:c>
      <x:c r="J214" s="23" t="str">
        <x:v>☐ 未测试</x:v>
      </x:c>
    </x:row>
    <x:row r="215" ht="51" customHeight="1">
      <x:c r="A215" s="24" t="str">
        <x:v>汇川中大型</x:v>
      </x:c>
      <x:c r="B215" s="24" t="str">
        <x:v>运动监控、限幅与辅助I/O</x:v>
      </x:c>
      <x:c r="C215" s="24" t="str">
        <x:v>R02</x:v>
      </x:c>
      <x:c r="D215" s="24" t="str">
        <x:v>跟随误差监控</x:v>
      </x:c>
      <x:c r="E215" s="24" t="str">
        <x:v>误差来源、窗口/超时参数、启用条件及支持模式，超限时的报警/停止与恢复；PLC监控和驱动监控分别设置或同时启用时的行为</x:v>
      </x:c>
      <x:c r="F215" s="21" t="str">
        <x:v>☐ 未测试</x:v>
      </x:c>
      <x:c r="G215" s="21" t="str">
        <x:v>☐ 未测试</x:v>
      </x:c>
      <x:c r="H215" s="21" t="str">
        <x:v>☐ 未测试</x:v>
      </x:c>
      <x:c r="I215" s="21" t="str">
        <x:v>☐ 未测试</x:v>
      </x:c>
      <x:c r="J215" s="21" t="str">
        <x:v>☐ 未测试</x:v>
      </x:c>
    </x:row>
    <x:row r="216" ht="51" customHeight="1">
      <x:c r="A216" s="19" t="str">
        <x:v>汇川中大型</x:v>
      </x:c>
      <x:c r="B216" s="19" t="str">
        <x:v>运动监控、限幅与辅助I/O</x:v>
      </x:c>
      <x:c r="C216" s="19" t="str">
        <x:v>R03</x:v>
      </x:c>
      <x:c r="D216" s="19" t="str">
        <x:v>速度限制</x:v>
      </x:c>
      <x:c r="E216" s="19" t="str">
        <x:v>正负方向、不同模式下的限速范围和生效条件，超出限值的目标及实际超速如何处理，限幅/超速反馈能否经EtherCAT获得</x:v>
      </x:c>
      <x:c r="F216" s="21" t="str">
        <x:v>☐ 未测试</x:v>
      </x:c>
      <x:c r="G216" s="21" t="str">
        <x:v>☐ 未测试</x:v>
      </x:c>
      <x:c r="H216" s="21" t="str">
        <x:v>☐ 未测试</x:v>
      </x:c>
      <x:c r="I216" s="21" t="str">
        <x:v>☐ 未测试</x:v>
      </x:c>
      <x:c r="J216" s="21" t="str">
        <x:v>☐ 未测试</x:v>
      </x:c>
    </x:row>
    <x:row r="217" ht="51" customHeight="1">
      <x:c r="A217" s="24" t="str">
        <x:v>汇川中大型</x:v>
      </x:c>
      <x:c r="B217" s="24" t="str">
        <x:v>运动监控、限幅与辅助I/O</x:v>
      </x:c>
      <x:c r="C217" s="24" t="str">
        <x:v>R04</x:v>
      </x:c>
      <x:c r="D217" s="24" t="str">
        <x:v>转矩限制</x:v>
      </x:c>
      <x:c r="E217" s="24" t="str">
        <x:v>正负限矩、运行中调整及多种限值同时存在时的实际作用，触及限制后的运动/状态反馈及退出表现；分别记录转矩模式与位置/速度模式</x:v>
      </x:c>
      <x:c r="F217" s="21" t="str">
        <x:v>☐ 未测试</x:v>
      </x:c>
      <x:c r="G217" s="21" t="str">
        <x:v>☐ 未测试</x:v>
      </x:c>
      <x:c r="H217" s="21" t="str">
        <x:v>☐ 未测试</x:v>
      </x:c>
      <x:c r="I217" s="21" t="str">
        <x:v>☐ 未测试</x:v>
      </x:c>
      <x:c r="J217" s="21" t="str">
        <x:v>☐ 未测试</x:v>
      </x:c>
    </x:row>
    <x:row r="218" ht="51" customHeight="1">
      <x:c r="A218" s="19" t="str">
        <x:v>汇川中大型</x:v>
      </x:c>
      <x:c r="B218" s="19" t="str">
        <x:v>运动监控、限幅与辅助I/O</x:v>
      </x:c>
      <x:c r="C218" s="19" t="str">
        <x:v>R05</x:v>
      </x:c>
      <x:c r="D218" s="19" t="str">
        <x:v>通用数字输入</x:v>
      </x:c>
      <x:c r="E218" s="19" t="str">
        <x:v>除已覆盖的原点/限位/锁存外，驱动端输入能否作为PLC可读I/O，支持的功能分配、极性/滤波及响应表现；专用功能占用时的限制</x:v>
      </x:c>
      <x:c r="F218" s="21" t="str">
        <x:v>☐ 未测试</x:v>
      </x:c>
      <x:c r="G218" s="21" t="str">
        <x:v>☐ 未测试</x:v>
      </x:c>
      <x:c r="H218" s="21" t="str">
        <x:v>☐ 未测试</x:v>
      </x:c>
      <x:c r="I218" s="21" t="str">
        <x:v>☐ 未测试</x:v>
      </x:c>
      <x:c r="J218" s="21" t="str">
        <x:v>☐ 未测试</x:v>
      </x:c>
    </x:row>
    <x:row r="219" ht="51" customHeight="1">
      <x:c r="A219" s="24" t="str">
        <x:v>汇川中大型</x:v>
      </x:c>
      <x:c r="B219" s="24" t="str">
        <x:v>运动监控、限幅与辅助I/O</x:v>
      </x:c>
      <x:c r="C219" s="24" t="str">
        <x:v>R06</x:v>
      </x:c>
      <x:c r="D219" s="24" t="str">
        <x:v>通用数字输出</x:v>
      </x:c>
      <x:c r="E219" s="24" t="str">
        <x:v>PLC经EtherCAT控制驱动端输出的能力、输出与驱动内部功能的归属，启动/撤使能/故障/断线后的真实端子状态及保持规则</x:v>
      </x:c>
      <x:c r="F219" s="21" t="str">
        <x:v>☐ 未测试</x:v>
      </x:c>
      <x:c r="G219" s="21" t="str">
        <x:v>☐ 未测试</x:v>
      </x:c>
      <x:c r="H219" s="21" t="str">
        <x:v>☐ 未测试</x:v>
      </x:c>
      <x:c r="I219" s="21" t="str">
        <x:v>☐ 未测试</x:v>
      </x:c>
      <x:c r="J219" s="21" t="str">
        <x:v>☐ 未测试</x:v>
      </x:c>
    </x:row>
    <x:row r="220" ht="51" customHeight="1">
      <x:c r="A220" s="19" t="str">
        <x:v>汇川中大型</x:v>
      </x:c>
      <x:c r="B220" s="19" t="str">
        <x:v>运动监控、限幅与辅助I/O</x:v>
      </x:c>
      <x:c r="C220" s="19" t="str">
        <x:v>R07</x:v>
      </x:c>
      <x:c r="D220" s="19" t="str">
        <x:v>模拟量输入与输出</x:v>
      </x:c>
      <x:c r="E220" s="19" t="str">
        <x:v>实际具备的通道能否经EtherCAT读取/设定，量程、单位、分辨率、刷新及饱和表现；内部功能占用或通信中断后的行为</x:v>
      </x:c>
      <x:c r="F220" s="21" t="str">
        <x:v>☐ 未测试</x:v>
      </x:c>
      <x:c r="G220" s="21" t="str">
        <x:v>☐ 未测试</x:v>
      </x:c>
      <x:c r="H220" s="21" t="str">
        <x:v>☐ 未测试</x:v>
      </x:c>
      <x:c r="I220" s="21" t="str">
        <x:v>☐ 未测试</x:v>
      </x:c>
      <x:c r="J220" s="21" t="str">
        <x:v>☐ 未测试</x:v>
      </x:c>
    </x:row>
    <x:row r="221" ht="52.5" customHeight="1">
      <x:c r="A221" s="24" t="str">
        <x:v>汇川中大型</x:v>
      </x:c>
      <x:c r="B221" s="24" t="str">
        <x:v>运动监控、限幅与辅助I/O</x:v>
      </x:c>
      <x:c r="C221" s="24" t="str">
        <x:v>R08</x:v>
      </x:c>
      <x:c r="D221" s="24" t="str">
        <x:v>抱闸控制与反馈</x:v>
      </x:c>
      <x:c r="E221" s="24" t="str">
        <x:v>EtherCAT使能/停机命令与自动抱闸时序的联动；实际支持的手动松闸/强制控制入口、允许条件、故障/断线时表现，以及反馈代表输出命令还是实测闸状态</x:v>
      </x:c>
      <x:c r="F221" s="21" t="str">
        <x:v>☐ 未测试</x:v>
      </x:c>
      <x:c r="G221" s="21" t="str">
        <x:v>☐ 未测试</x:v>
      </x:c>
      <x:c r="H221" s="21" t="str">
        <x:v>☐ 未测试</x:v>
      </x:c>
      <x:c r="I221" s="21" t="str">
        <x:v>☐ 未测试</x:v>
      </x:c>
      <x:c r="J221" s="21" t="str">
        <x:v>☐ 未测试</x:v>
      </x:c>
    </x:row>
    <x:row r="222" ht="51" customHeight="1">
      <x:c r="A222" s="22" t="str">
        <x:v>欧姆龙</x:v>
      </x:c>
      <x:c r="B222" s="22" t="str">
        <x:v>控制模式及模式切换</x:v>
      </x:c>
      <x:c r="C222" s="22" t="str">
        <x:v>M01</x:v>
      </x:c>
      <x:c r="D222" s="22" t="str">
        <x:v>CSP：周期同步位置</x:v>
      </x:c>
      <x:c r="E222" s="22" t="str">
        <x:v>周期位置目标跟随、连续运动、位置偏置／前馈能力（如支持）</x:v>
      </x:c>
      <x:c r="F222" s="23" t="str">
        <x:v>☐ 未测试</x:v>
      </x:c>
      <x:c r="G222" s="23" t="str">
        <x:v>☐ 未测试</x:v>
      </x:c>
      <x:c r="H222" s="23" t="str">
        <x:v>☐ 未测试</x:v>
      </x:c>
      <x:c r="I222" s="23" t="str">
        <x:v>☐ 未测试</x:v>
      </x:c>
      <x:c r="J222" s="23" t="str">
        <x:v>☐ 未测试</x:v>
      </x:c>
    </x:row>
    <x:row r="223" ht="51" customHeight="1">
      <x:c r="A223" s="24" t="str">
        <x:v>欧姆龙</x:v>
      </x:c>
      <x:c r="B223" s="24" t="str">
        <x:v>控制模式及模式切换</x:v>
      </x:c>
      <x:c r="C223" s="24" t="str">
        <x:v>M02</x:v>
      </x:c>
      <x:c r="D223" s="24" t="str">
        <x:v>CSV：周期同步速度</x:v>
      </x:c>
      <x:c r="E223" s="24" t="str">
        <x:v>正反向速度控制、零速、速度跟随、速度偏置（如支持）</x:v>
      </x:c>
      <x:c r="F223" s="21" t="str">
        <x:v>☐ 未测试</x:v>
      </x:c>
      <x:c r="G223" s="21" t="str">
        <x:v>☐ 未测试</x:v>
      </x:c>
      <x:c r="H223" s="21" t="str">
        <x:v>☐ 未测试</x:v>
      </x:c>
      <x:c r="I223" s="21" t="str">
        <x:v>☐ 未测试</x:v>
      </x:c>
      <x:c r="J223" s="21" t="str">
        <x:v>☐ 未测试</x:v>
      </x:c>
    </x:row>
    <x:row r="224" ht="51" customHeight="1">
      <x:c r="A224" s="19" t="str">
        <x:v>欧姆龙</x:v>
      </x:c>
      <x:c r="B224" s="19" t="str">
        <x:v>控制模式及模式切换</x:v>
      </x:c>
      <x:c r="C224" s="19" t="str">
        <x:v>M03</x:v>
      </x:c>
      <x:c r="D224" s="19" t="str">
        <x:v>CST：周期同步转矩</x:v>
      </x:c>
      <x:c r="E224" s="19" t="str">
        <x:v>正反向转矩控制、转矩跟随、转矩偏置及速度限制（如支持）</x:v>
      </x:c>
      <x:c r="F224" s="21" t="str">
        <x:v>☐ 未测试</x:v>
      </x:c>
      <x:c r="G224" s="21" t="str">
        <x:v>☐ 未测试</x:v>
      </x:c>
      <x:c r="H224" s="21" t="str">
        <x:v>☐ 未测试</x:v>
      </x:c>
      <x:c r="I224" s="21" t="str">
        <x:v>☐ 未测试</x:v>
      </x:c>
      <x:c r="J224" s="21" t="str">
        <x:v>☐ 未测试</x:v>
      </x:c>
    </x:row>
    <x:row r="225" ht="51" customHeight="1">
      <x:c r="A225" s="24" t="str">
        <x:v>欧姆龙</x:v>
      </x:c>
      <x:c r="B225" s="24" t="str">
        <x:v>控制模式及模式切换</x:v>
      </x:c>
      <x:c r="C225" s="24" t="str">
        <x:v>M04</x:v>
      </x:c>
      <x:c r="D225" s="24" t="str">
        <x:v>PP：轮廓位置</x:v>
      </x:c>
      <x:c r="E225" s="24" t="str">
        <x:v>绝对／相对定位、运动中接收新目标、目标确认与到位反馈</x:v>
      </x:c>
      <x:c r="F225" s="21" t="str">
        <x:v>☐ 未测试</x:v>
      </x:c>
      <x:c r="G225" s="21" t="str">
        <x:v>☐ 未测试</x:v>
      </x:c>
      <x:c r="H225" s="21" t="str">
        <x:v>☐ 未测试</x:v>
      </x:c>
      <x:c r="I225" s="21" t="str">
        <x:v>☐ 未测试</x:v>
      </x:c>
      <x:c r="J225" s="21" t="str">
        <x:v>☐ 未测试</x:v>
      </x:c>
    </x:row>
    <x:row r="226" ht="51" customHeight="1">
      <x:c r="A226" s="19" t="str">
        <x:v>欧姆龙</x:v>
      </x:c>
      <x:c r="B226" s="19" t="str">
        <x:v>控制模式及模式切换</x:v>
      </x:c>
      <x:c r="C226" s="19" t="str">
        <x:v>M05</x:v>
      </x:c>
      <x:c r="D226" s="19" t="str">
        <x:v>PV：轮廓速度</x:v>
      </x:c>
      <x:c r="E226" s="19" t="str">
        <x:v>正反转、加减速、目标速度更新、速度达到反馈</x:v>
      </x:c>
      <x:c r="F226" s="21" t="str">
        <x:v>☐ 未测试</x:v>
      </x:c>
      <x:c r="G226" s="21" t="str">
        <x:v>☐ 未测试</x:v>
      </x:c>
      <x:c r="H226" s="21" t="str">
        <x:v>☐ 未测试</x:v>
      </x:c>
      <x:c r="I226" s="21" t="str">
        <x:v>☐ 未测试</x:v>
      </x:c>
      <x:c r="J226" s="21" t="str">
        <x:v>☐ 未测试</x:v>
      </x:c>
    </x:row>
    <x:row r="227" ht="51" customHeight="1">
      <x:c r="A227" s="24" t="str">
        <x:v>欧姆龙</x:v>
      </x:c>
      <x:c r="B227" s="24" t="str">
        <x:v>控制模式及模式切换</x:v>
      </x:c>
      <x:c r="C227" s="24" t="str">
        <x:v>M06</x:v>
      </x:c>
      <x:c r="D227" s="24" t="str">
        <x:v>PT：轮廓转矩</x:v>
      </x:c>
      <x:c r="E227" s="24" t="str">
        <x:v>转矩目标更新、转矩斜坡、限幅及反馈</x:v>
      </x:c>
      <x:c r="F227" s="21" t="str">
        <x:v>☐ 未测试</x:v>
      </x:c>
      <x:c r="G227" s="21" t="str">
        <x:v>☐ 未测试</x:v>
      </x:c>
      <x:c r="H227" s="21" t="str">
        <x:v>☐ 未测试</x:v>
      </x:c>
      <x:c r="I227" s="21" t="str">
        <x:v>☐ 未测试</x:v>
      </x:c>
      <x:c r="J227" s="21" t="str">
        <x:v>☐ 未测试</x:v>
      </x:c>
    </x:row>
    <x:row r="228" ht="51" customHeight="1">
      <x:c r="A228" s="19" t="str">
        <x:v>欧姆龙</x:v>
      </x:c>
      <x:c r="B228" s="19" t="str">
        <x:v>控制模式及模式切换</x:v>
      </x:c>
      <x:c r="C228" s="19" t="str">
        <x:v>M07</x:v>
      </x:c>
      <x:c r="D228" s="19" t="str">
        <x:v>HM：驱动器内部回零</x:v>
      </x:c>
      <x:c r="E228" s="19" t="str">
        <x:v>支持的回零方法、完成／失败反馈、回零后的模式与位置状态</x:v>
      </x:c>
      <x:c r="F228" s="21" t="str">
        <x:v>☐ 未测试</x:v>
      </x:c>
      <x:c r="G228" s="21" t="str">
        <x:v>☐ 未测试</x:v>
      </x:c>
      <x:c r="H228" s="21" t="str">
        <x:v>☐ 未测试</x:v>
      </x:c>
      <x:c r="I228" s="21" t="str">
        <x:v>☐ 未测试</x:v>
      </x:c>
      <x:c r="J228" s="21" t="str">
        <x:v>☐ 未测试</x:v>
      </x:c>
    </x:row>
    <x:row r="229" ht="51" customHeight="1">
      <x:c r="A229" s="24" t="str">
        <x:v>欧姆龙</x:v>
      </x:c>
      <x:c r="B229" s="24" t="str">
        <x:v>控制模式及模式切换</x:v>
      </x:c>
      <x:c r="C229" s="24" t="str">
        <x:v>M09</x:v>
      </x:c>
      <x:c r="D229" s="24" t="str">
        <x:v>模式切换</x:v>
      </x:c>
      <x:c r="E229" s="24" t="str">
        <x:v>哪些模式能够互切；未使能、已使能、运动中的切换限制；切换时的目标突变或异常动作</x:v>
      </x:c>
      <x:c r="F229" s="21" t="str">
        <x:v>☐ 未测试</x:v>
      </x:c>
      <x:c r="G229" s="21" t="str">
        <x:v>☐ 未测试</x:v>
      </x:c>
      <x:c r="H229" s="21" t="str">
        <x:v>☐ 未测试</x:v>
      </x:c>
      <x:c r="I229" s="21" t="str">
        <x:v>☐ 未测试</x:v>
      </x:c>
      <x:c r="J229" s="21" t="str">
        <x:v>☐ 未测试</x:v>
      </x:c>
    </x:row>
    <x:row r="230" ht="51" customHeight="1">
      <x:c r="A230" s="19" t="str">
        <x:v>欧姆龙</x:v>
      </x:c>
      <x:c r="B230" s="19" t="str">
        <x:v>控制模式及模式切换</x:v>
      </x:c>
      <x:c r="C230" s="19" t="str">
        <x:v>M10</x:v>
      </x:c>
      <x:c r="D230" s="19" t="str">
        <x:v>模式请求与反馈</x:v>
      </x:c>
      <x:c r="E230" s="19" t="str">
        <x:v>请求模式与实际运行模式的一致性；不支持的模式或不允许的切换如何响应</x:v>
      </x:c>
      <x:c r="F230" s="21" t="str">
        <x:v>☐ 未测试</x:v>
      </x:c>
      <x:c r="G230" s="21" t="str">
        <x:v>☐ 未测试</x:v>
      </x:c>
      <x:c r="H230" s="21" t="str">
        <x:v>☐ 未测试</x:v>
      </x:c>
      <x:c r="I230" s="21" t="str">
        <x:v>☐ 未测试</x:v>
      </x:c>
      <x:c r="J230" s="21" t="str">
        <x:v>☐ 未测试</x:v>
      </x:c>
    </x:row>
    <x:row r="231" ht="51" customHeight="1">
      <x:c r="A231" s="25" t="str">
        <x:v>欧姆龙</x:v>
      </x:c>
      <x:c r="B231" s="25" t="str">
        <x:v>PDO / SDO 与对象访问</x:v>
      </x:c>
      <x:c r="C231" s="25" t="str">
        <x:v>D01</x:v>
      </x:c>
      <x:c r="D231" s="25" t="str">
        <x:v>默认及预设PDO</x:v>
      </x:c>
      <x:c r="E231" s="25" t="str">
        <x:v>提供的组合及各组合包含的控制、反馈和诊断数据</x:v>
      </x:c>
      <x:c r="F231" s="23" t="str">
        <x:v>☐ 未测试</x:v>
      </x:c>
      <x:c r="G231" s="23" t="str">
        <x:v>☐ 未测试</x:v>
      </x:c>
      <x:c r="H231" s="23" t="str">
        <x:v>☐ 未测试</x:v>
      </x:c>
      <x:c r="I231" s="23" t="str">
        <x:v>☐ 未测试</x:v>
      </x:c>
      <x:c r="J231" s="23" t="str">
        <x:v>☐ 未测试</x:v>
      </x:c>
    </x:row>
    <x:row r="232" ht="51" customHeight="1">
      <x:c r="A232" s="19" t="str">
        <x:v>欧姆龙</x:v>
      </x:c>
      <x:c r="B232" s="19" t="str">
        <x:v>PDO / SDO 与对象访问</x:v>
      </x:c>
      <x:c r="C232" s="19" t="str">
        <x:v>D02</x:v>
      </x:c>
      <x:c r="D232" s="19" t="str">
        <x:v>自定义PDO映射</x:v>
      </x:c>
      <x:c r="E232" s="19" t="str">
        <x:v>映射对象调整、数量/长度/组合和可修改状态的限制</x:v>
      </x:c>
      <x:c r="F232" s="21" t="str">
        <x:v>☐ 未测试</x:v>
      </x:c>
      <x:c r="G232" s="21" t="str">
        <x:v>☐ 未测试</x:v>
      </x:c>
      <x:c r="H232" s="21" t="str">
        <x:v>☐ 未测试</x:v>
      </x:c>
      <x:c r="I232" s="21" t="str">
        <x:v>☐ 未测试</x:v>
      </x:c>
      <x:c r="J232" s="21" t="str">
        <x:v>☐ 未测试</x:v>
      </x:c>
    </x:row>
    <x:row r="233" ht="51" customHeight="1">
      <x:c r="A233" s="24" t="str">
        <x:v>欧姆龙</x:v>
      </x:c>
      <x:c r="B233" s="24" t="str">
        <x:v>PDO / SDO 与对象访问</x:v>
      </x:c>
      <x:c r="C233" s="24" t="str">
        <x:v>D03</x:v>
      </x:c>
      <x:c r="D233" s="24" t="str">
        <x:v>PDO数据交换</x:v>
      </x:c>
      <x:c r="E233" s="24" t="str">
        <x:v>数据类型、正负值、位宽、更新表现及无效数据/错误映射响应</x:v>
      </x:c>
      <x:c r="F233" s="21" t="str">
        <x:v>☐ 未测试</x:v>
      </x:c>
      <x:c r="G233" s="21" t="str">
        <x:v>☐ 未测试</x:v>
      </x:c>
      <x:c r="H233" s="21" t="str">
        <x:v>☐ 未测试</x:v>
      </x:c>
      <x:c r="I233" s="21" t="str">
        <x:v>☐ 未测试</x:v>
      </x:c>
      <x:c r="J233" s="21" t="str">
        <x:v>☐ 未测试</x:v>
      </x:c>
    </x:row>
    <x:row r="234" ht="51" customHeight="1">
      <x:c r="A234" s="19" t="str">
        <x:v>欧姆龙</x:v>
      </x:c>
      <x:c r="B234" s="19" t="str">
        <x:v>PDO / SDO 与对象访问</x:v>
      </x:c>
      <x:c r="C234" s="19" t="str">
        <x:v>D04</x:v>
      </x:c>
      <x:c r="D234" s="19" t="str">
        <x:v>SDO读写</x:v>
      </x:c>
      <x:c r="E234" s="19" t="str">
        <x:v>对象、权限、可写状态及生效时机</x:v>
      </x:c>
      <x:c r="F234" s="21" t="str">
        <x:v>☐ 未测试</x:v>
      </x:c>
      <x:c r="G234" s="21" t="str">
        <x:v>☐ 未测试</x:v>
      </x:c>
      <x:c r="H234" s="21" t="str">
        <x:v>☐ 未测试</x:v>
      </x:c>
      <x:c r="I234" s="21" t="str">
        <x:v>☐ 未测试</x:v>
      </x:c>
      <x:c r="J234" s="21" t="str">
        <x:v>☐ 未测试</x:v>
      </x:c>
    </x:row>
    <x:row r="235" ht="51" customHeight="1">
      <x:c r="A235" s="24" t="str">
        <x:v>欧姆龙</x:v>
      </x:c>
      <x:c r="B235" s="24" t="str">
        <x:v>PDO / SDO 与对象访问</x:v>
      </x:c>
      <x:c r="C235" s="24" t="str">
        <x:v>D05</x:v>
      </x:c>
      <x:c r="D235" s="24" t="str">
        <x:v>SDO错误响应</x:v>
      </x:c>
      <x:c r="E235" s="24" t="str">
        <x:v>不存在对象、只读对象、越界值和错误长度的响应</x:v>
      </x:c>
      <x:c r="F235" s="21" t="str">
        <x:v>☐ 未测试</x:v>
      </x:c>
      <x:c r="G235" s="21" t="str">
        <x:v>☐ 未测试</x:v>
      </x:c>
      <x:c r="H235" s="21" t="str">
        <x:v>☐ 未测试</x:v>
      </x:c>
      <x:c r="I235" s="21" t="str">
        <x:v>☐ 未测试</x:v>
      </x:c>
      <x:c r="J235" s="21" t="str">
        <x:v>☐ 未测试</x:v>
      </x:c>
    </x:row>
    <x:row r="236" ht="51" customHeight="1">
      <x:c r="A236" s="19" t="str">
        <x:v>欧姆龙</x:v>
      </x:c>
      <x:c r="B236" s="19" t="str">
        <x:v>PDO / SDO 与对象访问</x:v>
      </x:c>
      <x:c r="C236" s="19" t="str">
        <x:v>D06</x:v>
      </x:c>
      <x:c r="D236" s="19" t="str">
        <x:v>同一对象多个子项的整组访问（Complete Access）</x:v>
      </x:c>
      <x:c r="E236" s="19" t="str">
        <x:v>对实际支持对象验证整组读取/写入及限制；不能与任意多个对象的批量访问混同</x:v>
      </x:c>
      <x:c r="F236" s="21" t="str">
        <x:v>☐ 未测试</x:v>
      </x:c>
      <x:c r="G236" s="21" t="str">
        <x:v>☐ 未测试</x:v>
      </x:c>
      <x:c r="H236" s="21" t="str">
        <x:v>☐ 未测试</x:v>
      </x:c>
      <x:c r="I236" s="21" t="str">
        <x:v>☐ 未测试</x:v>
      </x:c>
      <x:c r="J236" s="21" t="str">
        <x:v>☐ 未测试</x:v>
      </x:c>
    </x:row>
    <x:row r="237" ht="51" customHeight="1">
      <x:c r="A237" s="24" t="str">
        <x:v>欧姆龙</x:v>
      </x:c>
      <x:c r="B237" s="24" t="str">
        <x:v>PDO / SDO 与对象访问</x:v>
      </x:c>
      <x:c r="C237" s="24" t="str">
        <x:v>D07</x:v>
      </x:c>
      <x:c r="D237" s="24" t="str">
        <x:v>大对象完整传输及分段SDO</x:v>
      </x:c>
      <x:c r="E237" s="24" t="str">
        <x:v>对实际存在的大对象验证完整传输；确认是否确实超过单次邮箱传输容量，不能把读短字符串等同验证分段</x:v>
      </x:c>
      <x:c r="F237" s="21" t="str">
        <x:v>☐ 未测试</x:v>
      </x:c>
      <x:c r="G237" s="21" t="str">
        <x:v>☐ 未测试</x:v>
      </x:c>
      <x:c r="H237" s="21" t="str">
        <x:v>☐ 未测试</x:v>
      </x:c>
      <x:c r="I237" s="21" t="str">
        <x:v>☐ 未测试</x:v>
      </x:c>
      <x:c r="J237" s="21" t="str">
        <x:v>☐ 未测试</x:v>
      </x:c>
    </x:row>
    <x:row r="238" ht="51" customHeight="1">
      <x:c r="A238" s="19" t="str">
        <x:v>欧姆龙</x:v>
      </x:c>
      <x:c r="B238" s="19" t="str">
        <x:v>PDO / SDO 与对象访问</x:v>
      </x:c>
      <x:c r="C238" s="19" t="str">
        <x:v>D08</x:v>
      </x:c>
      <x:c r="D238" s="19" t="str">
        <x:v>运动中读写参数</x:v>
      </x:c>
      <x:c r="E238" s="19" t="str">
        <x:v>运动同时读诊断/参数、修改允许在线调整的参数，以及频繁访问对运动/通信的影响</x:v>
      </x:c>
      <x:c r="F238" s="21" t="str">
        <x:v>☐ 未测试</x:v>
      </x:c>
      <x:c r="G238" s="21" t="str">
        <x:v>☐ 未测试</x:v>
      </x:c>
      <x:c r="H238" s="21" t="str">
        <x:v>☐ 未测试</x:v>
      </x:c>
      <x:c r="I238" s="21" t="str">
        <x:v>☐ 未测试</x:v>
      </x:c>
      <x:c r="J238" s="21" t="str">
        <x:v>☐ 未测试</x:v>
      </x:c>
    </x:row>
    <x:row r="239" ht="51" customHeight="1">
      <x:c r="A239" s="24" t="str">
        <x:v>欧姆龙</x:v>
      </x:c>
      <x:c r="B239" s="24" t="str">
        <x:v>PDO / SDO 与对象访问</x:v>
      </x:c>
      <x:c r="C239" s="24" t="str">
        <x:v>D09</x:v>
      </x:c>
      <x:c r="D239" s="24" t="str">
        <x:v>PDO / SDO 数据含义与一致性</x:v>
      </x:c>
      <x:c r="E239" s="24" t="str">
        <x:v>对两条路径均可访问的对象，明确单位/缩放/权限/更新时机及生效差异；允许有文档依据的换算，不强制原始数字相等</x:v>
      </x:c>
      <x:c r="F239" s="21" t="str">
        <x:v>☐ 未测试</x:v>
      </x:c>
      <x:c r="G239" s="21" t="str">
        <x:v>☐ 未测试</x:v>
      </x:c>
      <x:c r="H239" s="21" t="str">
        <x:v>☐ 未测试</x:v>
      </x:c>
      <x:c r="I239" s="21" t="str">
        <x:v>☐ 未测试</x:v>
      </x:c>
      <x:c r="J239" s="21" t="str">
        <x:v>☐ 未测试</x:v>
      </x:c>
    </x:row>
    <x:row r="240" ht="51" customHeight="1">
      <x:c r="A240" s="22" t="str">
        <x:v>欧姆龙</x:v>
      </x:c>
      <x:c r="B240" s="22" t="str">
        <x:v>使能、停止与复位</x:v>
      </x:c>
      <x:c r="C240" s="22" t="str">
        <x:v>S01</x:v>
      </x:c>
      <x:c r="D240" s="22" t="str">
        <x:v>驱动状态与反馈</x:v>
      </x:c>
      <x:c r="E240" s="22" t="str">
        <x:v>控制字命令与状态字反馈、允许的状态转换、无效命令/组合的响应</x:v>
      </x:c>
      <x:c r="F240" s="23" t="str">
        <x:v>☐ 未测试</x:v>
      </x:c>
      <x:c r="G240" s="23" t="str">
        <x:v>☐ 未测试</x:v>
      </x:c>
      <x:c r="H240" s="23" t="str">
        <x:v>☐ 未测试</x:v>
      </x:c>
      <x:c r="I240" s="23" t="str">
        <x:v>☐ 未测试</x:v>
      </x:c>
      <x:c r="J240" s="23" t="str">
        <x:v>☐ 未测试</x:v>
      </x:c>
    </x:row>
    <x:row r="241" ht="51" customHeight="1">
      <x:c r="A241" s="24" t="str">
        <x:v>欧姆龙</x:v>
      </x:c>
      <x:c r="B241" s="24" t="str">
        <x:v>使能、停止与复位</x:v>
      </x:c>
      <x:c r="C241" s="24" t="str">
        <x:v>S02</x:v>
      </x:c>
      <x:c r="D241" s="24" t="str">
        <x:v>使能与撤使能</x:v>
      </x:c>
      <x:c r="E241" s="24" t="str">
        <x:v>静止及运动中的使能/撤使能表现、重复使能、实际转矩与状态反馈</x:v>
      </x:c>
      <x:c r="F241" s="21" t="str">
        <x:v>☐ 未测试</x:v>
      </x:c>
      <x:c r="G241" s="21" t="str">
        <x:v>☐ 未测试</x:v>
      </x:c>
      <x:c r="H241" s="21" t="str">
        <x:v>☐ 未测试</x:v>
      </x:c>
      <x:c r="I241" s="21" t="str">
        <x:v>☐ 未测试</x:v>
      </x:c>
      <x:c r="J241" s="21" t="str">
        <x:v>☐ 未测试</x:v>
      </x:c>
    </x:row>
    <x:row r="242" ht="51" customHeight="1">
      <x:c r="A242" s="19" t="str">
        <x:v>欧姆龙</x:v>
      </x:c>
      <x:c r="B242" s="19" t="str">
        <x:v>使能、停止与复位</x:v>
      </x:c>
      <x:c r="C242" s="19" t="str">
        <x:v>S03</x:v>
      </x:c>
      <x:c r="D242" s="19" t="str">
        <x:v>使能前置条件</x:v>
      </x:c>
      <x:c r="E242" s="19" t="str">
        <x:v>主电源、硬件使能、STO等实际具备条件对EtherCAT使能的影响；条件未满足时的反馈及恢复行为</x:v>
      </x:c>
      <x:c r="F242" s="21" t="str">
        <x:v>☐ 未测试</x:v>
      </x:c>
      <x:c r="G242" s="21" t="str">
        <x:v>☐ 未测试</x:v>
      </x:c>
      <x:c r="H242" s="21" t="str">
        <x:v>☐ 未测试</x:v>
      </x:c>
      <x:c r="I242" s="21" t="str">
        <x:v>☐ 未测试</x:v>
      </x:c>
      <x:c r="J242" s="21" t="str">
        <x:v>☐ 未测试</x:v>
      </x:c>
    </x:row>
    <x:row r="243" ht="51" customHeight="1">
      <x:c r="A243" s="24" t="str">
        <x:v>欧姆龙</x:v>
      </x:c>
      <x:c r="B243" s="24" t="str">
        <x:v>使能、停止与复位</x:v>
      </x:c>
      <x:c r="C243" s="24" t="str">
        <x:v>S04</x:v>
      </x:c>
      <x:c r="D243" s="24" t="str">
        <x:v>PLC停止与暂停</x:v>
      </x:c>
      <x:c r="E243" s="24" t="str">
        <x:v>MC_Stop、MC_Halt或平台等效功能的减速、轴状态、后续命令接受条件与驱动实际表现</x:v>
      </x:c>
      <x:c r="F243" s="21" t="str">
        <x:v>☐ 未测试</x:v>
      </x:c>
      <x:c r="G243" s="21" t="str">
        <x:v>☐ 未测试</x:v>
      </x:c>
      <x:c r="H243" s="21" t="str">
        <x:v>☐ 未测试</x:v>
      </x:c>
      <x:c r="I243" s="21" t="str">
        <x:v>☐ 未测试</x:v>
      </x:c>
      <x:c r="J243" s="21" t="str">
        <x:v>☐ 未测试</x:v>
      </x:c>
    </x:row>
    <x:row r="244" ht="51" customHeight="1">
      <x:c r="A244" s="19" t="str">
        <x:v>欧姆龙</x:v>
      </x:c>
      <x:c r="B244" s="19" t="str">
        <x:v>使能、停止与复位</x:v>
      </x:c>
      <x:c r="C244" s="19" t="str">
        <x:v>S05</x:v>
      </x:c>
      <x:c r="D244" s="19" t="str">
        <x:v>驱动快速停止（Quick Stop）</x:v>
      </x:c>
      <x:c r="E244" s="19" t="str">
        <x:v>可选停止方式、减速参数、停止后是否保持使能/转矩以及退出快速停止的条件</x:v>
      </x:c>
      <x:c r="F244" s="21" t="str">
        <x:v>☐ 未测试</x:v>
      </x:c>
      <x:c r="G244" s="21" t="str">
        <x:v>☐ 未测试</x:v>
      </x:c>
      <x:c r="H244" s="21" t="str">
        <x:v>☐ 未测试</x:v>
      </x:c>
      <x:c r="I244" s="21" t="str">
        <x:v>☐ 未测试</x:v>
      </x:c>
      <x:c r="J244" s="21" t="str">
        <x:v>☐ 未测试</x:v>
      </x:c>
    </x:row>
    <x:row r="245" ht="51" customHeight="1">
      <x:c r="A245" s="24" t="str">
        <x:v>欧姆龙</x:v>
      </x:c>
      <x:c r="B245" s="24" t="str">
        <x:v>使能、停止与复位</x:v>
      </x:c>
      <x:c r="C245" s="24" t="str">
        <x:v>S06</x:v>
      </x:c>
      <x:c r="D245" s="24" t="str">
        <x:v>驱动暂停（Halt）</x:v>
      </x:c>
      <x:c r="E245" s="24" t="str">
        <x:v>各支持模式下的暂停、保持、恢复及目标处理；与PLC暂停入口分别留证</x:v>
      </x:c>
      <x:c r="F245" s="21" t="str">
        <x:v>☐ 未测试</x:v>
      </x:c>
      <x:c r="G245" s="21" t="str">
        <x:v>☐ 未测试</x:v>
      </x:c>
      <x:c r="H245" s="21" t="str">
        <x:v>☐ 未测试</x:v>
      </x:c>
      <x:c r="I245" s="21" t="str">
        <x:v>☐ 未测试</x:v>
      </x:c>
      <x:c r="J245" s="21" t="str">
        <x:v>☐ 未测试</x:v>
      </x:c>
    </x:row>
    <x:row r="246" ht="51" customHeight="1">
      <x:c r="A246" s="19" t="str">
        <x:v>欧姆龙</x:v>
      </x:c>
      <x:c r="B246" s="19" t="str">
        <x:v>使能、停止与复位</x:v>
      </x:c>
      <x:c r="C246" s="19" t="str">
        <x:v>S07</x:v>
      </x:c>
      <x:c r="D246" s="19" t="str">
        <x:v>故障复位</x:v>
      </x:c>
      <x:c r="E246" s="19" t="str">
        <x:v>故障仍存在/已经消除时的复位响应，驱动故障与PLC轴错误能否分别清除</x:v>
      </x:c>
      <x:c r="F246" s="21" t="str">
        <x:v>☐ 未测试</x:v>
      </x:c>
      <x:c r="G246" s="21" t="str">
        <x:v>☐ 未测试</x:v>
      </x:c>
      <x:c r="H246" s="21" t="str">
        <x:v>☐ 未测试</x:v>
      </x:c>
      <x:c r="I246" s="21" t="str">
        <x:v>☐ 未测试</x:v>
      </x:c>
      <x:c r="J246" s="21" t="str">
        <x:v>☐ 未测试</x:v>
      </x:c>
    </x:row>
    <x:row r="247" ht="51" customHeight="1">
      <x:c r="A247" s="24" t="str">
        <x:v>欧姆龙</x:v>
      </x:c>
      <x:c r="B247" s="24" t="str">
        <x:v>使能、停止与复位</x:v>
      </x:c>
      <x:c r="C247" s="24" t="str">
        <x:v>S08</x:v>
      </x:c>
      <x:c r="D247" s="24" t="str">
        <x:v>停机或复位后恢复运动</x:v>
      </x:c>
      <x:c r="E247" s="24" t="str">
        <x:v>是否需要重新使能、旧目标/旧命令的处理、位置连续性以及是否意外续跑</x:v>
      </x:c>
      <x:c r="F247" s="21" t="str">
        <x:v>☐ 未测试</x:v>
      </x:c>
      <x:c r="G247" s="21" t="str">
        <x:v>☐ 未测试</x:v>
      </x:c>
      <x:c r="H247" s="21" t="str">
        <x:v>☐ 未测试</x:v>
      </x:c>
      <x:c r="I247" s="21" t="str">
        <x:v>☐ 未测试</x:v>
      </x:c>
      <x:c r="J247" s="21" t="str">
        <x:v>☐ 未测试</x:v>
      </x:c>
    </x:row>
    <x:row r="248" ht="51" customHeight="1">
      <x:c r="A248" s="19" t="str">
        <x:v>欧姆龙</x:v>
      </x:c>
      <x:c r="B248" s="19" t="str">
        <x:v>使能、停止与复位</x:v>
      </x:c>
      <x:c r="C248" s="19" t="str">
        <x:v>S09</x:v>
      </x:c>
      <x:c r="D248" s="19" t="str">
        <x:v>控制入口交接与冲突</x:v>
      </x:c>
      <x:c r="E248" s="19" t="str">
        <x:v>PLC程序、PLC调试界面、厂家工具等并存时的控制权、冲突响应与交接表现</x:v>
      </x:c>
      <x:c r="F248" s="21" t="str">
        <x:v>☐ 未测试</x:v>
      </x:c>
      <x:c r="G248" s="21" t="str">
        <x:v>☐ 未测试</x:v>
      </x:c>
      <x:c r="H248" s="21" t="str">
        <x:v>☐ 未测试</x:v>
      </x:c>
      <x:c r="I248" s="21" t="str">
        <x:v>☐ 未测试</x:v>
      </x:c>
      <x:c r="J248" s="21" t="str">
        <x:v>☐ 未测试</x:v>
      </x:c>
    </x:row>
    <x:row r="249" ht="51" customHeight="1">
      <x:c r="A249" s="25" t="str">
        <x:v>欧姆龙</x:v>
      </x:c>
      <x:c r="B249" s="25" t="str">
        <x:v>单位、坐标与位置反馈</x:v>
      </x:c>
      <x:c r="C249" s="25" t="str">
        <x:v>U01</x:v>
      </x:c>
      <x:c r="D249" s="25" t="str">
        <x:v>位置单位与电子齿轮</x:v>
      </x:c>
      <x:c r="E249" s="25" t="str">
        <x:v>指令/反馈计数与实际转角或位移的换算、电子齿轮/传动比设置及其范围</x:v>
      </x:c>
      <x:c r="F249" s="23" t="str">
        <x:v>☐ 未测试</x:v>
      </x:c>
      <x:c r="G249" s="23" t="str">
        <x:v>☐ 未测试</x:v>
      </x:c>
      <x:c r="H249" s="23" t="str">
        <x:v>☐ 未测试</x:v>
      </x:c>
      <x:c r="I249" s="23" t="str">
        <x:v>☐ 未测试</x:v>
      </x:c>
      <x:c r="J249" s="23" t="str">
        <x:v>☐ 未测试</x:v>
      </x:c>
    </x:row>
    <x:row r="250" ht="51" customHeight="1">
      <x:c r="A250" s="19" t="str">
        <x:v>欧姆龙</x:v>
      </x:c>
      <x:c r="B250" s="19" t="str">
        <x:v>单位、坐标与位置反馈</x:v>
      </x:c>
      <x:c r="C250" s="19" t="str">
        <x:v>U02</x:v>
      </x:c>
      <x:c r="D250" s="19" t="str">
        <x:v>速度单位</x:v>
      </x:c>
      <x:c r="E250" s="19" t="str">
        <x:v>速度指令、反馈、限值的单位与换算，PLC显示和驱动反馈的对应关系</x:v>
      </x:c>
      <x:c r="F250" s="21" t="str">
        <x:v>☐ 未测试</x:v>
      </x:c>
      <x:c r="G250" s="21" t="str">
        <x:v>☐ 未测试</x:v>
      </x:c>
      <x:c r="H250" s="21" t="str">
        <x:v>☐ 未测试</x:v>
      </x:c>
      <x:c r="I250" s="21" t="str">
        <x:v>☐ 未测试</x:v>
      </x:c>
      <x:c r="J250" s="21" t="str">
        <x:v>☐ 未测试</x:v>
      </x:c>
    </x:row>
    <x:row r="251" ht="51" customHeight="1">
      <x:c r="A251" s="24" t="str">
        <x:v>欧姆龙</x:v>
      </x:c>
      <x:c r="B251" s="24" t="str">
        <x:v>单位、坐标与位置反馈</x:v>
      </x:c>
      <x:c r="C251" s="24" t="str">
        <x:v>U03</x:v>
      </x:c>
      <x:c r="D251" s="24" t="str">
        <x:v>转矩单位</x:v>
      </x:c>
      <x:c r="E251" s="24" t="str">
        <x:v>转矩指令、反馈、限值采用的基准与比例，例如相对额定转矩的比例或实际转矩单位</x:v>
      </x:c>
      <x:c r="F251" s="21" t="str">
        <x:v>☐ 未测试</x:v>
      </x:c>
      <x:c r="G251" s="21" t="str">
        <x:v>☐ 未测试</x:v>
      </x:c>
      <x:c r="H251" s="21" t="str">
        <x:v>☐ 未测试</x:v>
      </x:c>
      <x:c r="I251" s="21" t="str">
        <x:v>☐ 未测试</x:v>
      </x:c>
      <x:c r="J251" s="21" t="str">
        <x:v>☐ 未测试</x:v>
      </x:c>
    </x:row>
    <x:row r="252" ht="51" customHeight="1">
      <x:c r="A252" s="19" t="str">
        <x:v>欧姆龙</x:v>
      </x:c>
      <x:c r="B252" s="19" t="str">
        <x:v>单位、坐标与位置反馈</x:v>
      </x:c>
      <x:c r="C252" s="19" t="str">
        <x:v>U04</x:v>
      </x:c>
      <x:c r="D252" s="19" t="str">
        <x:v>方向与极性</x:v>
      </x:c>
      <x:c r="E252" s="19" t="str">
        <x:v>正反方向定义、方向反转设置对指令/反馈以及回零/限位方向的影响</x:v>
      </x:c>
      <x:c r="F252" s="21" t="str">
        <x:v>☐ 未测试</x:v>
      </x:c>
      <x:c r="G252" s="21" t="str">
        <x:v>☐ 未测试</x:v>
      </x:c>
      <x:c r="H252" s="21" t="str">
        <x:v>☐ 未测试</x:v>
      </x:c>
      <x:c r="I252" s="21" t="str">
        <x:v>☐ 未测试</x:v>
      </x:c>
      <x:c r="J252" s="21" t="str">
        <x:v>☐ 未测试</x:v>
      </x:c>
    </x:row>
    <x:row r="253" ht="51" customHeight="1">
      <x:c r="A253" s="24" t="str">
        <x:v>欧姆龙</x:v>
      </x:c>
      <x:c r="B253" s="24" t="str">
        <x:v>单位、坐标与位置反馈</x:v>
      </x:c>
      <x:c r="C253" s="24" t="str">
        <x:v>U05</x:v>
      </x:c>
      <x:c r="D253" s="24" t="str">
        <x:v>坐标设定与零点偏置</x:v>
      </x:c>
      <x:c r="E253" s="24" t="str">
        <x:v>驱动设零/偏置、PLC设位置等实际入口的支持范围，对反馈/目标/机械运动及重启保持的影响</x:v>
      </x:c>
      <x:c r="F253" s="21" t="str">
        <x:v>☐ 未测试</x:v>
      </x:c>
      <x:c r="G253" s="21" t="str">
        <x:v>☐ 未测试</x:v>
      </x:c>
      <x:c r="H253" s="21" t="str">
        <x:v>☐ 未测试</x:v>
      </x:c>
      <x:c r="I253" s="21" t="str">
        <x:v>☐ 未测试</x:v>
      </x:c>
      <x:c r="J253" s="21" t="str">
        <x:v>☐ 未测试</x:v>
      </x:c>
    </x:row>
    <x:row r="254" ht="51" customHeight="1">
      <x:c r="A254" s="19" t="str">
        <x:v>欧姆龙</x:v>
      </x:c>
      <x:c r="B254" s="19" t="str">
        <x:v>单位、坐标与位置反馈</x:v>
      </x:c>
      <x:c r="C254" s="19" t="str">
        <x:v>U06</x:v>
      </x:c>
      <x:c r="D254" s="19" t="str">
        <x:v>绝对位置与掉电保持</x:v>
      </x:c>
      <x:c r="E254" s="19" t="str">
        <x:v>实际支持的单圈/多圈位置、PLC或驱动重启后的机器坐标、断电移动后的反馈与位置有效性</x:v>
      </x:c>
      <x:c r="F254" s="21" t="str">
        <x:v>☐ 未测试</x:v>
      </x:c>
      <x:c r="G254" s="21" t="str">
        <x:v>☐ 未测试</x:v>
      </x:c>
      <x:c r="H254" s="21" t="str">
        <x:v>☐ 未测试</x:v>
      </x:c>
      <x:c r="I254" s="21" t="str">
        <x:v>☐ 未测试</x:v>
      </x:c>
      <x:c r="J254" s="21" t="str">
        <x:v>☐ 未测试</x:v>
      </x:c>
    </x:row>
    <x:row r="255" ht="51" customHeight="1">
      <x:c r="A255" s="24" t="str">
        <x:v>欧姆龙</x:v>
      </x:c>
      <x:c r="B255" s="24" t="str">
        <x:v>单位、坐标与位置反馈</x:v>
      </x:c>
      <x:c r="C255" s="24" t="str">
        <x:v>U07</x:v>
      </x:c>
      <x:c r="D255" s="24" t="str">
        <x:v>增量位置与参考有效性</x:v>
      </x:c>
      <x:c r="E255" s="24" t="str">
        <x:v>上电位置初值、回零/参考有效标志、重启或反馈异常后需要重新建立参考的条件</x:v>
      </x:c>
      <x:c r="F255" s="21" t="str">
        <x:v>☐ 未测试</x:v>
      </x:c>
      <x:c r="G255" s="21" t="str">
        <x:v>☐ 未测试</x:v>
      </x:c>
      <x:c r="H255" s="21" t="str">
        <x:v>☐ 未测试</x:v>
      </x:c>
      <x:c r="I255" s="21" t="str">
        <x:v>☐ 未测试</x:v>
      </x:c>
      <x:c r="J255" s="21" t="str">
        <x:v>☐ 未测试</x:v>
      </x:c>
    </x:row>
    <x:row r="256" ht="51" customHeight="1">
      <x:c r="A256" s="19" t="str">
        <x:v>欧姆龙</x:v>
      </x:c>
      <x:c r="B256" s="19" t="str">
        <x:v>单位、坐标与位置反馈</x:v>
      </x:c>
      <x:c r="C256" s="19" t="str">
        <x:v>U08</x:v>
      </x:c>
      <x:c r="D256" s="19" t="str">
        <x:v>旋转轴与模数坐标</x:v>
      </x:c>
      <x:c r="E256" s="19" t="str">
        <x:v>跨零/跨圈反馈、圈数、正反向与最短路径等实际可用定位方式；驱动与PLC各自的实现和限制</x:v>
      </x:c>
      <x:c r="F256" s="21" t="str">
        <x:v>☐ 未测试</x:v>
      </x:c>
      <x:c r="G256" s="21" t="str">
        <x:v>☐ 未测试</x:v>
      </x:c>
      <x:c r="H256" s="21" t="str">
        <x:v>☐ 未测试</x:v>
      </x:c>
      <x:c r="I256" s="21" t="str">
        <x:v>☐ 未测试</x:v>
      </x:c>
      <x:c r="J256" s="21" t="str">
        <x:v>☐ 未测试</x:v>
      </x:c>
    </x:row>
    <x:row r="257" ht="51" customHeight="1">
      <x:c r="A257" s="24" t="str">
        <x:v>欧姆龙</x:v>
      </x:c>
      <x:c r="B257" s="24" t="str">
        <x:v>单位、坐标与位置反馈</x:v>
      </x:c>
      <x:c r="C257" s="24" t="str">
        <x:v>U09</x:v>
      </x:c>
      <x:c r="D257" s="24" t="str">
        <x:v>位置计数边界</x:v>
      </x:c>
      <x:c r="E257" s="24" t="str">
        <x:v>实际位宽、正负边界、溢出/回绕；支持连续回绕时的表现，禁止跨界时的限制或错误响应</x:v>
      </x:c>
      <x:c r="F257" s="21" t="str">
        <x:v>☐ 未测试</x:v>
      </x:c>
      <x:c r="G257" s="21" t="str">
        <x:v>☐ 未测试</x:v>
      </x:c>
      <x:c r="H257" s="21" t="str">
        <x:v>☐ 未测试</x:v>
      </x:c>
      <x:c r="I257" s="21" t="str">
        <x:v>☐ 未测试</x:v>
      </x:c>
      <x:c r="J257" s="21" t="str">
        <x:v>☐ 未测试</x:v>
      </x:c>
    </x:row>
    <x:row r="258" ht="51" customHeight="1">
      <x:c r="A258" s="19" t="str">
        <x:v>欧姆龙</x:v>
      </x:c>
      <x:c r="B258" s="19" t="str">
        <x:v>单位、坐标与位置反馈</x:v>
      </x:c>
      <x:c r="C258" s="19" t="str">
        <x:v>U10</x:v>
      </x:c>
      <x:c r="D258" s="19" t="str">
        <x:v>位置反馈来源</x:v>
      </x:c>
      <x:c r="E258" s="19" t="str">
        <x:v>电机编码器、负载编码器、第二路反馈等实际存在的来源，EtherCAT可读取哪些值、能否选择及各自单位</x:v>
      </x:c>
      <x:c r="F258" s="21" t="str">
        <x:v>☐ 未测试</x:v>
      </x:c>
      <x:c r="G258" s="21" t="str">
        <x:v>☐ 未测试</x:v>
      </x:c>
      <x:c r="H258" s="21" t="str">
        <x:v>☐ 未测试</x:v>
      </x:c>
      <x:c r="I258" s="21" t="str">
        <x:v>☐ 未测试</x:v>
      </x:c>
      <x:c r="J258" s="21" t="str">
        <x:v>☐ 未测试</x:v>
      </x:c>
    </x:row>
    <x:row r="259" ht="51" customHeight="1">
      <x:c r="A259" s="25" t="str">
        <x:v>欧姆龙</x:v>
      </x:c>
      <x:c r="B259" s="25" t="str">
        <x:v>回零、限位与位置锁存</x:v>
      </x:c>
      <x:c r="C259" s="25" t="str">
        <x:v>H01</x:v>
      </x:c>
      <x:c r="D259" s="25" t="str">
        <x:v>驱动内部回零方法</x:v>
      </x:c>
      <x:c r="E259" s="25" t="str">
        <x:v>实际提供的原点开关、限位、编码器Z相、当前位置等回零方法及各自适用条件</x:v>
      </x:c>
      <x:c r="F259" s="23" t="str">
        <x:v>☐ 未测试</x:v>
      </x:c>
      <x:c r="G259" s="23" t="str">
        <x:v>☐ 未测试</x:v>
      </x:c>
      <x:c r="H259" s="23" t="str">
        <x:v>☐ 未测试</x:v>
      </x:c>
      <x:c r="I259" s="23" t="str">
        <x:v>☐ 未测试</x:v>
      </x:c>
      <x:c r="J259" s="23" t="str">
        <x:v>☐ 未测试</x:v>
      </x:c>
    </x:row>
    <x:row r="260" ht="51" customHeight="1">
      <x:c r="A260" s="19" t="str">
        <x:v>欧姆龙</x:v>
      </x:c>
      <x:c r="B260" s="19" t="str">
        <x:v>回零、限位与位置锁存</x:v>
      </x:c>
      <x:c r="C260" s="19" t="str">
        <x:v>H02</x:v>
      </x:c>
      <x:c r="D260" s="19" t="str">
        <x:v>PLC主导回零</x:v>
      </x:c>
      <x:c r="E260" s="19" t="str">
        <x:v>PLC运动库/回零功能块与该驱动的配合，输入接PLC或驱动时的可用路径及限制</x:v>
      </x:c>
      <x:c r="F260" s="21" t="str">
        <x:v>☐ 未测试</x:v>
      </x:c>
      <x:c r="G260" s="21" t="str">
        <x:v>☐ 未测试</x:v>
      </x:c>
      <x:c r="H260" s="21" t="str">
        <x:v>☐ 未测试</x:v>
      </x:c>
      <x:c r="I260" s="21" t="str">
        <x:v>☐ 未测试</x:v>
      </x:c>
      <x:c r="J260" s="21" t="str">
        <x:v>☐ 未测试</x:v>
      </x:c>
    </x:row>
    <x:row r="261" ht="51" customHeight="1">
      <x:c r="A261" s="24" t="str">
        <x:v>欧姆龙</x:v>
      </x:c>
      <x:c r="B261" s="24" t="str">
        <x:v>回零、限位与位置锁存</x:v>
      </x:c>
      <x:c r="C261" s="24" t="str">
        <x:v>H03</x:v>
      </x:c>
      <x:c r="D261" s="24" t="str">
        <x:v>回零参数</x:v>
      </x:c>
      <x:c r="E261" s="24" t="str">
        <x:v>搜索方向、搜索/退出速度、加速度、原点偏置等实际可配置参数及生效表现</x:v>
      </x:c>
      <x:c r="F261" s="21" t="str">
        <x:v>☐ 未测试</x:v>
      </x:c>
      <x:c r="G261" s="21" t="str">
        <x:v>☐ 未测试</x:v>
      </x:c>
      <x:c r="H261" s="21" t="str">
        <x:v>☐ 未测试</x:v>
      </x:c>
      <x:c r="I261" s="21" t="str">
        <x:v>☐ 未测试</x:v>
      </x:c>
      <x:c r="J261" s="21" t="str">
        <x:v>☐ 未测试</x:v>
      </x:c>
    </x:row>
    <x:row r="262" ht="51" customHeight="1">
      <x:c r="A262" s="19" t="str">
        <x:v>欧姆龙</x:v>
      </x:c>
      <x:c r="B262" s="19" t="str">
        <x:v>回零、限位与位置锁存</x:v>
      </x:c>
      <x:c r="C262" s="19" t="str">
        <x:v>H04</x:v>
      </x:c>
      <x:c r="D262" s="19" t="str">
        <x:v>回零异常与中断</x:v>
      </x:c>
      <x:c r="E262" s="19" t="str">
        <x:v>开始时已压住开关、找不到原点/索引、触及限位、暂停/撤使能/中断后再次回零的表现</x:v>
      </x:c>
      <x:c r="F262" s="21" t="str">
        <x:v>☐ 未测试</x:v>
      </x:c>
      <x:c r="G262" s="21" t="str">
        <x:v>☐ 未测试</x:v>
      </x:c>
      <x:c r="H262" s="21" t="str">
        <x:v>☐ 未测试</x:v>
      </x:c>
      <x:c r="I262" s="21" t="str">
        <x:v>☐ 未测试</x:v>
      </x:c>
      <x:c r="J262" s="21" t="str">
        <x:v>☐ 未测试</x:v>
      </x:c>
    </x:row>
    <x:row r="263" ht="51" customHeight="1">
      <x:c r="A263" s="24" t="str">
        <x:v>欧姆龙</x:v>
      </x:c>
      <x:c r="B263" s="24" t="str">
        <x:v>回零、限位与位置锁存</x:v>
      </x:c>
      <x:c r="C263" s="24" t="str">
        <x:v>H05</x:v>
      </x:c>
      <x:c r="D263" s="24" t="str">
        <x:v>回零结果与重复性</x:v>
      </x:c>
      <x:c r="E263" s="24" t="str">
        <x:v>完成/失败反馈、参考有效性、重复回零的位置偏差以及回零后正常运动的坐标衔接</x:v>
      </x:c>
      <x:c r="F263" s="21" t="str">
        <x:v>☐ 未测试</x:v>
      </x:c>
      <x:c r="G263" s="21" t="str">
        <x:v>☐ 未测试</x:v>
      </x:c>
      <x:c r="H263" s="21" t="str">
        <x:v>☐ 未测试</x:v>
      </x:c>
      <x:c r="I263" s="21" t="str">
        <x:v>☐ 未测试</x:v>
      </x:c>
      <x:c r="J263" s="21" t="str">
        <x:v>☐ 未测试</x:v>
      </x:c>
    </x:row>
    <x:row r="264" ht="51" customHeight="1">
      <x:c r="A264" s="19" t="str">
        <x:v>欧姆龙</x:v>
      </x:c>
      <x:c r="B264" s="19" t="str">
        <x:v>回零、限位与位置锁存</x:v>
      </x:c>
      <x:c r="C264" s="19" t="str">
        <x:v>H06</x:v>
      </x:c>
      <x:c r="D264" s="19" t="str">
        <x:v>正负软件限位</x:v>
      </x:c>
      <x:c r="E264" s="19" t="str">
        <x:v>设定范围、启用条件、越界目标/实际越界响应、退出限位方向以及改变零点后的作用</x:v>
      </x:c>
      <x:c r="F264" s="21" t="str">
        <x:v>☐ 未测试</x:v>
      </x:c>
      <x:c r="G264" s="21" t="str">
        <x:v>☐ 未测试</x:v>
      </x:c>
      <x:c r="H264" s="21" t="str">
        <x:v>☐ 未测试</x:v>
      </x:c>
      <x:c r="I264" s="21" t="str">
        <x:v>☐ 未测试</x:v>
      </x:c>
      <x:c r="J264" s="21" t="str">
        <x:v>☐ 未测试</x:v>
      </x:c>
    </x:row>
    <x:row r="265" ht="51" customHeight="1">
      <x:c r="A265" s="24" t="str">
        <x:v>欧姆龙</x:v>
      </x:c>
      <x:c r="B265" s="24" t="str">
        <x:v>回零、限位与位置锁存</x:v>
      </x:c>
      <x:c r="C265" s="24" t="str">
        <x:v>H07</x:v>
      </x:c>
      <x:c r="D265" s="24" t="str">
        <x:v>正负硬件限位</x:v>
      </x:c>
      <x:c r="E265" s="24" t="str">
        <x:v>限位输入、停止/报警反应、允许脱离的方向、恢复条件，以及不同模式下的作用</x:v>
      </x:c>
      <x:c r="F265" s="21" t="str">
        <x:v>☐ 未测试</x:v>
      </x:c>
      <x:c r="G265" s="21" t="str">
        <x:v>☐ 未测试</x:v>
      </x:c>
      <x:c r="H265" s="21" t="str">
        <x:v>☐ 未测试</x:v>
      </x:c>
      <x:c r="I265" s="21" t="str">
        <x:v>☐ 未测试</x:v>
      </x:c>
      <x:c r="J265" s="21" t="str">
        <x:v>☐ 未测试</x:v>
      </x:c>
    </x:row>
    <x:row r="266" ht="51" customHeight="1">
      <x:c r="A266" s="19" t="str">
        <x:v>欧姆龙</x:v>
      </x:c>
      <x:c r="B266" s="19" t="str">
        <x:v>回零、限位与位置锁存</x:v>
      </x:c>
      <x:c r="C266" s="19" t="str">
        <x:v>H08</x:v>
      </x:c>
      <x:c r="D266" s="19" t="str">
        <x:v>原点与限位输入的配置和读取</x:v>
      </x:c>
      <x:c r="E266" s="19" t="str">
        <x:v>输入源、极性、滤波等实际能力，EtherCAT可读取的输入状态及与真实信号的对应关系</x:v>
      </x:c>
      <x:c r="F266" s="21" t="str">
        <x:v>☐ 未测试</x:v>
      </x:c>
      <x:c r="G266" s="21" t="str">
        <x:v>☐ 未测试</x:v>
      </x:c>
      <x:c r="H266" s="21" t="str">
        <x:v>☐ 未测试</x:v>
      </x:c>
      <x:c r="I266" s="21" t="str">
        <x:v>☐ 未测试</x:v>
      </x:c>
      <x:c r="J266" s="21" t="str">
        <x:v>☐ 未测试</x:v>
      </x:c>
    </x:row>
    <x:row r="267" ht="51" customHeight="1">
      <x:c r="A267" s="24" t="str">
        <x:v>欧姆龙</x:v>
      </x:c>
      <x:c r="B267" s="24" t="str">
        <x:v>回零、限位与位置锁存</x:v>
      </x:c>
      <x:c r="C267" s="24" t="str">
        <x:v>H09</x:v>
      </x:c>
      <x:c r="D267" s="24" t="str">
        <x:v>位置锁存（Touch Probe）</x:v>
      </x:c>
      <x:c r="E267" s="24" t="str">
        <x:v>可用通道/触发源、上升沿/下降沿、单次/连续锁存、清除和重新触发能力</x:v>
      </x:c>
      <x:c r="F267" s="21" t="str">
        <x:v>☐ 未测试</x:v>
      </x:c>
      <x:c r="G267" s="21" t="str">
        <x:v>☐ 未测试</x:v>
      </x:c>
      <x:c r="H267" s="21" t="str">
        <x:v>☐ 未测试</x:v>
      </x:c>
      <x:c r="I267" s="21" t="str">
        <x:v>☐ 未测试</x:v>
      </x:c>
      <x:c r="J267" s="21" t="str">
        <x:v>☐ 未测试</x:v>
      </x:c>
    </x:row>
    <x:row r="268" ht="51" customHeight="1">
      <x:c r="A268" s="19" t="str">
        <x:v>欧姆龙</x:v>
      </x:c>
      <x:c r="B268" s="19" t="str">
        <x:v>回零、限位与位置锁存</x:v>
      </x:c>
      <x:c r="C268" s="19" t="str">
        <x:v>H10</x:v>
      </x:c>
      <x:c r="D268" s="19" t="str">
        <x:v>锁存反馈与连续事件</x:v>
      </x:c>
      <x:c r="E268" s="19" t="str">
        <x:v>锁存位置来源、精度、时间戳（如有）、新数据标志以及快速连续触发时的覆盖/丢事件表现</x:v>
      </x:c>
      <x:c r="F268" s="21" t="str">
        <x:v>☐ 未测试</x:v>
      </x:c>
      <x:c r="G268" s="21" t="str">
        <x:v>☐ 未测试</x:v>
      </x:c>
      <x:c r="H268" s="21" t="str">
        <x:v>☐ 未测试</x:v>
      </x:c>
      <x:c r="I268" s="21" t="str">
        <x:v>☐ 未测试</x:v>
      </x:c>
      <x:c r="J268" s="21" t="str">
        <x:v>☐ 未测试</x:v>
      </x:c>
    </x:row>
    <x:row r="269" ht="51" customHeight="1">
      <x:c r="A269" s="24" t="str">
        <x:v>欧姆龙</x:v>
      </x:c>
      <x:c r="B269" s="24" t="str">
        <x:v>回零、限位与位置锁存</x:v>
      </x:c>
      <x:c r="C269" s="24" t="str">
        <x:v>H11</x:v>
      </x:c>
      <x:c r="D269" s="24" t="str">
        <x:v>利用锁存结果的PLC功能</x:v>
      </x:c>
      <x:c r="E269" s="24" t="str">
        <x:v>中断定位、测长等实际可用应用，PLC功能块能否正确取得锁存数据并完成后续动作</x:v>
      </x:c>
      <x:c r="F269" s="21" t="str">
        <x:v>☐ 未测试</x:v>
      </x:c>
      <x:c r="G269" s="21" t="str">
        <x:v>☐ 未测试</x:v>
      </x:c>
      <x:c r="H269" s="21" t="str">
        <x:v>☐ 未测试</x:v>
      </x:c>
      <x:c r="I269" s="21" t="str">
        <x:v>☐ 未测试</x:v>
      </x:c>
      <x:c r="J269" s="21" t="str">
        <x:v>☐ 未测试</x:v>
      </x:c>
    </x:row>
    <x:row r="270" ht="51" customHeight="1">
      <x:c r="A270" s="22" t="str">
        <x:v>欧姆龙</x:v>
      </x:c>
      <x:c r="B270" s="22" t="str">
        <x:v>同步、通信异常与恢复</x:v>
      </x:c>
      <x:c r="C270" s="22" t="str">
        <x:v>N01</x:v>
      </x:c>
      <x:c r="D270" s="22" t="str">
        <x:v>EtherCAT通信状态</x:v>
      </x:c>
      <x:c r="E270" s="22" t="str">
        <x:v>INIT、PREOP、SAFEOP、OP的进入/退出条件，各状态下可用的参数/过程数据访问及输出行为</x:v>
      </x:c>
      <x:c r="F270" s="23" t="str">
        <x:v>☐ 未测试</x:v>
      </x:c>
      <x:c r="G270" s="23" t="str">
        <x:v>☐ 未测试</x:v>
      </x:c>
      <x:c r="H270" s="23" t="str">
        <x:v>☐ 未测试</x:v>
      </x:c>
      <x:c r="I270" s="23" t="str">
        <x:v>☐ 未测试</x:v>
      </x:c>
      <x:c r="J270" s="23" t="str">
        <x:v>☐ 未测试</x:v>
      </x:c>
    </x:row>
    <x:row r="271" ht="51" customHeight="1">
      <x:c r="A271" s="24" t="str">
        <x:v>欧姆龙</x:v>
      </x:c>
      <x:c r="B271" s="24" t="str">
        <x:v>同步、通信异常与恢复</x:v>
      </x:c>
      <x:c r="C271" s="24" t="str">
        <x:v>N02</x:v>
      </x:c>
      <x:c r="D271" s="24" t="str">
        <x:v>通信周期范围</x:v>
      </x:c>
      <x:c r="E271" s="24" t="str">
        <x:v>实际支持的周期、最短/最长周期、模式与PDO配置对周期能力的限制，以及不支持周期的响应</x:v>
      </x:c>
      <x:c r="F271" s="21" t="str">
        <x:v>☐ 未测试</x:v>
      </x:c>
      <x:c r="G271" s="21" t="str">
        <x:v>☐ 未测试</x:v>
      </x:c>
      <x:c r="H271" s="21" t="str">
        <x:v>☐ 未测试</x:v>
      </x:c>
      <x:c r="I271" s="21" t="str">
        <x:v>☐ 未测试</x:v>
      </x:c>
      <x:c r="J271" s="21" t="str">
        <x:v>☐ 未测试</x:v>
      </x:c>
    </x:row>
    <x:row r="272" ht="51" customHeight="1">
      <x:c r="A272" s="19" t="str">
        <x:v>欧姆龙</x:v>
      </x:c>
      <x:c r="B272" s="19" t="str">
        <x:v>同步、通信异常与恢复</x:v>
      </x:c>
      <x:c r="C272" s="19" t="str">
        <x:v>N03</x:v>
      </x:c>
      <x:c r="D272" s="19" t="str">
        <x:v>同步方式</x:v>
      </x:c>
      <x:c r="E272" s="19" t="str">
        <x:v>DC分布式时钟、SM事件同步、FreeRun等实际支持方式，各方式的配置限制及运动表现</x:v>
      </x:c>
      <x:c r="F272" s="21" t="str">
        <x:v>☐ 未测试</x:v>
      </x:c>
      <x:c r="G272" s="21" t="str">
        <x:v>☐ 未测试</x:v>
      </x:c>
      <x:c r="H272" s="21" t="str">
        <x:v>☐ 未测试</x:v>
      </x:c>
      <x:c r="I272" s="21" t="str">
        <x:v>☐ 未测试</x:v>
      </x:c>
      <x:c r="J272" s="21" t="str">
        <x:v>☐ 未测试</x:v>
      </x:c>
    </x:row>
    <x:row r="273" ht="51" customHeight="1">
      <x:c r="A273" s="24" t="str">
        <x:v>欧姆龙</x:v>
      </x:c>
      <x:c r="B273" s="24" t="str">
        <x:v>同步、通信异常与恢复</x:v>
      </x:c>
      <x:c r="C273" s="24" t="str">
        <x:v>N04</x:v>
      </x:c>
      <x:c r="D273" s="24" t="str">
        <x:v>同步异常与时序容限</x:v>
      </x:c>
      <x:c r="E273" s="24" t="str">
        <x:v>周期抖动、任务超时、同步失锁/配置不匹配时的检测、报警、运动反应与重新同步</x:v>
      </x:c>
      <x:c r="F273" s="21" t="str">
        <x:v>☐ 未测试</x:v>
      </x:c>
      <x:c r="G273" s="21" t="str">
        <x:v>☐ 未测试</x:v>
      </x:c>
      <x:c r="H273" s="21" t="str">
        <x:v>☐ 未测试</x:v>
      </x:c>
      <x:c r="I273" s="21" t="str">
        <x:v>☐ 未测试</x:v>
      </x:c>
      <x:c r="J273" s="21" t="str">
        <x:v>☐ 未测试</x:v>
      </x:c>
    </x:row>
    <x:row r="274" ht="51" customHeight="1">
      <x:c r="A274" s="19" t="str">
        <x:v>欧姆龙</x:v>
      </x:c>
      <x:c r="B274" s="19" t="str">
        <x:v>同步、通信异常与恢复</x:v>
      </x:c>
      <x:c r="C274" s="19" t="str">
        <x:v>N05</x:v>
      </x:c>
      <x:c r="D274" s="19" t="str">
        <x:v>通信看门狗</x:v>
      </x:c>
      <x:c r="E274" s="19" t="str">
        <x:v>超时检测是否提供、配置范围、触发条件、检测与反应时间，以及超时后的驱动状态</x:v>
      </x:c>
      <x:c r="F274" s="21" t="str">
        <x:v>☐ 未测试</x:v>
      </x:c>
      <x:c r="G274" s="21" t="str">
        <x:v>☐ 未测试</x:v>
      </x:c>
      <x:c r="H274" s="21" t="str">
        <x:v>☐ 未测试</x:v>
      </x:c>
      <x:c r="I274" s="21" t="str">
        <x:v>☐ 未测试</x:v>
      </x:c>
      <x:c r="J274" s="21" t="str">
        <x:v>☐ 未测试</x:v>
      </x:c>
    </x:row>
    <x:row r="275" ht="51" customHeight="1">
      <x:c r="A275" s="24" t="str">
        <x:v>欧姆龙</x:v>
      </x:c>
      <x:c r="B275" s="24" t="str">
        <x:v>同步、通信异常与恢复</x:v>
      </x:c>
      <x:c r="C275" s="24" t="str">
        <x:v>N06</x:v>
      </x:c>
      <x:c r="D275" s="24" t="str">
        <x:v>断线与重连</x:v>
      </x:c>
      <x:c r="E275" s="24" t="str">
        <x:v>持续/间歇断链、重新接通时的节点状态、运动反应、自动或手动恢复能力</x:v>
      </x:c>
      <x:c r="F275" s="21" t="str">
        <x:v>☐ 未测试</x:v>
      </x:c>
      <x:c r="G275" s="21" t="str">
        <x:v>☐ 未测试</x:v>
      </x:c>
      <x:c r="H275" s="21" t="str">
        <x:v>☐ 未测试</x:v>
      </x:c>
      <x:c r="I275" s="21" t="str">
        <x:v>☐ 未测试</x:v>
      </x:c>
      <x:c r="J275" s="21" t="str">
        <x:v>☐ 未测试</x:v>
      </x:c>
    </x:row>
    <x:row r="276" ht="51" customHeight="1">
      <x:c r="A276" s="19" t="str">
        <x:v>欧姆龙</x:v>
      </x:c>
      <x:c r="B276" s="19" t="str">
        <x:v>同步、通信异常与恢复</x:v>
      </x:c>
      <x:c r="C276" s="19" t="str">
        <x:v>N07</x:v>
      </x:c>
      <x:c r="D276" s="19" t="str">
        <x:v>PLC停止与继续运行</x:v>
      </x:c>
      <x:c r="E276" s="19" t="str">
        <x:v>PLC STOP/PROGRAM/RUN等实际操作下，过程数据是否继续更新、驱动如何反应、恢复运行后如何处理</x:v>
      </x:c>
      <x:c r="F276" s="21" t="str">
        <x:v>☐ 未测试</x:v>
      </x:c>
      <x:c r="G276" s="21" t="str">
        <x:v>☐ 未测试</x:v>
      </x:c>
      <x:c r="H276" s="21" t="str">
        <x:v>☐ 未测试</x:v>
      </x:c>
      <x:c r="I276" s="21" t="str">
        <x:v>☐ 未测试</x:v>
      </x:c>
      <x:c r="J276" s="21" t="str">
        <x:v>☐ 未测试</x:v>
      </x:c>
    </x:row>
    <x:row r="277" ht="51" customHeight="1">
      <x:c r="A277" s="24" t="str">
        <x:v>欧姆龙</x:v>
      </x:c>
      <x:c r="B277" s="24" t="str">
        <x:v>同步、通信异常与恢复</x:v>
      </x:c>
      <x:c r="C277" s="24" t="str">
        <x:v>N08</x:v>
      </x:c>
      <x:c r="D277" s="24" t="str">
        <x:v>PLC重启与工程变更</x:v>
      </x:c>
      <x:c r="E277" s="24" t="str">
        <x:v>PLC/运行时重启、工程下载或重新激活后的重新建站、同步、参数及轴状态恢复能力</x:v>
      </x:c>
      <x:c r="F277" s="21" t="str">
        <x:v>☐ 未测试</x:v>
      </x:c>
      <x:c r="G277" s="21" t="str">
        <x:v>☐ 未测试</x:v>
      </x:c>
      <x:c r="H277" s="21" t="str">
        <x:v>☐ 未测试</x:v>
      </x:c>
      <x:c r="I277" s="21" t="str">
        <x:v>☐ 未测试</x:v>
      </x:c>
      <x:c r="J277" s="21" t="str">
        <x:v>☐ 未测试</x:v>
      </x:c>
    </x:row>
    <x:row r="278" ht="51" customHeight="1">
      <x:c r="A278" s="19" t="str">
        <x:v>欧姆龙</x:v>
      </x:c>
      <x:c r="B278" s="19" t="str">
        <x:v>同步、通信异常与恢复</x:v>
      </x:c>
      <x:c r="C278" s="19" t="str">
        <x:v>N09</x:v>
      </x:c>
      <x:c r="D278" s="19" t="str">
        <x:v>驱动电源中断</x:v>
      </x:c>
      <x:c r="E278" s="19" t="str">
        <x:v>控制电与主回路电分别中断/恢复时的通信、报警、实际停机及本轴/下游节点影响</x:v>
      </x:c>
      <x:c r="F278" s="21" t="str">
        <x:v>☐ 未测试</x:v>
      </x:c>
      <x:c r="G278" s="21" t="str">
        <x:v>☐ 未测试</x:v>
      </x:c>
      <x:c r="H278" s="21" t="str">
        <x:v>☐ 未测试</x:v>
      </x:c>
      <x:c r="I278" s="21" t="str">
        <x:v>☐ 未测试</x:v>
      </x:c>
      <x:c r="J278" s="21" t="str">
        <x:v>☐ 未测试</x:v>
      </x:c>
    </x:row>
    <x:row r="279" ht="51" customHeight="1">
      <x:c r="A279" s="24" t="str">
        <x:v>欧姆龙</x:v>
      </x:c>
      <x:c r="B279" s="24" t="str">
        <x:v>同步、通信异常与恢复</x:v>
      </x:c>
      <x:c r="C279" s="24" t="str">
        <x:v>N10</x:v>
      </x:c>
      <x:c r="D279" s="24" t="str">
        <x:v>上电顺序与延迟上线</x:v>
      </x:c>
      <x:c r="E279" s="24" t="str">
        <x:v>PLC先上电、驱动先上电、主电源晚到和从站延迟上线时的等待、超时及恢复表现</x:v>
      </x:c>
      <x:c r="F279" s="21" t="str">
        <x:v>☐ 未测试</x:v>
      </x:c>
      <x:c r="G279" s="21" t="str">
        <x:v>☐ 未测试</x:v>
      </x:c>
      <x:c r="H279" s="21" t="str">
        <x:v>☐ 未测试</x:v>
      </x:c>
      <x:c r="I279" s="21" t="str">
        <x:v>☐ 未测试</x:v>
      </x:c>
      <x:c r="J279" s="21" t="str">
        <x:v>☐ 未测试</x:v>
      </x:c>
    </x:row>
    <x:row r="280" ht="51" customHeight="1">
      <x:c r="A280" s="19" t="str">
        <x:v>欧姆龙</x:v>
      </x:c>
      <x:c r="B280" s="19" t="str">
        <x:v>同步、通信异常与恢复</x:v>
      </x:c>
      <x:c r="C280" s="19" t="str">
        <x:v>N11</x:v>
      </x:c>
      <x:c r="D280" s="19" t="str">
        <x:v>通信恢复后的运动接管</x:v>
      </x:c>
      <x:c r="E280" s="19" t="str">
        <x:v>通信恢复后是否需清故障/重新使能，旧目标/旧命令的处理、位置连续性和意外续跑风险</x:v>
      </x:c>
      <x:c r="F280" s="21" t="str">
        <x:v>☐ 未测试</x:v>
      </x:c>
      <x:c r="G280" s="21" t="str">
        <x:v>☐ 未测试</x:v>
      </x:c>
      <x:c r="H280" s="21" t="str">
        <x:v>☐ 未测试</x:v>
      </x:c>
      <x:c r="I280" s="21" t="str">
        <x:v>☐ 未测试</x:v>
      </x:c>
      <x:c r="J280" s="21" t="str">
        <x:v>☐ 未测试</x:v>
      </x:c>
    </x:row>
    <x:row r="281" ht="51" customHeight="1">
      <x:c r="A281" s="24" t="str">
        <x:v>欧姆龙</x:v>
      </x:c>
      <x:c r="B281" s="24" t="str">
        <x:v>同步、通信异常与恢复</x:v>
      </x:c>
      <x:c r="C281" s="24" t="str">
        <x:v>N12</x:v>
      </x:c>
      <x:c r="D281" s="24" t="str">
        <x:v>通信继续但目标不再更新</x:v>
      </x:c>
      <x:c r="E281" s="24" t="str">
        <x:v>PLC轨迹计算停止而总线仍发送旧目标时，是否能识别、由哪层处理、允许保持什么及保持多久</x:v>
      </x:c>
      <x:c r="F281" s="21" t="str">
        <x:v>☐ 未测试</x:v>
      </x:c>
      <x:c r="G281" s="21" t="str">
        <x:v>☐ 未测试</x:v>
      </x:c>
      <x:c r="H281" s="21" t="str">
        <x:v>☐ 未测试</x:v>
      </x:c>
      <x:c r="I281" s="21" t="str">
        <x:v>☐ 未测试</x:v>
      </x:c>
      <x:c r="J281" s="21" t="str">
        <x:v>☐ 未测试</x:v>
      </x:c>
    </x:row>
    <x:row r="282" ht="51" customHeight="1">
      <x:c r="A282" s="22" t="str">
        <x:v>欧姆龙</x:v>
      </x:c>
      <x:c r="B282" s="22" t="str">
        <x:v>参数保存、启动配置与设备更换</x:v>
      </x:c>
      <x:c r="C282" s="22" t="str">
        <x:v>P01</x:v>
      </x:c>
      <x:c r="D282" s="22" t="str">
        <x:v>EtherCAT可配置范围</x:v>
      </x:c>
      <x:c r="E282" s="22" t="str">
        <x:v>电机/编码器、控制增益、滤波、制动器、I/O等实际参数中，哪些能从PLC经EtherCAT配置，哪些必须使用厂家工具及其通信接口</x:v>
      </x:c>
      <x:c r="F282" s="23" t="str">
        <x:v>☐ 未测试</x:v>
      </x:c>
      <x:c r="G282" s="23" t="str">
        <x:v>☐ 未测试</x:v>
      </x:c>
      <x:c r="H282" s="23" t="str">
        <x:v>☐ 未测试</x:v>
      </x:c>
      <x:c r="I282" s="23" t="str">
        <x:v>☐ 未测试</x:v>
      </x:c>
      <x:c r="J282" s="23" t="str">
        <x:v>☐ 未测试</x:v>
      </x:c>
    </x:row>
    <x:row r="283" ht="51" customHeight="1">
      <x:c r="A283" s="24" t="str">
        <x:v>欧姆龙</x:v>
      </x:c>
      <x:c r="B283" s="24" t="str">
        <x:v>参数保存、启动配置与设备更换</x:v>
      </x:c>
      <x:c r="C283" s="24" t="str">
        <x:v>P02</x:v>
      </x:c>
      <x:c r="D283" s="24" t="str">
        <x:v>参数生效与联动</x:v>
      </x:c>
      <x:c r="E283" s="24" t="str">
        <x:v>在线立即生效、撤使能后生效、重启后生效的区别；关联参数能否成组更新，中途失败时是否留下部分配置</x:v>
      </x:c>
      <x:c r="F283" s="21" t="str">
        <x:v>☐ 未测试</x:v>
      </x:c>
      <x:c r="G283" s="21" t="str">
        <x:v>☐ 未测试</x:v>
      </x:c>
      <x:c r="H283" s="21" t="str">
        <x:v>☐ 未测试</x:v>
      </x:c>
      <x:c r="I283" s="21" t="str">
        <x:v>☐ 未测试</x:v>
      </x:c>
      <x:c r="J283" s="21" t="str">
        <x:v>☐ 未测试</x:v>
      </x:c>
    </x:row>
    <x:row r="284" ht="51" customHeight="1">
      <x:c r="A284" s="19" t="str">
        <x:v>欧姆龙</x:v>
      </x:c>
      <x:c r="B284" s="19" t="str">
        <x:v>参数保存、启动配置与设备更换</x:v>
      </x:c>
      <x:c r="C284" s="19" t="str">
        <x:v>P03</x:v>
      </x:c>
      <x:c r="D284" s="19" t="str">
        <x:v>参数保存与掉电保持</x:v>
      </x:c>
      <x:c r="E284" s="19" t="str">
        <x:v>临时值与永久值的区别、保存入口、保存完成/失败反馈，以及重启和断电后的实际保持范围</x:v>
      </x:c>
      <x:c r="F284" s="21" t="str">
        <x:v>☐ 未测试</x:v>
      </x:c>
      <x:c r="G284" s="21" t="str">
        <x:v>☐ 未测试</x:v>
      </x:c>
      <x:c r="H284" s="21" t="str">
        <x:v>☐ 未测试</x:v>
      </x:c>
      <x:c r="I284" s="21" t="str">
        <x:v>☐ 未测试</x:v>
      </x:c>
      <x:c r="J284" s="21" t="str">
        <x:v>☐ 未测试</x:v>
      </x:c>
    </x:row>
    <x:row r="285" ht="51" customHeight="1">
      <x:c r="A285" s="24" t="str">
        <x:v>欧姆龙</x:v>
      </x:c>
      <x:c r="B285" s="24" t="str">
        <x:v>参数保存、启动配置与设备更换</x:v>
      </x:c>
      <x:c r="C285" s="24" t="str">
        <x:v>P04</x:v>
      </x:c>
      <x:c r="D285" s="24" t="str">
        <x:v>启动参数与现有参数的覆盖</x:v>
      </x:c>
      <x:c r="E285" s="24" t="str">
        <x:v>PLC启动参数、驱动已保存参数、在线修改值和PDO周期写入并存时，实际采用哪一个值、何时被覆盖及如何追溯来源</x:v>
      </x:c>
      <x:c r="F285" s="21" t="str">
        <x:v>☐ 未测试</x:v>
      </x:c>
      <x:c r="G285" s="21" t="str">
        <x:v>☐ 未测试</x:v>
      </x:c>
      <x:c r="H285" s="21" t="str">
        <x:v>☐ 未测试</x:v>
      </x:c>
      <x:c r="I285" s="21" t="str">
        <x:v>☐ 未测试</x:v>
      </x:c>
      <x:c r="J285" s="21" t="str">
        <x:v>☐ 未测试</x:v>
      </x:c>
    </x:row>
    <x:row r="286" ht="51" customHeight="1">
      <x:c r="A286" s="19" t="str">
        <x:v>欧姆龙</x:v>
      </x:c>
      <x:c r="B286" s="19" t="str">
        <x:v>参数保存、启动配置与设备更换</x:v>
      </x:c>
      <x:c r="C286" s="19" t="str">
        <x:v>P05</x:v>
      </x:c>
      <x:c r="D286" s="19" t="str">
        <x:v>启动参数下发异常</x:v>
      </x:c>
      <x:c r="E286" s="19" t="str">
        <x:v>参数依赖/顺序、下发状态、超时、拒写或部分失败时的提示、建站结果及重试后的配置完整性</x:v>
      </x:c>
      <x:c r="F286" s="21" t="str">
        <x:v>☐ 未测试</x:v>
      </x:c>
      <x:c r="G286" s="21" t="str">
        <x:v>☐ 未测试</x:v>
      </x:c>
      <x:c r="H286" s="21" t="str">
        <x:v>☐ 未测试</x:v>
      </x:c>
      <x:c r="I286" s="21" t="str">
        <x:v>☐ 未测试</x:v>
      </x:c>
      <x:c r="J286" s="21" t="str">
        <x:v>☐ 未测试</x:v>
      </x:c>
    </x:row>
    <x:row r="287" ht="51" customHeight="1">
      <x:c r="A287" s="24" t="str">
        <x:v>欧姆龙</x:v>
      </x:c>
      <x:c r="B287" s="24" t="str">
        <x:v>参数保存、启动配置与设备更换</x:v>
      </x:c>
      <x:c r="C287" s="24" t="str">
        <x:v>P06</x:v>
      </x:c>
      <x:c r="D287" s="24" t="str">
        <x:v>参数备份与恢复</x:v>
      </x:c>
      <x:c r="E287" s="24" t="str">
        <x:v>PLC或厂家工具可导出/恢复的范围、遗漏项、差异比较，以及恢复后的实际配置与原机是否一致；记录实际传输接口</x:v>
      </x:c>
      <x:c r="F287" s="21" t="str">
        <x:v>☐ 未测试</x:v>
      </x:c>
      <x:c r="G287" s="21" t="str">
        <x:v>☐ 未测试</x:v>
      </x:c>
      <x:c r="H287" s="21" t="str">
        <x:v>☐ 未测试</x:v>
      </x:c>
      <x:c r="I287" s="21" t="str">
        <x:v>☐ 未测试</x:v>
      </x:c>
      <x:c r="J287" s="21" t="str">
        <x:v>☐ 未测试</x:v>
      </x:c>
    </x:row>
    <x:row r="288" ht="51" customHeight="1">
      <x:c r="A288" s="19" t="str">
        <x:v>欧姆龙</x:v>
      </x:c>
      <x:c r="B288" s="19" t="str">
        <x:v>参数保存、启动配置与设备更换</x:v>
      </x:c>
      <x:c r="C288" s="19" t="str">
        <x:v>P07</x:v>
      </x:c>
      <x:c r="D288" s="19" t="str">
        <x:v>恢复默认设置</x:v>
      </x:c>
      <x:c r="E288" s="19" t="str">
        <x:v>支持整机/分组恢复哪些默认值，对通信、轴配置及重新接入的影响；厂家工具与EtherCAT入口分别记录</x:v>
      </x:c>
      <x:c r="F288" s="21" t="str">
        <x:v>☐ 未测试</x:v>
      </x:c>
      <x:c r="G288" s="21" t="str">
        <x:v>☐ 未测试</x:v>
      </x:c>
      <x:c r="H288" s="21" t="str">
        <x:v>☐ 未测试</x:v>
      </x:c>
      <x:c r="I288" s="21" t="str">
        <x:v>☐ 未测试</x:v>
      </x:c>
      <x:c r="J288" s="21" t="str">
        <x:v>☐ 未测试</x:v>
      </x:c>
    </x:row>
    <x:row r="289" ht="51" customHeight="1">
      <x:c r="A289" s="24" t="str">
        <x:v>欧姆龙</x:v>
      </x:c>
      <x:c r="B289" s="24" t="str">
        <x:v>参数保存、启动配置与设备更换</x:v>
      </x:c>
      <x:c r="C289" s="24" t="str">
        <x:v>P08</x:v>
      </x:c>
      <x:c r="D289" s="24" t="str">
        <x:v>设备与版本匹配</x:v>
      </x:c>
      <x:c r="E289" s="24" t="str">
        <x:v>型号、产品标识、硬件/固件版本与ESI、PLC工程的匹配检查；不匹配时能否识别、提示并定位差异</x:v>
      </x:c>
      <x:c r="F289" s="21" t="str">
        <x:v>☐ 未测试</x:v>
      </x:c>
      <x:c r="G289" s="21" t="str">
        <x:v>☐ 未测试</x:v>
      </x:c>
      <x:c r="H289" s="21" t="str">
        <x:v>☐ 未测试</x:v>
      </x:c>
      <x:c r="I289" s="21" t="str">
        <x:v>☐ 未测试</x:v>
      </x:c>
      <x:c r="J289" s="21" t="str">
        <x:v>☐ 未测试</x:v>
      </x:c>
    </x:row>
    <x:row r="290" ht="51" customHeight="1">
      <x:c r="A290" s="19" t="str">
        <x:v>欧姆龙</x:v>
      </x:c>
      <x:c r="B290" s="19" t="str">
        <x:v>参数保存、启动配置与设备更换</x:v>
      </x:c>
      <x:c r="C290" s="19" t="str">
        <x:v>P09</x:v>
      </x:c>
      <x:c r="D290" s="19" t="str">
        <x:v>更换驱动与配置迁移</x:v>
      </x:c>
      <x:c r="E290" s="19" t="str">
        <x:v>同型号同版本及厂家声明兼容的版本之间，更换后哪些配置可自动恢复、哪些需人工补齐；节点身份、轴对应和机器专用参数是否正确</x:v>
      </x:c>
      <x:c r="F290" s="21" t="str">
        <x:v>☐ 未测试</x:v>
      </x:c>
      <x:c r="G290" s="21" t="str">
        <x:v>☐ 未测试</x:v>
      </x:c>
      <x:c r="H290" s="21" t="str">
        <x:v>☐ 未测试</x:v>
      </x:c>
      <x:c r="I290" s="21" t="str">
        <x:v>☐ 未测试</x:v>
      </x:c>
      <x:c r="J290" s="21" t="str">
        <x:v>☐ 未测试</x:v>
      </x:c>
    </x:row>
    <x:row r="291" ht="51" customHeight="1">
      <x:c r="A291" s="24" t="str">
        <x:v>欧姆龙</x:v>
      </x:c>
      <x:c r="B291" s="24" t="str">
        <x:v>参数保存、启动配置与设备更换</x:v>
      </x:c>
      <x:c r="C291" s="24" t="str">
        <x:v>P10</x:v>
      </x:c>
      <x:c r="D291" s="24" t="str">
        <x:v>固件升级与升级后兼容性</x:v>
      </x:c>
      <x:c r="E291" s="24" t="str">
        <x:v>是否支持经EtherCAT升级（如FoE），实际限制、失败/中断恢复能力，以及升级后的参数、对象字典、PDO和原PLC工程兼容性</x:v>
      </x:c>
      <x:c r="F291" s="21" t="str">
        <x:v>☐ 未测试</x:v>
      </x:c>
      <x:c r="G291" s="21" t="str">
        <x:v>☐ 未测试</x:v>
      </x:c>
      <x:c r="H291" s="21" t="str">
        <x:v>☐ 未测试</x:v>
      </x:c>
      <x:c r="I291" s="21" t="str">
        <x:v>☐ 未测试</x:v>
      </x:c>
      <x:c r="J291" s="21" t="str">
        <x:v>☐ 未测试</x:v>
      </x:c>
    </x:row>
    <x:row r="292" ht="51" customHeight="1">
      <x:c r="A292" s="22" t="str">
        <x:v>欧姆龙</x:v>
      </x:c>
      <x:c r="B292" s="22" t="str">
        <x:v>报警、诊断与现场排障</x:v>
      </x:c>
      <x:c r="C292" s="22" t="str">
        <x:v>A01</x:v>
      </x:c>
      <x:c r="D292" s="22" t="str">
        <x:v>当前故障与警告</x:v>
      </x:c>
      <x:c r="E292" s="22" t="str">
        <x:v>可读取哪些故障/警告、严重程度及详细原因；仅预警、限制运行与停机故障如何区分，当前状态是否及时更新</x:v>
      </x:c>
      <x:c r="F292" s="23" t="str">
        <x:v>☐ 未测试</x:v>
      </x:c>
      <x:c r="G292" s="23" t="str">
        <x:v>☐ 未测试</x:v>
      </x:c>
      <x:c r="H292" s="23" t="str">
        <x:v>☐ 未测试</x:v>
      </x:c>
      <x:c r="I292" s="23" t="str">
        <x:v>☐ 未测试</x:v>
      </x:c>
      <x:c r="J292" s="23" t="str">
        <x:v>☐ 未测试</x:v>
      </x:c>
    </x:row>
    <x:row r="293" ht="51" customHeight="1">
      <x:c r="A293" s="24" t="str">
        <x:v>欧姆龙</x:v>
      </x:c>
      <x:c r="B293" s="24" t="str">
        <x:v>报警、诊断与现场排障</x:v>
      </x:c>
      <x:c r="C293" s="24" t="str">
        <x:v>A02</x:v>
      </x:c>
      <x:c r="D293" s="24" t="str">
        <x:v>PLC与驱动报警对应</x:v>
      </x:c>
      <x:c r="E293" s="24" t="str">
        <x:v>PLC轴错误、EtherCAT通信错误、驱动故障码与厂家工具显示如何对应；能否从PLC获得原始原因而非只有通用错误</x:v>
      </x:c>
      <x:c r="F293" s="21" t="str">
        <x:v>☐ 未测试</x:v>
      </x:c>
      <x:c r="G293" s="21" t="str">
        <x:v>☐ 未测试</x:v>
      </x:c>
      <x:c r="H293" s="21" t="str">
        <x:v>☐ 未测试</x:v>
      </x:c>
      <x:c r="I293" s="21" t="str">
        <x:v>☐ 未测试</x:v>
      </x:c>
      <x:c r="J293" s="21" t="str">
        <x:v>☐ 未测试</x:v>
      </x:c>
    </x:row>
    <x:row r="294" ht="51" customHeight="1">
      <x:c r="A294" s="19" t="str">
        <x:v>欧姆龙</x:v>
      </x:c>
      <x:c r="B294" s="19" t="str">
        <x:v>报警、诊断与现场排障</x:v>
      </x:c>
      <x:c r="C294" s="19" t="str">
        <x:v>A03</x:v>
      </x:c>
      <x:c r="D294" s="19" t="str">
        <x:v>短时与连续报警事件</x:v>
      </x:c>
      <x:c r="E294" s="19" t="str">
        <x:v>实际提供的事件通知/主动上报或轮询机制，短时出现后消失、连续发生及重复故障能否被PLC捕获；延迟、去重和丢失边界</x:v>
      </x:c>
      <x:c r="F294" s="21" t="str">
        <x:v>☐ 未测试</x:v>
      </x:c>
      <x:c r="G294" s="21" t="str">
        <x:v>☐ 未测试</x:v>
      </x:c>
      <x:c r="H294" s="21" t="str">
        <x:v>☐ 未测试</x:v>
      </x:c>
      <x:c r="I294" s="21" t="str">
        <x:v>☐ 未测试</x:v>
      </x:c>
      <x:c r="J294" s="21" t="str">
        <x:v>☐ 未测试</x:v>
      </x:c>
    </x:row>
    <x:row r="295" ht="51" customHeight="1">
      <x:c r="A295" s="24" t="str">
        <x:v>欧姆龙</x:v>
      </x:c>
      <x:c r="B295" s="24" t="str">
        <x:v>报警、诊断与现场排障</x:v>
      </x:c>
      <x:c r="C295" s="24" t="str">
        <x:v>A04</x:v>
      </x:c>
      <x:c r="D295" s="24" t="str">
        <x:v>故障历史与保持</x:v>
      </x:c>
      <x:c r="E295" s="24" t="str">
        <x:v>历史容量、先后顺序、时间信息及故障现场值；清故障、重启、掉电后的保留情况及清除入口</x:v>
      </x:c>
      <x:c r="F295" s="21" t="str">
        <x:v>☐ 未测试</x:v>
      </x:c>
      <x:c r="G295" s="21" t="str">
        <x:v>☐ 未测试</x:v>
      </x:c>
      <x:c r="H295" s="21" t="str">
        <x:v>☐ 未测试</x:v>
      </x:c>
      <x:c r="I295" s="21" t="str">
        <x:v>☐ 未测试</x:v>
      </x:c>
      <x:c r="J295" s="21" t="str">
        <x:v>☐ 未测试</x:v>
      </x:c>
    </x:row>
    <x:row r="296" ht="51" customHeight="1">
      <x:c r="A296" s="19" t="str">
        <x:v>欧姆龙</x:v>
      </x:c>
      <x:c r="B296" s="19" t="str">
        <x:v>报警、诊断与现场排障</x:v>
      </x:c>
      <x:c r="C296" s="19" t="str">
        <x:v>A05</x:v>
      </x:c>
      <x:c r="D296" s="19" t="str">
        <x:v>多故障与最初原因</x:v>
      </x:c>
      <x:c r="E296" s="19" t="str">
        <x:v>多个故障同时或先后发生时，首个原因、后续连锁故障和仍未消除的原因能否区分，显示/上报优先级如何处理</x:v>
      </x:c>
      <x:c r="F296" s="21" t="str">
        <x:v>☐ 未测试</x:v>
      </x:c>
      <x:c r="G296" s="21" t="str">
        <x:v>☐ 未测试</x:v>
      </x:c>
      <x:c r="H296" s="21" t="str">
        <x:v>☐ 未测试</x:v>
      </x:c>
      <x:c r="I296" s="21" t="str">
        <x:v>☐ 未测试</x:v>
      </x:c>
      <x:c r="J296" s="21" t="str">
        <x:v>☐ 未测试</x:v>
      </x:c>
    </x:row>
    <x:row r="297" ht="51" customHeight="1">
      <x:c r="A297" s="24" t="str">
        <x:v>欧姆龙</x:v>
      </x:c>
      <x:c r="B297" s="24" t="str">
        <x:v>报警、诊断与现场排障</x:v>
      </x:c>
      <x:c r="C297" s="24" t="str">
        <x:v>A06</x:v>
      </x:c>
      <x:c r="D297" s="24" t="str">
        <x:v>无报警但不动作的诊断</x:v>
      </x:c>
      <x:c r="E297" s="24" t="str">
        <x:v>未使能、模式未就绪、限位、指令未接受、控制权冲突等场景，能否看到具体阻止原因及命令接受/执行状态</x:v>
      </x:c>
      <x:c r="F297" s="21" t="str">
        <x:v>☐ 未测试</x:v>
      </x:c>
      <x:c r="G297" s="21" t="str">
        <x:v>☐ 未测试</x:v>
      </x:c>
      <x:c r="H297" s="21" t="str">
        <x:v>☐ 未测试</x:v>
      </x:c>
      <x:c r="I297" s="21" t="str">
        <x:v>☐ 未测试</x:v>
      </x:c>
      <x:c r="J297" s="21" t="str">
        <x:v>☐ 未测试</x:v>
      </x:c>
    </x:row>
    <x:row r="298" ht="51" customHeight="1">
      <x:c r="A298" s="19" t="str">
        <x:v>欧姆龙</x:v>
      </x:c>
      <x:c r="B298" s="19" t="str">
        <x:v>报警、诊断与现场排障</x:v>
      </x:c>
      <x:c r="C298" s="19" t="str">
        <x:v>A07</x:v>
      </x:c>
      <x:c r="D298" s="19" t="str">
        <x:v>运行状态与诊断量</x:v>
      </x:c>
      <x:c r="E298" s="19" t="str">
        <x:v>实际开放的跟随误差、负载/转矩、母线电压、温度、I/O及通信诊断量的访问入口、单位、刷新速度和有效性；区分主站统计与驱动提供的数据</x:v>
      </x:c>
      <x:c r="F298" s="21" t="str">
        <x:v>☐ 未测试</x:v>
      </x:c>
      <x:c r="G298" s="21" t="str">
        <x:v>☐ 未测试</x:v>
      </x:c>
      <x:c r="H298" s="21" t="str">
        <x:v>☐ 未测试</x:v>
      </x:c>
      <x:c r="I298" s="21" t="str">
        <x:v>☐ 未测试</x:v>
      </x:c>
      <x:c r="J298" s="21" t="str">
        <x:v>☐ 未测试</x:v>
      </x:c>
    </x:row>
    <x:row r="299" ht="51" customHeight="1">
      <x:c r="A299" s="24" t="str">
        <x:v>欧姆龙</x:v>
      </x:c>
      <x:c r="B299" s="24" t="str">
        <x:v>报警、诊断与现场排障</x:v>
      </x:c>
      <x:c r="C299" s="24" t="str">
        <x:v>A08</x:v>
      </x:c>
      <x:c r="D299" s="24" t="str">
        <x:v>波形与故障现场捕获</x:v>
      </x:c>
      <x:c r="E299" s="24" t="str">
        <x:v>PLC采样和驱动内部记录各能捕获哪些量、采样周期/长度、触发及故障前后数据；能否经EtherCAT取得，断线后哪些证据仍可保留</x:v>
      </x:c>
      <x:c r="F299" s="21" t="str">
        <x:v>☐ 未测试</x:v>
      </x:c>
      <x:c r="G299" s="21" t="str">
        <x:v>☐ 未测试</x:v>
      </x:c>
      <x:c r="H299" s="21" t="str">
        <x:v>☐ 未测试</x:v>
      </x:c>
      <x:c r="I299" s="21" t="str">
        <x:v>☐ 未测试</x:v>
      </x:c>
      <x:c r="J299" s="21" t="str">
        <x:v>☐ 未测试</x:v>
      </x:c>
    </x:row>
    <x:row r="300" ht="51" customHeight="1">
      <x:c r="A300" s="19" t="str">
        <x:v>欧姆龙</x:v>
      </x:c>
      <x:c r="B300" s="19" t="str">
        <x:v>报警、诊断与现场排障</x:v>
      </x:c>
      <x:c r="C300" s="19" t="str">
        <x:v>A09</x:v>
      </x:c>
      <x:c r="D300" s="19" t="str">
        <x:v>诊断资料导出与追溯</x:v>
      </x:c>
      <x:c r="E300" s="19" t="str">
        <x:v>报警历史、波形、参数快照、通信状态及设备/软件版本能否导出并关联到同一故障；明确需从哪些入口分别取得及时间能否对齐</x:v>
      </x:c>
      <x:c r="F300" s="21" t="str">
        <x:v>☐ 未测试</x:v>
      </x:c>
      <x:c r="G300" s="21" t="str">
        <x:v>☐ 未测试</x:v>
      </x:c>
      <x:c r="H300" s="21" t="str">
        <x:v>☐ 未测试</x:v>
      </x:c>
      <x:c r="I300" s="21" t="str">
        <x:v>☐ 未测试</x:v>
      </x:c>
      <x:c r="J300" s="21" t="str">
        <x:v>☐ 未测试</x:v>
      </x:c>
    </x:row>
    <x:row r="301" ht="51" customHeight="1">
      <x:c r="A301" s="25" t="str">
        <x:v>欧姆龙</x:v>
      </x:c>
      <x:c r="B301" s="25" t="str">
        <x:v>运动指令衔接与多轴配合</x:v>
      </x:c>
      <x:c r="C301" s="25" t="str">
        <x:v>C01</x:v>
      </x:c>
      <x:c r="D301" s="25" t="str">
        <x:v>点动与正反向切换</x:v>
      </x:c>
      <x:c r="E301" s="25" t="str">
        <x:v>持续点动、松开停止、快速重复点动、运行中换向及正反命令同时出现时的动作、停止距离和状态反馈</x:v>
      </x:c>
      <x:c r="F301" s="23" t="str">
        <x:v>☐ 未测试</x:v>
      </x:c>
      <x:c r="G301" s="23" t="str">
        <x:v>☐ 未测试</x:v>
      </x:c>
      <x:c r="H301" s="23" t="str">
        <x:v>☐ 未测试</x:v>
      </x:c>
      <x:c r="I301" s="23" t="str">
        <x:v>☐ 未测试</x:v>
      </x:c>
      <x:c r="J301" s="23" t="str">
        <x:v>☐ 未测试</x:v>
      </x:c>
    </x:row>
    <x:row r="302" ht="51" customHeight="1">
      <x:c r="A302" s="19" t="str">
        <x:v>欧姆龙</x:v>
      </x:c>
      <x:c r="B302" s="19" t="str">
        <x:v>运动指令衔接与多轴配合</x:v>
      </x:c>
      <x:c r="C302" s="19" t="str">
        <x:v>C02</x:v>
      </x:c>
      <x:c r="D302" s="19" t="str">
        <x:v>运动中更新目标</x:v>
      </x:c>
      <x:c r="E302" s="19" t="str">
        <x:v>定位或速度运动中修改目标位置、速度、加减速等实际允许的量，更新生效时机、轨迹连续性及不允许更新时的响应</x:v>
      </x:c>
      <x:c r="F302" s="21" t="str">
        <x:v>☐ 未测试</x:v>
      </x:c>
      <x:c r="G302" s="21" t="str">
        <x:v>☐ 未测试</x:v>
      </x:c>
      <x:c r="H302" s="21" t="str">
        <x:v>☐ 未测试</x:v>
      </x:c>
      <x:c r="I302" s="21" t="str">
        <x:v>☐ 未测试</x:v>
      </x:c>
      <x:c r="J302" s="21" t="str">
        <x:v>☐ 未测试</x:v>
      </x:c>
    </x:row>
    <x:row r="303" ht="51" customHeight="1">
      <x:c r="A303" s="24" t="str">
        <x:v>欧姆龙</x:v>
      </x:c>
      <x:c r="B303" s="24" t="str">
        <x:v>运动指令衔接与多轴配合</x:v>
      </x:c>
      <x:c r="C303" s="24" t="str">
        <x:v>C03</x:v>
      </x:c>
      <x:c r="D303" s="24" t="str">
        <x:v>连续指令、排队与打断</x:v>
      </x:c>
      <x:c r="E303" s="24" t="str">
        <x:v>多段定位/运动的立即打断、排队执行、连续过渡等实际支持方式；命令顺序、交接速度、队列限制及被中断指令的反馈</x:v>
      </x:c>
      <x:c r="F303" s="21" t="str">
        <x:v>☐ 未测试</x:v>
      </x:c>
      <x:c r="G303" s="21" t="str">
        <x:v>☐ 未测试</x:v>
      </x:c>
      <x:c r="H303" s="21" t="str">
        <x:v>☐ 未测试</x:v>
      </x:c>
      <x:c r="I303" s="21" t="str">
        <x:v>☐ 未测试</x:v>
      </x:c>
      <x:c r="J303" s="21" t="str">
        <x:v>☐ 未测试</x:v>
      </x:c>
    </x:row>
    <x:row r="304" ht="51" customHeight="1">
      <x:c r="A304" s="19" t="str">
        <x:v>欧姆龙</x:v>
      </x:c>
      <x:c r="B304" s="19" t="str">
        <x:v>运动指令衔接与多轴配合</x:v>
      </x:c>
      <x:c r="C304" s="19" t="str">
        <x:v>C04</x:v>
      </x:c>
      <x:c r="D304" s="19" t="str">
        <x:v>运行倍率与动态限制</x:v>
      </x:c>
      <x:c r="E304" s="19" t="str">
        <x:v>PLC速度倍率、加速度/减速度倍率等实际能力及驱动限速/限矩共同作用时的运动表现；调低、恢复或超出允许范围时的响应</x:v>
      </x:c>
      <x:c r="F304" s="21" t="str">
        <x:v>☐ 未测试</x:v>
      </x:c>
      <x:c r="G304" s="21" t="str">
        <x:v>☐ 未测试</x:v>
      </x:c>
      <x:c r="H304" s="21" t="str">
        <x:v>☐ 未测试</x:v>
      </x:c>
      <x:c r="I304" s="21" t="str">
        <x:v>☐ 未测试</x:v>
      </x:c>
      <x:c r="J304" s="21" t="str">
        <x:v>☐ 未测试</x:v>
      </x:c>
    </x:row>
    <x:row r="305" ht="51" customHeight="1">
      <x:c r="A305" s="24" t="str">
        <x:v>欧姆龙</x:v>
      </x:c>
      <x:c r="B305" s="24" t="str">
        <x:v>运动指令衔接与多轴配合</x:v>
      </x:c>
      <x:c r="C305" s="24" t="str">
        <x:v>C05</x:v>
      </x:c>
      <x:c r="D305" s="24" t="str">
        <x:v>多轴同步运动</x:v>
      </x:c>
      <x:c r="E305" s="24" t="str">
        <x:v>多轴共同起停、反向及连续轨迹时的实际位置/速度关系和同步误差；记录轴数、周期、负载和误差测量方法</x:v>
      </x:c>
      <x:c r="F305" s="21" t="str">
        <x:v>☐ 未测试</x:v>
      </x:c>
      <x:c r="G305" s="21" t="str">
        <x:v>☐ 未测试</x:v>
      </x:c>
      <x:c r="H305" s="21" t="str">
        <x:v>☐ 未测试</x:v>
      </x:c>
      <x:c r="I305" s="21" t="str">
        <x:v>☐ 未测试</x:v>
      </x:c>
      <x:c r="J305" s="21" t="str">
        <x:v>☐ 未测试</x:v>
      </x:c>
    </x:row>
    <x:row r="306" ht="51" customHeight="1">
      <x:c r="A306" s="19" t="str">
        <x:v>欧姆龙</x:v>
      </x:c>
      <x:c r="B306" s="19" t="str">
        <x:v>运动指令衔接与多轴配合</x:v>
      </x:c>
      <x:c r="C306" s="19" t="str">
        <x:v>C06</x:v>
      </x:c>
      <x:c r="D306" s="19" t="str">
        <x:v>电子齿轮跟随</x:v>
      </x:c>
      <x:c r="E306" s="19" t="str">
        <x:v>虚拟/实际主轴等实际来源、比例/方向、接入/退出及主轴停转/反转时的跟随表现，运行中改比例和重新同步的限制</x:v>
      </x:c>
      <x:c r="F306" s="21" t="str">
        <x:v>☐ 未测试</x:v>
      </x:c>
      <x:c r="G306" s="21" t="str">
        <x:v>☐ 未测试</x:v>
      </x:c>
      <x:c r="H306" s="21" t="str">
        <x:v>☐ 未测试</x:v>
      </x:c>
      <x:c r="I306" s="21" t="str">
        <x:v>☐ 未测试</x:v>
      </x:c>
      <x:c r="J306" s="21" t="str">
        <x:v>☐ 未测试</x:v>
      </x:c>
    </x:row>
    <x:row r="307" ht="51" customHeight="1">
      <x:c r="A307" s="24" t="str">
        <x:v>欧姆龙</x:v>
      </x:c>
      <x:c r="B307" s="24" t="str">
        <x:v>运动指令衔接与多轴配合</x:v>
      </x:c>
      <x:c r="C307" s="24" t="str">
        <x:v>C07</x:v>
      </x:c>
      <x:c r="D307" s="24" t="str">
        <x:v>电子凸轮</x:v>
      </x:c>
      <x:c r="E307" s="24" t="str">
        <x:v>实际支持的凸轮表、接入/退出、周期运行、相位/偏置调整和表切换能力，以及主轴停转/反转后的轨迹与同步表现</x:v>
      </x:c>
      <x:c r="F307" s="21" t="str">
        <x:v>☐ 未测试</x:v>
      </x:c>
      <x:c r="G307" s="21" t="str">
        <x:v>☐ 未测试</x:v>
      </x:c>
      <x:c r="H307" s="21" t="str">
        <x:v>☐ 未测试</x:v>
      </x:c>
      <x:c r="I307" s="21" t="str">
        <x:v>☐ 未测试</x:v>
      </x:c>
      <x:c r="J307" s="21" t="str">
        <x:v>☐ 未测试</x:v>
      </x:c>
    </x:row>
    <x:row r="308" ht="51" customHeight="1">
      <x:c r="A308" s="19" t="str">
        <x:v>欧姆龙</x:v>
      </x:c>
      <x:c r="B308" s="19" t="str">
        <x:v>运动指令衔接与多轴配合</x:v>
      </x:c>
      <x:c r="C308" s="19" t="str">
        <x:v>C08</x:v>
      </x:c>
      <x:c r="D308" s="19" t="str">
        <x:v>轴组与插补运动</x:v>
      </x:c>
      <x:c r="E308" s="19" t="str">
        <x:v>平台实际支持的直线/圆弧等轴组运动、连续轨迹衔接、暂停/恢复及组状态反馈，记录实际轨迹误差和驱动配合限制</x:v>
      </x:c>
      <x:c r="F308" s="21" t="str">
        <x:v>☐ 未测试</x:v>
      </x:c>
      <x:c r="G308" s="21" t="str">
        <x:v>☐ 未测试</x:v>
      </x:c>
      <x:c r="H308" s="21" t="str">
        <x:v>☐ 未测试</x:v>
      </x:c>
      <x:c r="I308" s="21" t="str">
        <x:v>☐ 未测试</x:v>
      </x:c>
      <x:c r="J308" s="21" t="str">
        <x:v>☐ 未测试</x:v>
      </x:c>
    </x:row>
    <x:row r="309" ht="51" customHeight="1">
      <x:c r="A309" s="24" t="str">
        <x:v>欧姆龙</x:v>
      </x:c>
      <x:c r="B309" s="24" t="str">
        <x:v>运动指令衔接与多轴配合</x:v>
      </x:c>
      <x:c r="C309" s="24" t="str">
        <x:v>C09</x:v>
      </x:c>
      <x:c r="D309" s="24" t="str">
        <x:v>联动中的单轴异常</x:v>
      </x:c>
      <x:c r="E309" s="24" t="str">
        <x:v>跟随轴/主轴故障、触限位、撤使能或掉线时其他轴及轴组的行为，解除联动、清错、重新接入和恢复后的相位/位置关系</x:v>
      </x:c>
      <x:c r="F309" s="21" t="str">
        <x:v>☐ 未测试</x:v>
      </x:c>
      <x:c r="G309" s="21" t="str">
        <x:v>☐ 未测试</x:v>
      </x:c>
      <x:c r="H309" s="21" t="str">
        <x:v>☐ 未测试</x:v>
      </x:c>
      <x:c r="I309" s="21" t="str">
        <x:v>☐ 未测试</x:v>
      </x:c>
      <x:c r="J309" s="21" t="str">
        <x:v>☐ 未测试</x:v>
      </x:c>
    </x:row>
    <x:row r="310" ht="51" customHeight="1">
      <x:c r="A310" s="19" t="str">
        <x:v>欧姆龙</x:v>
      </x:c>
      <x:c r="B310" s="19" t="str">
        <x:v>运动指令衔接与多轴配合</x:v>
      </x:c>
      <x:c r="C310" s="19" t="str">
        <x:v>C10</x:v>
      </x:c>
      <x:c r="D310" s="19" t="str">
        <x:v>一台EtherCAT设备控制多轴</x:v>
      </x:c>
      <x:c r="E310" s="19" t="str">
        <x:v>单从站多轴产品的各通道对象/PDO/状态/报警是否对应，能否独立和同时运行，以及共享资源或单通道异常对其他通道的影响</x:v>
      </x:c>
      <x:c r="F310" s="21" t="str">
        <x:v>☐ 未测试</x:v>
      </x:c>
      <x:c r="G310" s="21" t="str">
        <x:v>☐ 未测试</x:v>
      </x:c>
      <x:c r="H310" s="21" t="str">
        <x:v>☐ 未测试</x:v>
      </x:c>
      <x:c r="I310" s="21" t="str">
        <x:v>☐ 未测试</x:v>
      </x:c>
      <x:c r="J310" s="21" t="str">
        <x:v>☐ 未测试</x:v>
      </x:c>
    </x:row>
    <x:row r="311" ht="51" customHeight="1">
      <x:c r="A311" s="25" t="str">
        <x:v>欧姆龙</x:v>
      </x:c>
      <x:c r="B311" s="25" t="str">
        <x:v>网络组合、容量与长期运行</x:v>
      </x:c>
      <x:c r="C311" s="25" t="str">
        <x:v>T01</x:v>
      </x:c>
      <x:c r="D311" s="25" t="str">
        <x:v>多台驱动识别与轴对应</x:v>
      </x:c>
      <x:c r="E311" s="25" t="str">
        <x:v>同型号多台、不同型号/品牌驱动共网时的识别、轴绑定及数据/报警对应；节点顺序或位置变化后的匹配、拒绝和提示行为</x:v>
      </x:c>
      <x:c r="F311" s="23" t="str">
        <x:v>☐ 未测试</x:v>
      </x:c>
      <x:c r="G311" s="23" t="str">
        <x:v>☐ 未测试</x:v>
      </x:c>
      <x:c r="H311" s="23" t="str">
        <x:v>☐ 未测试</x:v>
      </x:c>
      <x:c r="I311" s="23" t="str">
        <x:v>☐ 未测试</x:v>
      </x:c>
      <x:c r="J311" s="23" t="str">
        <x:v>☐ 未测试</x:v>
      </x:c>
    </x:row>
    <x:row r="312" ht="51" customHeight="1">
      <x:c r="A312" s="19" t="str">
        <x:v>欧姆龙</x:v>
      </x:c>
      <x:c r="B312" s="19" t="str">
        <x:v>网络组合、容量与长期运行</x:v>
      </x:c>
      <x:c r="C312" s="19" t="str">
        <x:v>T02</x:v>
      </x:c>
      <x:c r="D312" s="19" t="str">
        <x:v>混合从站与网络拓扑</x:v>
      </x:c>
      <x:c r="E312" s="19" t="str">
        <x:v>驱动与I/O、耦合器等从站共网，串接及实际支持的分支拓扑下的建站、端口连接限制、同步和数据交换表现</x:v>
      </x:c>
      <x:c r="F312" s="21" t="str">
        <x:v>☐ 未测试</x:v>
      </x:c>
      <x:c r="G312" s="21" t="str">
        <x:v>☐ 未测试</x:v>
      </x:c>
      <x:c r="H312" s="21" t="str">
        <x:v>☐ 未测试</x:v>
      </x:c>
      <x:c r="I312" s="21" t="str">
        <x:v>☐ 未测试</x:v>
      </x:c>
      <x:c r="J312" s="21" t="str">
        <x:v>☐ 未测试</x:v>
      </x:c>
    </x:row>
    <x:row r="313" ht="51" customHeight="1">
      <x:c r="A313" s="24" t="str">
        <x:v>欧姆龙</x:v>
      </x:c>
      <x:c r="B313" s="24" t="str">
        <x:v>网络组合、容量与长期运行</x:v>
      </x:c>
      <x:c r="C313" s="24" t="str">
        <x:v>T03</x:v>
      </x:c>
      <x:c r="D313" s="24" t="str">
        <x:v>参考时钟与节点排列</x:v>
      </x:c>
      <x:c r="E313" s="24" t="str">
        <x:v>实际采用哪台设备作为DC参考时钟、驱动能否承担该角色；允许的参考时钟/节点排列变化后同步能否建立，运行误差有何变化</x:v>
      </x:c>
      <x:c r="F313" s="21" t="str">
        <x:v>☐ 未测试</x:v>
      </x:c>
      <x:c r="G313" s="21" t="str">
        <x:v>☐ 未测试</x:v>
      </x:c>
      <x:c r="H313" s="21" t="str">
        <x:v>☐ 未测试</x:v>
      </x:c>
      <x:c r="I313" s="21" t="str">
        <x:v>☐ 未测试</x:v>
      </x:c>
      <x:c r="J313" s="21" t="str">
        <x:v>☐ 未测试</x:v>
      </x:c>
    </x:row>
    <x:row r="314" ht="51" customHeight="1">
      <x:c r="A314" s="19" t="str">
        <x:v>欧姆龙</x:v>
      </x:c>
      <x:c r="B314" s="19" t="str">
        <x:v>网络组合、容量与长期运行</x:v>
      </x:c>
      <x:c r="C314" s="19" t="str">
        <x:v>T04</x:v>
      </x:c>
      <x:c r="D314" s="19" t="str">
        <x:v>轴数、PDO与周期的组合容量</x:v>
      </x:c>
      <x:c r="E314" s="19" t="str">
        <x:v>多轴及I/O在不同PDO长度、目标周期下能否同时运行，主站/网络负载、同步误差及越过实测可用范围时的表现</x:v>
      </x:c>
      <x:c r="F314" s="21" t="str">
        <x:v>☐ 未测试</x:v>
      </x:c>
      <x:c r="G314" s="21" t="str">
        <x:v>☐ 未测试</x:v>
      </x:c>
      <x:c r="H314" s="21" t="str">
        <x:v>☐ 未测试</x:v>
      </x:c>
      <x:c r="I314" s="21" t="str">
        <x:v>☐ 未测试</x:v>
      </x:c>
      <x:c r="J314" s="21" t="str">
        <x:v>☐ 未测试</x:v>
      </x:c>
    </x:row>
    <x:row r="315" ht="51" customHeight="1">
      <x:c r="A315" s="24" t="str">
        <x:v>欧姆龙</x:v>
      </x:c>
      <x:c r="B315" s="24" t="str">
        <x:v>网络组合、容量与长期运行</x:v>
      </x:c>
      <x:c r="C315" s="24" t="str">
        <x:v>T05</x:v>
      </x:c>
      <x:c r="D315" s="24" t="str">
        <x:v>后台通信与运动并行</x:v>
      </x:c>
      <x:c r="E315" s="24" t="str">
        <x:v>HMI刷新、SDO读写、在线监视、波形获取及实际支持的EoE/文件传输等同时进行时，运动/通信受何影响，各类访问是否受限或超时</x:v>
      </x:c>
      <x:c r="F315" s="21" t="str">
        <x:v>☐ 未测试</x:v>
      </x:c>
      <x:c r="G315" s="21" t="str">
        <x:v>☐ 未测试</x:v>
      </x:c>
      <x:c r="H315" s="21" t="str">
        <x:v>☐ 未测试</x:v>
      </x:c>
      <x:c r="I315" s="21" t="str">
        <x:v>☐ 未测试</x:v>
      </x:c>
      <x:c r="J315" s="21" t="str">
        <x:v>☐ 未测试</x:v>
      </x:c>
    </x:row>
    <x:row r="316" ht="51" customHeight="1">
      <x:c r="A316" s="19" t="str">
        <x:v>欧姆龙</x:v>
      </x:c>
      <x:c r="B316" s="19" t="str">
        <x:v>网络组合、容量与长期运行</x:v>
      </x:c>
      <x:c r="C316" s="19" t="str">
        <x:v>T06</x:v>
      </x:c>
      <x:c r="D316" s="19" t="str">
        <x:v>长时间连续运行</x:v>
      </x:c>
      <x:c r="E316" s="19" t="str">
        <x:v>持续执行约定运动及正常后台访问后的周期/同步稳定性、运动误差、累计通信错误、偶发报警及性能变化</x:v>
      </x:c>
      <x:c r="F316" s="21" t="str">
        <x:v>☐ 未测试</x:v>
      </x:c>
      <x:c r="G316" s="21" t="str">
        <x:v>☐ 未测试</x:v>
      </x:c>
      <x:c r="H316" s="21" t="str">
        <x:v>☐ 未测试</x:v>
      </x:c>
      <x:c r="I316" s="21" t="str">
        <x:v>☐ 未测试</x:v>
      </x:c>
      <x:c r="J316" s="21" t="str">
        <x:v>☐ 未测试</x:v>
      </x:c>
    </x:row>
    <x:row r="317" ht="51" customHeight="1">
      <x:c r="A317" s="24" t="str">
        <x:v>欧姆龙</x:v>
      </x:c>
      <x:c r="B317" s="24" t="str">
        <x:v>网络组合、容量与长期运行</x:v>
      </x:c>
      <x:c r="C317" s="24" t="str">
        <x:v>T07</x:v>
      </x:c>
      <x:c r="D317" s="24" t="str">
        <x:v>反复启停与恢复</x:v>
      </x:c>
      <x:c r="E317" s="24" t="str">
        <x:v>反复使能、运动、停止、允许的重启/断线恢复后，是否出现偶发失败、状态残留、参数/位置变化或恢复时间增长</x:v>
      </x:c>
      <x:c r="F317" s="21" t="str">
        <x:v>☐ 未测试</x:v>
      </x:c>
      <x:c r="G317" s="21" t="str">
        <x:v>☐ 未测试</x:v>
      </x:c>
      <x:c r="H317" s="21" t="str">
        <x:v>☐ 未测试</x:v>
      </x:c>
      <x:c r="I317" s="21" t="str">
        <x:v>☐ 未测试</x:v>
      </x:c>
      <x:c r="J317" s="21" t="str">
        <x:v>☐ 未测试</x:v>
      </x:c>
    </x:row>
    <x:row r="318" ht="51" customHeight="1">
      <x:c r="A318" s="19" t="str">
        <x:v>欧姆龙</x:v>
      </x:c>
      <x:c r="B318" s="19" t="str">
        <x:v>网络组合、容量与长期运行</x:v>
      </x:c>
      <x:c r="C318" s="19" t="str">
        <x:v>T08</x:v>
      </x:c>
      <x:c r="D318" s="19" t="str">
        <x:v>热连接与可选站组</x:v>
      </x:c>
      <x:c r="E318" s="19" t="str">
        <x:v>实际支持时，预配置设备组在运行中缺席、加入、移除及再次加入的识别、同步、轴状态恢复，以及对其余节点的影响</x:v>
      </x:c>
      <x:c r="F318" s="21" t="str">
        <x:v>☐ 未测试</x:v>
      </x:c>
      <x:c r="G318" s="21" t="str">
        <x:v>☐ 未测试</x:v>
      </x:c>
      <x:c r="H318" s="21" t="str">
        <x:v>☐ 未测试</x:v>
      </x:c>
      <x:c r="I318" s="21" t="str">
        <x:v>☐ 未测试</x:v>
      </x:c>
      <x:c r="J318" s="21" t="str">
        <x:v>☐ 未测试</x:v>
      </x:c>
    </x:row>
    <x:row r="319" ht="51" customHeight="1">
      <x:c r="A319" s="24" t="str">
        <x:v>欧姆龙</x:v>
      </x:c>
      <x:c r="B319" s="24" t="str">
        <x:v>网络组合、容量与长期运行</x:v>
      </x:c>
      <x:c r="C319" s="24" t="str">
        <x:v>T09</x:v>
      </x:c>
      <x:c r="D319" s="24" t="str">
        <x:v>电缆冗余</x:v>
      </x:c>
      <x:c r="E319" s="24" t="str">
        <x:v>实际支持时，冗余链路断开、恢复或冗余能力耗尽后的通信、运动和诊断表现；记录所需主站、布线及从站限制</x:v>
      </x:c>
      <x:c r="F319" s="21" t="str">
        <x:v>☐ 未测试</x:v>
      </x:c>
      <x:c r="G319" s="21" t="str">
        <x:v>☐ 未测试</x:v>
      </x:c>
      <x:c r="H319" s="21" t="str">
        <x:v>☐ 未测试</x:v>
      </x:c>
      <x:c r="I319" s="21" t="str">
        <x:v>☐ 未测试</x:v>
      </x:c>
      <x:c r="J319" s="21" t="str">
        <x:v>☐ 未测试</x:v>
      </x:c>
    </x:row>
    <x:row r="320" ht="51" customHeight="1">
      <x:c r="A320" s="22" t="str">
        <x:v>欧姆龙</x:v>
      </x:c>
      <x:c r="B320" s="22" t="str">
        <x:v>运动监控、限幅与辅助I/O</x:v>
      </x:c>
      <x:c r="C320" s="22" t="str">
        <x:v>R01</x:v>
      </x:c>
      <x:c r="D320" s="22" t="str">
        <x:v>到位、速度达到与零速判断</x:v>
      </x:c>
      <x:c r="E320" s="22" t="str">
        <x:v>实际支持的位置/速度窗口、持续时间、零速阈值及状态反馈；驱动达到标志、PLC功能块完成和实际机械状态如何对应，各模式含义是否不同</x:v>
      </x:c>
      <x:c r="F320" s="23" t="str">
        <x:v>☐ 未测试</x:v>
      </x:c>
      <x:c r="G320" s="23" t="str">
        <x:v>☐ 未测试</x:v>
      </x:c>
      <x:c r="H320" s="23" t="str">
        <x:v>☐ 未测试</x:v>
      </x:c>
      <x:c r="I320" s="23" t="str">
        <x:v>☐ 未测试</x:v>
      </x:c>
      <x:c r="J320" s="23" t="str">
        <x:v>☐ 未测试</x:v>
      </x:c>
    </x:row>
    <x:row r="321" ht="51" customHeight="1">
      <x:c r="A321" s="24" t="str">
        <x:v>欧姆龙</x:v>
      </x:c>
      <x:c r="B321" s="24" t="str">
        <x:v>运动监控、限幅与辅助I/O</x:v>
      </x:c>
      <x:c r="C321" s="24" t="str">
        <x:v>R02</x:v>
      </x:c>
      <x:c r="D321" s="24" t="str">
        <x:v>跟随误差监控</x:v>
      </x:c>
      <x:c r="E321" s="24" t="str">
        <x:v>误差来源、窗口/超时参数、启用条件及支持模式，超限时的报警/停止与恢复；PLC监控和驱动监控分别设置或同时启用时的行为</x:v>
      </x:c>
      <x:c r="F321" s="21" t="str">
        <x:v>☐ 未测试</x:v>
      </x:c>
      <x:c r="G321" s="21" t="str">
        <x:v>☐ 未测试</x:v>
      </x:c>
      <x:c r="H321" s="21" t="str">
        <x:v>☐ 未测试</x:v>
      </x:c>
      <x:c r="I321" s="21" t="str">
        <x:v>☐ 未测试</x:v>
      </x:c>
      <x:c r="J321" s="21" t="str">
        <x:v>☐ 未测试</x:v>
      </x:c>
    </x:row>
    <x:row r="322" ht="51" customHeight="1">
      <x:c r="A322" s="19" t="str">
        <x:v>欧姆龙</x:v>
      </x:c>
      <x:c r="B322" s="19" t="str">
        <x:v>运动监控、限幅与辅助I/O</x:v>
      </x:c>
      <x:c r="C322" s="19" t="str">
        <x:v>R03</x:v>
      </x:c>
      <x:c r="D322" s="19" t="str">
        <x:v>速度限制</x:v>
      </x:c>
      <x:c r="E322" s="19" t="str">
        <x:v>正负方向、不同模式下的限速范围和生效条件，超出限值的目标及实际超速如何处理，限幅/超速反馈能否经EtherCAT获得</x:v>
      </x:c>
      <x:c r="F322" s="21" t="str">
        <x:v>☐ 未测试</x:v>
      </x:c>
      <x:c r="G322" s="21" t="str">
        <x:v>☐ 未测试</x:v>
      </x:c>
      <x:c r="H322" s="21" t="str">
        <x:v>☐ 未测试</x:v>
      </x:c>
      <x:c r="I322" s="21" t="str">
        <x:v>☐ 未测试</x:v>
      </x:c>
      <x:c r="J322" s="21" t="str">
        <x:v>☐ 未测试</x:v>
      </x:c>
    </x:row>
    <x:row r="323" ht="51" customHeight="1">
      <x:c r="A323" s="24" t="str">
        <x:v>欧姆龙</x:v>
      </x:c>
      <x:c r="B323" s="24" t="str">
        <x:v>运动监控、限幅与辅助I/O</x:v>
      </x:c>
      <x:c r="C323" s="24" t="str">
        <x:v>R04</x:v>
      </x:c>
      <x:c r="D323" s="24" t="str">
        <x:v>转矩限制</x:v>
      </x:c>
      <x:c r="E323" s="24" t="str">
        <x:v>正负限矩、运行中调整及多种限值同时存在时的实际作用，触及限制后的运动/状态反馈及退出表现；分别记录转矩模式与位置/速度模式</x:v>
      </x:c>
      <x:c r="F323" s="21" t="str">
        <x:v>☐ 未测试</x:v>
      </x:c>
      <x:c r="G323" s="21" t="str">
        <x:v>☐ 未测试</x:v>
      </x:c>
      <x:c r="H323" s="21" t="str">
        <x:v>☐ 未测试</x:v>
      </x:c>
      <x:c r="I323" s="21" t="str">
        <x:v>☐ 未测试</x:v>
      </x:c>
      <x:c r="J323" s="21" t="str">
        <x:v>☐ 未测试</x:v>
      </x:c>
    </x:row>
    <x:row r="324" ht="51" customHeight="1">
      <x:c r="A324" s="19" t="str">
        <x:v>欧姆龙</x:v>
      </x:c>
      <x:c r="B324" s="19" t="str">
        <x:v>运动监控、限幅与辅助I/O</x:v>
      </x:c>
      <x:c r="C324" s="19" t="str">
        <x:v>R05</x:v>
      </x:c>
      <x:c r="D324" s="19" t="str">
        <x:v>通用数字输入</x:v>
      </x:c>
      <x:c r="E324" s="19" t="str">
        <x:v>除已覆盖的原点/限位/锁存外，驱动端输入能否作为PLC可读I/O，支持的功能分配、极性/滤波及响应表现；专用功能占用时的限制</x:v>
      </x:c>
      <x:c r="F324" s="21" t="str">
        <x:v>☐ 未测试</x:v>
      </x:c>
      <x:c r="G324" s="21" t="str">
        <x:v>☐ 未测试</x:v>
      </x:c>
      <x:c r="H324" s="21" t="str">
        <x:v>☐ 未测试</x:v>
      </x:c>
      <x:c r="I324" s="21" t="str">
        <x:v>☐ 未测试</x:v>
      </x:c>
      <x:c r="J324" s="21" t="str">
        <x:v>☐ 未测试</x:v>
      </x:c>
    </x:row>
    <x:row r="325" ht="51" customHeight="1">
      <x:c r="A325" s="24" t="str">
        <x:v>欧姆龙</x:v>
      </x:c>
      <x:c r="B325" s="24" t="str">
        <x:v>运动监控、限幅与辅助I/O</x:v>
      </x:c>
      <x:c r="C325" s="24" t="str">
        <x:v>R06</x:v>
      </x:c>
      <x:c r="D325" s="24" t="str">
        <x:v>通用数字输出</x:v>
      </x:c>
      <x:c r="E325" s="24" t="str">
        <x:v>PLC经EtherCAT控制驱动端输出的能力、输出与驱动内部功能的归属，启动/撤使能/故障/断线后的真实端子状态及保持规则</x:v>
      </x:c>
      <x:c r="F325" s="21" t="str">
        <x:v>☐ 未测试</x:v>
      </x:c>
      <x:c r="G325" s="21" t="str">
        <x:v>☐ 未测试</x:v>
      </x:c>
      <x:c r="H325" s="21" t="str">
        <x:v>☐ 未测试</x:v>
      </x:c>
      <x:c r="I325" s="21" t="str">
        <x:v>☐ 未测试</x:v>
      </x:c>
      <x:c r="J325" s="21" t="str">
        <x:v>☐ 未测试</x:v>
      </x:c>
    </x:row>
    <x:row r="326" ht="51" customHeight="1">
      <x:c r="A326" s="19" t="str">
        <x:v>欧姆龙</x:v>
      </x:c>
      <x:c r="B326" s="19" t="str">
        <x:v>运动监控、限幅与辅助I/O</x:v>
      </x:c>
      <x:c r="C326" s="19" t="str">
        <x:v>R07</x:v>
      </x:c>
      <x:c r="D326" s="19" t="str">
        <x:v>模拟量输入与输出</x:v>
      </x:c>
      <x:c r="E326" s="19" t="str">
        <x:v>实际具备的通道能否经EtherCAT读取/设定，量程、单位、分辨率、刷新及饱和表现；内部功能占用或通信中断后的行为</x:v>
      </x:c>
      <x:c r="F326" s="21" t="str">
        <x:v>☐ 未测试</x:v>
      </x:c>
      <x:c r="G326" s="21" t="str">
        <x:v>☐ 未测试</x:v>
      </x:c>
      <x:c r="H326" s="21" t="str">
        <x:v>☐ 未测试</x:v>
      </x:c>
      <x:c r="I326" s="21" t="str">
        <x:v>☐ 未测试</x:v>
      </x:c>
      <x:c r="J326" s="21" t="str">
        <x:v>☐ 未测试</x:v>
      </x:c>
    </x:row>
    <x:row r="327" ht="52.5" customHeight="1">
      <x:c r="A327" s="24" t="str">
        <x:v>欧姆龙</x:v>
      </x:c>
      <x:c r="B327" s="24" t="str">
        <x:v>运动监控、限幅与辅助I/O</x:v>
      </x:c>
      <x:c r="C327" s="24" t="str">
        <x:v>R08</x:v>
      </x:c>
      <x:c r="D327" s="24" t="str">
        <x:v>抱闸控制与反馈</x:v>
      </x:c>
      <x:c r="E327" s="24" t="str">
        <x:v>EtherCAT使能/停机命令与自动抱闸时序的联动；实际支持的手动松闸/强制控制入口、允许条件、故障/断线时表现，以及反馈代表输出命令还是实测闸状态</x:v>
      </x:c>
      <x:c r="F327" s="21" t="str">
        <x:v>☐ 未测试</x:v>
      </x:c>
      <x:c r="G327" s="21" t="str">
        <x:v>☐ 未测试</x:v>
      </x:c>
      <x:c r="H327" s="21" t="str">
        <x:v>☐ 未测试</x:v>
      </x:c>
      <x:c r="I327" s="21" t="str">
        <x:v>☐ 未测试</x:v>
      </x:c>
      <x:c r="J327" s="21" t="str">
        <x:v>☐ 未测试</x:v>
      </x:c>
    </x:row>
  </x:sheetData>
  <x:conditionalFormatting sqref="F10:J327">
    <x:cfRule type="containsText" dxfId="0" priority="1" operator="containsText" text="阻塞"/>
    <x:cfRule type="containsText" dxfId="1" priority="2" operator="containsText" text="部分实测"/>
    <x:cfRule type="containsText" dxfId="2" priority="3" operator="containsText" text="不适用"/>
    <x:cfRule type="containsText" dxfId="3" priority="4" operator="containsText" text="已实测"/>
  </x:conditionalFormatting>
  <x:dataValidations count="1">
    <x:dataValidation type="list" sqref="F10:J327">
      <x:formula1>"☐ 未测试,◐ 部分实测,☑ 已实测,— 不适用,△ 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a19dacfc3b408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4.5" hidden="0" customWidth="1"/>
    <x:col min="4" max="4" width="16" hidden="0" customWidth="1"/>
    <x:col min="5" max="5" width="9.5" hidden="0" customWidth="1"/>
    <x:col min="6" max="6" width="35.630001068115234" hidden="0" customWidth="1"/>
    <x:col min="7" max="7" width="37.5" hidden="0" customWidth="1"/>
    <x:col min="8" max="8" width="13.130000114440918" hidden="0" customWidth="1"/>
    <x:col min="9" max="9" width="33.75" hidden="0" customWidth="1"/>
    <x:col min="10" max="10" width="13.130000114440918" hidden="0" customWidth="1"/>
    <x:col min="11" max="11" width="13.75" hidden="0" customWidth="1"/>
    <x:col min="12" max="12" width="45" hidden="0" customWidth="1"/>
    <x:col min="13" max="13" width="13.130000114440918" hidden="0" customWidth="1"/>
    <x:col min="14" max="14" width="15.630000114440918" hidden="0" customWidth="1"/>
    <x:col min="15" max="15" width="14.380000114440918" hidden="0" customWidth="1"/>
    <x:col min="16" max="16" width="35" hidden="0" customWidth="1"/>
    <x:col min="17" max="17" width="32.5" hidden="0" customWidth="1"/>
    <x:col min="18" max="18" width="21.25" hidden="0" customWidth="1"/>
    <x:col min="19" max="19" width="13.75" hidden="0" customWidth="1"/>
    <x:col min="20" max="20" width="15" hidden="0" customWidth="1"/>
    <x:col min="21" max="21" width="21.2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5.5" customHeight="1">
      <x:c r="A2" s="3" t="str">
        <x:v>路径与实测记录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21" customHeight="1">
      <x:c r="A4" s="5" t="str">
        <x:v>每行对应一个设备组合、功能、路径组合和覆盖分支。预留行尚未展开；新增路径或复测请追加独立记录。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1" customHeight="1">
      <x:c r="A5" s="5" t="str">
        <x:v>黄色为填写区，灰色为自动字段。路径可填写E01＋E03＋E04＋E06，并说明实际入口；覆盖分支关联测试条件编号。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1" customHeight="1">
      <x:c r="A6" s="5" t="str">
        <x:v>同一组合/功能任选一条主记录确认路径清单已列全，填写确认人和日期；各分支全部完成后才勾主表。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1" customHeight="1">
      <x:c r="A7" s="5" t="str">
        <x:v>记录齐全只检查必要字段，不等于功能通过或全部路径测完。日期填写Excel日期；不适用和阻塞必须留原因。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21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33" customHeight="1">
      <x:c r="A9" s="16" t="str">
        <x:v>记录编号</x:v>
      </x:c>
      <x:c r="B9" s="17" t="str">
        <x:v>设备组合编号</x:v>
      </x:c>
      <x:c r="C9" s="17" t="str">
        <x:v>PLC组（自动）</x:v>
      </x:c>
      <x:c r="D9" s="17" t="str">
        <x:v>品牌（自动）</x:v>
      </x:c>
      <x:c r="E9" s="17" t="str">
        <x:v>功能编号</x:v>
      </x:c>
      <x:c r="F9" s="17" t="str">
        <x:v>使用路径组合/实际入口</x:v>
      </x:c>
      <x:c r="G9" s="17" t="str">
        <x:v>覆盖分支/条件编号</x:v>
      </x:c>
      <x:c r="H9" s="17" t="str">
        <x:v>适用性</x:v>
      </x:c>
      <x:c r="I9" s="17" t="str">
        <x:v>适用性依据/阻塞原因</x:v>
      </x:c>
      <x:c r="J9" s="17" t="str">
        <x:v>执行状态</x:v>
      </x:c>
      <x:c r="K9" s="17" t="str">
        <x:v>能力结果</x:v>
      </x:c>
      <x:c r="L9" s="17" t="str">
        <x:v>实际表现/数值/限制</x:v>
      </x:c>
      <x:c r="M9" s="17" t="str">
        <x:v>测试人</x:v>
      </x:c>
      <x:c r="N9" s="17" t="str">
        <x:v>岗位</x:v>
      </x:c>
      <x:c r="O9" s="17" t="str">
        <x:v>测试日期</x:v>
      </x:c>
      <x:c r="P9" s="17" t="str">
        <x:v>证据链接/文件编号</x:v>
      </x:c>
      <x:c r="Q9" s="17" t="str">
        <x:v>遗留问题/复测关联</x:v>
      </x:c>
      <x:c r="R9" s="17" t="str">
        <x:v>本组合本功能路径清单</x:v>
      </x:c>
      <x:c r="S9" s="17" t="str">
        <x:v>清单确认人</x:v>
      </x:c>
      <x:c r="T9" s="17" t="str">
        <x:v>清单确认日期</x:v>
      </x:c>
      <x:c r="U9" s="18" t="str">
        <x:v>记录检查（自动）</x:v>
      </x:c>
    </x:row>
    <x:row r="10" ht="43.5" customHeight="1">
      <x:c r="A10" s="20" t="str">
        <x:v>REC-00001</x:v>
      </x:c>
      <x:c r="B10" s="20" t="str">
        <x:v>P1-B1-01</x:v>
      </x:c>
      <x:c r="C10" s="30" t="str">
        <x:f>IF(B10="","",IF(COUNTIFS(Equipment[组合编号],B10)&lt;&gt;1,"组合编号无效",INDEX(Equipment[PLC组],MATCH(B10,Equipment[组合编号],0))))</x:f>
        <x:v>汇川小型</x:v>
      </x:c>
      <x:c r="D10" s="30" t="str">
        <x:f>IF(B10="","",IF(COUNTIFS(Equipment[组合编号],B10)&lt;&gt;1,"组合编号无效",INDEX(Equipment[驱动品牌],MATCH(B10,Equipment[组合编号],0))))</x:f>
        <x:v>CDHD</x:v>
      </x:c>
      <x:c r="E10" s="20" t="str">
        <x:v>M01</x:v>
      </x:c>
      <x:c r="F10" s="20"/>
      <x:c r="G10" s="20"/>
      <x:c r="H10" s="20" t="str">
        <x:v>待判定</x:v>
      </x:c>
      <x:c r="I10" s="20"/>
      <x:c r="J10" s="20" t="str">
        <x:v>未测试</x:v>
      </x:c>
      <x:c r="K10" s="20"/>
      <x:c r="L10" s="20"/>
      <x:c r="M10" s="20"/>
      <x:c r="N10" s="20"/>
      <x:c r="O10" s="31"/>
      <x:c r="P10" s="20"/>
      <x:c r="Q10" s="20"/>
      <x:c r="R10" s="20" t="str">
        <x:v>待展开</x:v>
      </x:c>
      <x:c r="S10" s="20"/>
      <x:c r="T10" s="31"/>
      <x:c r="U10" s="30" t="str">
        <x:f>IF(A10="","缺记录编号",IF(COUNTIFS(PathRecords[记录编号],A10)&lt;&gt;1,"记录编号重复",IF(OR(B10="",E10=""),"缺组合/功能",IF(COUNTIFS(Equipment[组合编号],B10)&lt;&gt;1,"组合编号无效",IF(COUNTIFS(FunctionMatrix[编号],E10)=0,"功能编号无效",IF(H10="不适用",IF(J10="已实测","适用性冲突",IF(I10="","待补不适用依据","不适用（非实测）")),IF(J10="阻塞",IF(I10="","待补阻塞原因","阻塞（非实测）"),IF(J10&lt;&gt;"已实测",IF(F10="","待展开路径","未实测"),IF(H10&lt;&gt;"适用","待确认适用性",IF(INDEX(Equipment[登记状态（自动）],MATCH(B10,Equipment[组合编号],0))&lt;&gt;"已登记","待补设备组合",IF(AND(F10&lt;&gt;"",G10&lt;&gt;"",K10&lt;&gt;"",L10&lt;&gt;"",M10&lt;&gt;"",N10&lt;&gt;"",ISNUMBER(O10),O10&gt;0,P10&lt;&gt;""),"记录齐全","待补实测记录")))))))))))</x:f>
        <x:v>待展开路径</x:v>
      </x:c>
    </x:row>
    <x:row r="11" ht="43.5" customHeight="1">
      <x:c r="A11" s="20" t="str">
        <x:v>REC-00002</x:v>
      </x:c>
      <x:c r="B11" s="20" t="str">
        <x:v>P1-B1-01</x:v>
      </x:c>
      <x:c r="C11" s="30" t="str">
        <x:f>IF(B11="","",IF(COUNTIFS(Equipment[组合编号],B11)&lt;&gt;1,"组合编号无效",INDEX(Equipment[PLC组],MATCH(B11,Equipment[组合编号],0))))</x:f>
        <x:v>汇川小型</x:v>
      </x:c>
      <x:c r="D11" s="30" t="str">
        <x:f>IF(B11="","",IF(COUNTIFS(Equipment[组合编号],B11)&lt;&gt;1,"组合编号无效",INDEX(Equipment[驱动品牌],MATCH(B11,Equipment[组合编号],0))))</x:f>
        <x:v>CDHD</x:v>
      </x:c>
      <x:c r="E11" s="20" t="str">
        <x:v>M02</x:v>
      </x:c>
      <x:c r="F11" s="20"/>
      <x:c r="G11" s="20"/>
      <x:c r="H11" s="20" t="str">
        <x:v>待判定</x:v>
      </x:c>
      <x:c r="I11" s="20"/>
      <x:c r="J11" s="20" t="str">
        <x:v>未测试</x:v>
      </x:c>
      <x:c r="K11" s="20"/>
      <x:c r="L11" s="20"/>
      <x:c r="M11" s="20"/>
      <x:c r="N11" s="20"/>
      <x:c r="O11" s="31"/>
      <x:c r="P11" s="20"/>
      <x:c r="Q11" s="20"/>
      <x:c r="R11" s="20" t="str">
        <x:v>待展开</x:v>
      </x:c>
      <x:c r="S11" s="20"/>
      <x:c r="T11" s="31"/>
      <x:c r="U11" s="30" t="str">
        <x:f>IF(A11="","缺记录编号",IF(COUNTIFS(PathRecords[记录编号],A11)&lt;&gt;1,"记录编号重复",IF(OR(B11="",E11=""),"缺组合/功能",IF(COUNTIFS(Equipment[组合编号],B11)&lt;&gt;1,"组合编号无效",IF(COUNTIFS(FunctionMatrix[编号],E11)=0,"功能编号无效",IF(H11="不适用",IF(J11="已实测","适用性冲突",IF(I11="","待补不适用依据","不适用（非实测）")),IF(J11="阻塞",IF(I11="","待补阻塞原因","阻塞（非实测）"),IF(J11&lt;&gt;"已实测",IF(F11="","待展开路径","未实测"),IF(H11&lt;&gt;"适用","待确认适用性",IF(INDEX(Equipment[登记状态（自动）],MATCH(B11,Equipment[组合编号],0))&lt;&gt;"已登记","待补设备组合",IF(AND(F11&lt;&gt;"",G11&lt;&gt;"",K11&lt;&gt;"",L11&lt;&gt;"",M11&lt;&gt;"",N11&lt;&gt;"",ISNUMBER(O11),O11&gt;0,P11&lt;&gt;""),"记录齐全","待补实测记录")))))))))))</x:f>
        <x:v>待展开路径</x:v>
      </x:c>
    </x:row>
    <x:row r="12" ht="43.5" customHeight="1">
      <x:c r="A12" s="20" t="str">
        <x:v>REC-00003</x:v>
      </x:c>
      <x:c r="B12" s="20" t="str">
        <x:v>P1-B1-01</x:v>
      </x:c>
      <x:c r="C12" s="30" t="str">
        <x:f>IF(B12="","",IF(COUNTIFS(Equipment[组合编号],B12)&lt;&gt;1,"组合编号无效",INDEX(Equipment[PLC组],MATCH(B12,Equipment[组合编号],0))))</x:f>
        <x:v>汇川小型</x:v>
      </x:c>
      <x:c r="D12" s="30" t="str">
        <x:f>IF(B12="","",IF(COUNTIFS(Equipment[组合编号],B12)&lt;&gt;1,"组合编号无效",INDEX(Equipment[驱动品牌],MATCH(B12,Equipment[组合编号],0))))</x:f>
        <x:v>CDHD</x:v>
      </x:c>
      <x:c r="E12" s="20" t="str">
        <x:v>M03</x:v>
      </x:c>
      <x:c r="F12" s="20"/>
      <x:c r="G12" s="20"/>
      <x:c r="H12" s="20" t="str">
        <x:v>待判定</x:v>
      </x:c>
      <x:c r="I12" s="20"/>
      <x:c r="J12" s="20" t="str">
        <x:v>未测试</x:v>
      </x:c>
      <x:c r="K12" s="20"/>
      <x:c r="L12" s="20"/>
      <x:c r="M12" s="20"/>
      <x:c r="N12" s="20"/>
      <x:c r="O12" s="31"/>
      <x:c r="P12" s="20"/>
      <x:c r="Q12" s="20"/>
      <x:c r="R12" s="20" t="str">
        <x:v>待展开</x:v>
      </x:c>
      <x:c r="S12" s="20"/>
      <x:c r="T12" s="31"/>
      <x:c r="U12" s="30" t="str">
        <x:f>IF(A12="","缺记录编号",IF(COUNTIFS(PathRecords[记录编号],A12)&lt;&gt;1,"记录编号重复",IF(OR(B12="",E12=""),"缺组合/功能",IF(COUNTIFS(Equipment[组合编号],B12)&lt;&gt;1,"组合编号无效",IF(COUNTIFS(FunctionMatrix[编号],E12)=0,"功能编号无效",IF(H12="不适用",IF(J12="已实测","适用性冲突",IF(I12="","待补不适用依据","不适用（非实测）")),IF(J12="阻塞",IF(I12="","待补阻塞原因","阻塞（非实测）"),IF(J12&lt;&gt;"已实测",IF(F12="","待展开路径","未实测"),IF(H12&lt;&gt;"适用","待确认适用性",IF(INDEX(Equipment[登记状态（自动）],MATCH(B12,Equipment[组合编号],0))&lt;&gt;"已登记","待补设备组合",IF(AND(F12&lt;&gt;"",G12&lt;&gt;"",K12&lt;&gt;"",L12&lt;&gt;"",M12&lt;&gt;"",N12&lt;&gt;"",ISNUMBER(O12),O12&gt;0,P12&lt;&gt;""),"记录齐全","待补实测记录")))))))))))</x:f>
        <x:v>待展开路径</x:v>
      </x:c>
    </x:row>
    <x:row r="13" ht="43.5" customHeight="1">
      <x:c r="A13" s="20" t="str">
        <x:v>REC-00004</x:v>
      </x:c>
      <x:c r="B13" s="20" t="str">
        <x:v>P1-B1-01</x:v>
      </x:c>
      <x:c r="C13" s="30" t="str">
        <x:f>IF(B13="","",IF(COUNTIFS(Equipment[组合编号],B13)&lt;&gt;1,"组合编号无效",INDEX(Equipment[PLC组],MATCH(B13,Equipment[组合编号],0))))</x:f>
        <x:v>汇川小型</x:v>
      </x:c>
      <x:c r="D13" s="30" t="str">
        <x:f>IF(B13="","",IF(COUNTIFS(Equipment[组合编号],B13)&lt;&gt;1,"组合编号无效",INDEX(Equipment[驱动品牌],MATCH(B13,Equipment[组合编号],0))))</x:f>
        <x:v>CDHD</x:v>
      </x:c>
      <x:c r="E13" s="20" t="str">
        <x:v>M04</x:v>
      </x:c>
      <x:c r="F13" s="20"/>
      <x:c r="G13" s="20"/>
      <x:c r="H13" s="20" t="str">
        <x:v>待判定</x:v>
      </x:c>
      <x:c r="I13" s="20"/>
      <x:c r="J13" s="20" t="str">
        <x:v>未测试</x:v>
      </x:c>
      <x:c r="K13" s="20"/>
      <x:c r="L13" s="20"/>
      <x:c r="M13" s="20"/>
      <x:c r="N13" s="20"/>
      <x:c r="O13" s="31"/>
      <x:c r="P13" s="20"/>
      <x:c r="Q13" s="20"/>
      <x:c r="R13" s="20" t="str">
        <x:v>待展开</x:v>
      </x:c>
      <x:c r="S13" s="20"/>
      <x:c r="T13" s="31"/>
      <x:c r="U13" s="30" t="str">
        <x:f>IF(A13="","缺记录编号",IF(COUNTIFS(PathRecords[记录编号],A13)&lt;&gt;1,"记录编号重复",IF(OR(B13="",E13=""),"缺组合/功能",IF(COUNTIFS(Equipment[组合编号],B13)&lt;&gt;1,"组合编号无效",IF(COUNTIFS(FunctionMatrix[编号],E13)=0,"功能编号无效",IF(H13="不适用",IF(J13="已实测","适用性冲突",IF(I13="","待补不适用依据","不适用（非实测）")),IF(J13="阻塞",IF(I13="","待补阻塞原因","阻塞（非实测）"),IF(J13&lt;&gt;"已实测",IF(F13="","待展开路径","未实测"),IF(H13&lt;&gt;"适用","待确认适用性",IF(INDEX(Equipment[登记状态（自动）],MATCH(B13,Equipment[组合编号],0))&lt;&gt;"已登记","待补设备组合",IF(AND(F13&lt;&gt;"",G13&lt;&gt;"",K13&lt;&gt;"",L13&lt;&gt;"",M13&lt;&gt;"",N13&lt;&gt;"",ISNUMBER(O13),O13&gt;0,P13&lt;&gt;""),"记录齐全","待补实测记录")))))))))))</x:f>
        <x:v>待展开路径</x:v>
      </x:c>
    </x:row>
    <x:row r="14" ht="43.5" customHeight="1">
      <x:c r="A14" s="20" t="str">
        <x:v>REC-00005</x:v>
      </x:c>
      <x:c r="B14" s="20" t="str">
        <x:v>P1-B1-01</x:v>
      </x:c>
      <x:c r="C14" s="30" t="str">
        <x:f>IF(B14="","",IF(COUNTIFS(Equipment[组合编号],B14)&lt;&gt;1,"组合编号无效",INDEX(Equipment[PLC组],MATCH(B14,Equipment[组合编号],0))))</x:f>
        <x:v>汇川小型</x:v>
      </x:c>
      <x:c r="D14" s="30" t="str">
        <x:f>IF(B14="","",IF(COUNTIFS(Equipment[组合编号],B14)&lt;&gt;1,"组合编号无效",INDEX(Equipment[驱动品牌],MATCH(B14,Equipment[组合编号],0))))</x:f>
        <x:v>CDHD</x:v>
      </x:c>
      <x:c r="E14" s="20" t="str">
        <x:v>M05</x:v>
      </x:c>
      <x:c r="F14" s="20"/>
      <x:c r="G14" s="20"/>
      <x:c r="H14" s="20" t="str">
        <x:v>待判定</x:v>
      </x:c>
      <x:c r="I14" s="20"/>
      <x:c r="J14" s="20" t="str">
        <x:v>未测试</x:v>
      </x:c>
      <x:c r="K14" s="20"/>
      <x:c r="L14" s="20"/>
      <x:c r="M14" s="20"/>
      <x:c r="N14" s="20"/>
      <x:c r="O14" s="31"/>
      <x:c r="P14" s="20"/>
      <x:c r="Q14" s="20"/>
      <x:c r="R14" s="20" t="str">
        <x:v>待展开</x:v>
      </x:c>
      <x:c r="S14" s="20"/>
      <x:c r="T14" s="31"/>
      <x:c r="U14" s="30" t="str">
        <x:f>IF(A14="","缺记录编号",IF(COUNTIFS(PathRecords[记录编号],A14)&lt;&gt;1,"记录编号重复",IF(OR(B14="",E14=""),"缺组合/功能",IF(COUNTIFS(Equipment[组合编号],B14)&lt;&gt;1,"组合编号无效",IF(COUNTIFS(FunctionMatrix[编号],E14)=0,"功能编号无效",IF(H14="不适用",IF(J14="已实测","适用性冲突",IF(I14="","待补不适用依据","不适用（非实测）")),IF(J14="阻塞",IF(I14="","待补阻塞原因","阻塞（非实测）"),IF(J14&lt;&gt;"已实测",IF(F14="","待展开路径","未实测"),IF(H14&lt;&gt;"适用","待确认适用性",IF(INDEX(Equipment[登记状态（自动）],MATCH(B14,Equipment[组合编号],0))&lt;&gt;"已登记","待补设备组合",IF(AND(F14&lt;&gt;"",G14&lt;&gt;"",K14&lt;&gt;"",L14&lt;&gt;"",M14&lt;&gt;"",N14&lt;&gt;"",ISNUMBER(O14),O14&gt;0,P14&lt;&gt;""),"记录齐全","待补实测记录")))))))))))</x:f>
        <x:v>待展开路径</x:v>
      </x:c>
    </x:row>
    <x:row r="15" ht="43.5" customHeight="1">
      <x:c r="A15" s="20" t="str">
        <x:v>REC-00006</x:v>
      </x:c>
      <x:c r="B15" s="20" t="str">
        <x:v>P1-B1-01</x:v>
      </x:c>
      <x:c r="C15" s="30" t="str">
        <x:f>IF(B15="","",IF(COUNTIFS(Equipment[组合编号],B15)&lt;&gt;1,"组合编号无效",INDEX(Equipment[PLC组],MATCH(B15,Equipment[组合编号],0))))</x:f>
        <x:v>汇川小型</x:v>
      </x:c>
      <x:c r="D15" s="30" t="str">
        <x:f>IF(B15="","",IF(COUNTIFS(Equipment[组合编号],B15)&lt;&gt;1,"组合编号无效",INDEX(Equipment[驱动品牌],MATCH(B15,Equipment[组合编号],0))))</x:f>
        <x:v>CDHD</x:v>
      </x:c>
      <x:c r="E15" s="20" t="str">
        <x:v>M06</x:v>
      </x:c>
      <x:c r="F15" s="20"/>
      <x:c r="G15" s="20"/>
      <x:c r="H15" s="20" t="str">
        <x:v>待判定</x:v>
      </x:c>
      <x:c r="I15" s="20"/>
      <x:c r="J15" s="20" t="str">
        <x:v>未测试</x:v>
      </x:c>
      <x:c r="K15" s="20"/>
      <x:c r="L15" s="20"/>
      <x:c r="M15" s="20"/>
      <x:c r="N15" s="20"/>
      <x:c r="O15" s="31"/>
      <x:c r="P15" s="20"/>
      <x:c r="Q15" s="20"/>
      <x:c r="R15" s="20" t="str">
        <x:v>待展开</x:v>
      </x:c>
      <x:c r="S15" s="20"/>
      <x:c r="T15" s="31"/>
      <x:c r="U15" s="30" t="str">
        <x:f>IF(A15="","缺记录编号",IF(COUNTIFS(PathRecords[记录编号],A15)&lt;&gt;1,"记录编号重复",IF(OR(B15="",E15=""),"缺组合/功能",IF(COUNTIFS(Equipment[组合编号],B15)&lt;&gt;1,"组合编号无效",IF(COUNTIFS(FunctionMatrix[编号],E15)=0,"功能编号无效",IF(H15="不适用",IF(J15="已实测","适用性冲突",IF(I15="","待补不适用依据","不适用（非实测）")),IF(J15="阻塞",IF(I15="","待补阻塞原因","阻塞（非实测）"),IF(J15&lt;&gt;"已实测",IF(F15="","待展开路径","未实测"),IF(H15&lt;&gt;"适用","待确认适用性",IF(INDEX(Equipment[登记状态（自动）],MATCH(B15,Equipment[组合编号],0))&lt;&gt;"已登记","待补设备组合",IF(AND(F15&lt;&gt;"",G15&lt;&gt;"",K15&lt;&gt;"",L15&lt;&gt;"",M15&lt;&gt;"",N15&lt;&gt;"",ISNUMBER(O15),O15&gt;0,P15&lt;&gt;""),"记录齐全","待补实测记录")))))))))))</x:f>
        <x:v>待展开路径</x:v>
      </x:c>
    </x:row>
    <x:row r="16" ht="43.5" customHeight="1">
      <x:c r="A16" s="20" t="str">
        <x:v>REC-00007</x:v>
      </x:c>
      <x:c r="B16" s="20" t="str">
        <x:v>P1-B1-01</x:v>
      </x:c>
      <x:c r="C16" s="30" t="str">
        <x:f>IF(B16="","",IF(COUNTIFS(Equipment[组合编号],B16)&lt;&gt;1,"组合编号无效",INDEX(Equipment[PLC组],MATCH(B16,Equipment[组合编号],0))))</x:f>
        <x:v>汇川小型</x:v>
      </x:c>
      <x:c r="D16" s="30" t="str">
        <x:f>IF(B16="","",IF(COUNTIFS(Equipment[组合编号],B16)&lt;&gt;1,"组合编号无效",INDEX(Equipment[驱动品牌],MATCH(B16,Equipment[组合编号],0))))</x:f>
        <x:v>CDHD</x:v>
      </x:c>
      <x:c r="E16" s="20" t="str">
        <x:v>M07</x:v>
      </x:c>
      <x:c r="F16" s="20"/>
      <x:c r="G16" s="20"/>
      <x:c r="H16" s="20" t="str">
        <x:v>待判定</x:v>
      </x:c>
      <x:c r="I16" s="20"/>
      <x:c r="J16" s="20" t="str">
        <x:v>未测试</x:v>
      </x:c>
      <x:c r="K16" s="20"/>
      <x:c r="L16" s="20"/>
      <x:c r="M16" s="20"/>
      <x:c r="N16" s="20"/>
      <x:c r="O16" s="31"/>
      <x:c r="P16" s="20"/>
      <x:c r="Q16" s="20"/>
      <x:c r="R16" s="20" t="str">
        <x:v>待展开</x:v>
      </x:c>
      <x:c r="S16" s="20"/>
      <x:c r="T16" s="31"/>
      <x:c r="U16" s="30" t="str">
        <x:f>IF(A16="","缺记录编号",IF(COUNTIFS(PathRecords[记录编号],A16)&lt;&gt;1,"记录编号重复",IF(OR(B16="",E16=""),"缺组合/功能",IF(COUNTIFS(Equipment[组合编号],B16)&lt;&gt;1,"组合编号无效",IF(COUNTIFS(FunctionMatrix[编号],E16)=0,"功能编号无效",IF(H16="不适用",IF(J16="已实测","适用性冲突",IF(I16="","待补不适用依据","不适用（非实测）")),IF(J16="阻塞",IF(I16="","待补阻塞原因","阻塞（非实测）"),IF(J16&lt;&gt;"已实测",IF(F16="","待展开路径","未实测"),IF(H16&lt;&gt;"适用","待确认适用性",IF(INDEX(Equipment[登记状态（自动）],MATCH(B16,Equipment[组合编号],0))&lt;&gt;"已登记","待补设备组合",IF(AND(F16&lt;&gt;"",G16&lt;&gt;"",K16&lt;&gt;"",L16&lt;&gt;"",M16&lt;&gt;"",N16&lt;&gt;"",ISNUMBER(O16),O16&gt;0,P16&lt;&gt;""),"记录齐全","待补实测记录")))))))))))</x:f>
        <x:v>待展开路径</x:v>
      </x:c>
    </x:row>
    <x:row r="17" ht="43.5" customHeight="1">
      <x:c r="A17" s="20" t="str">
        <x:v>REC-00008</x:v>
      </x:c>
      <x:c r="B17" s="20" t="str">
        <x:v>P1-B1-01</x:v>
      </x:c>
      <x:c r="C17" s="30" t="str">
        <x:f>IF(B17="","",IF(COUNTIFS(Equipment[组合编号],B17)&lt;&gt;1,"组合编号无效",INDEX(Equipment[PLC组],MATCH(B17,Equipment[组合编号],0))))</x:f>
        <x:v>汇川小型</x:v>
      </x:c>
      <x:c r="D17" s="30" t="str">
        <x:f>IF(B17="","",IF(COUNTIFS(Equipment[组合编号],B17)&lt;&gt;1,"组合编号无效",INDEX(Equipment[驱动品牌],MATCH(B17,Equipment[组合编号],0))))</x:f>
        <x:v>CDHD</x:v>
      </x:c>
      <x:c r="E17" s="20" t="str">
        <x:v>M09</x:v>
      </x:c>
      <x:c r="F17" s="20"/>
      <x:c r="G17" s="20"/>
      <x:c r="H17" s="20" t="str">
        <x:v>待判定</x:v>
      </x:c>
      <x:c r="I17" s="20"/>
      <x:c r="J17" s="20" t="str">
        <x:v>未测试</x:v>
      </x:c>
      <x:c r="K17" s="20"/>
      <x:c r="L17" s="20"/>
      <x:c r="M17" s="20"/>
      <x:c r="N17" s="20"/>
      <x:c r="O17" s="31"/>
      <x:c r="P17" s="20"/>
      <x:c r="Q17" s="20"/>
      <x:c r="R17" s="20" t="str">
        <x:v>待展开</x:v>
      </x:c>
      <x:c r="S17" s="20"/>
      <x:c r="T17" s="31"/>
      <x:c r="U17" s="30" t="str">
        <x:f>IF(A17="","缺记录编号",IF(COUNTIFS(PathRecords[记录编号],A17)&lt;&gt;1,"记录编号重复",IF(OR(B17="",E17=""),"缺组合/功能",IF(COUNTIFS(Equipment[组合编号],B17)&lt;&gt;1,"组合编号无效",IF(COUNTIFS(FunctionMatrix[编号],E17)=0,"功能编号无效",IF(H17="不适用",IF(J17="已实测","适用性冲突",IF(I17="","待补不适用依据","不适用（非实测）")),IF(J17="阻塞",IF(I17="","待补阻塞原因","阻塞（非实测）"),IF(J17&lt;&gt;"已实测",IF(F17="","待展开路径","未实测"),IF(H17&lt;&gt;"适用","待确认适用性",IF(INDEX(Equipment[登记状态（自动）],MATCH(B17,Equipment[组合编号],0))&lt;&gt;"已登记","待补设备组合",IF(AND(F17&lt;&gt;"",G17&lt;&gt;"",K17&lt;&gt;"",L17&lt;&gt;"",M17&lt;&gt;"",N17&lt;&gt;"",ISNUMBER(O17),O17&gt;0,P17&lt;&gt;""),"记录齐全","待补实测记录")))))))))))</x:f>
        <x:v>待展开路径</x:v>
      </x:c>
    </x:row>
    <x:row r="18" ht="43.5" customHeight="1">
      <x:c r="A18" s="20" t="str">
        <x:v>REC-00009</x:v>
      </x:c>
      <x:c r="B18" s="20" t="str">
        <x:v>P1-B1-01</x:v>
      </x:c>
      <x:c r="C18" s="30" t="str">
        <x:f>IF(B18="","",IF(COUNTIFS(Equipment[组合编号],B18)&lt;&gt;1,"组合编号无效",INDEX(Equipment[PLC组],MATCH(B18,Equipment[组合编号],0))))</x:f>
        <x:v>汇川小型</x:v>
      </x:c>
      <x:c r="D18" s="30" t="str">
        <x:f>IF(B18="","",IF(COUNTIFS(Equipment[组合编号],B18)&lt;&gt;1,"组合编号无效",INDEX(Equipment[驱动品牌],MATCH(B18,Equipment[组合编号],0))))</x:f>
        <x:v>CDHD</x:v>
      </x:c>
      <x:c r="E18" s="20" t="str">
        <x:v>M10</x:v>
      </x:c>
      <x:c r="F18" s="20"/>
      <x:c r="G18" s="20"/>
      <x:c r="H18" s="20" t="str">
        <x:v>待判定</x:v>
      </x:c>
      <x:c r="I18" s="20"/>
      <x:c r="J18" s="20" t="str">
        <x:v>未测试</x:v>
      </x:c>
      <x:c r="K18" s="20"/>
      <x:c r="L18" s="20"/>
      <x:c r="M18" s="20"/>
      <x:c r="N18" s="20"/>
      <x:c r="O18" s="31"/>
      <x:c r="P18" s="20"/>
      <x:c r="Q18" s="20"/>
      <x:c r="R18" s="20" t="str">
        <x:v>待展开</x:v>
      </x:c>
      <x:c r="S18" s="20"/>
      <x:c r="T18" s="31"/>
      <x:c r="U18" s="30" t="str">
        <x:f>IF(A18="","缺记录编号",IF(COUNTIFS(PathRecords[记录编号],A18)&lt;&gt;1,"记录编号重复",IF(OR(B18="",E18=""),"缺组合/功能",IF(COUNTIFS(Equipment[组合编号],B18)&lt;&gt;1,"组合编号无效",IF(COUNTIFS(FunctionMatrix[编号],E18)=0,"功能编号无效",IF(H18="不适用",IF(J18="已实测","适用性冲突",IF(I18="","待补不适用依据","不适用（非实测）")),IF(J18="阻塞",IF(I18="","待补阻塞原因","阻塞（非实测）"),IF(J18&lt;&gt;"已实测",IF(F18="","待展开路径","未实测"),IF(H18&lt;&gt;"适用","待确认适用性",IF(INDEX(Equipment[登记状态（自动）],MATCH(B18,Equipment[组合编号],0))&lt;&gt;"已登记","待补设备组合",IF(AND(F18&lt;&gt;"",G18&lt;&gt;"",K18&lt;&gt;"",L18&lt;&gt;"",M18&lt;&gt;"",N18&lt;&gt;"",ISNUMBER(O18),O18&gt;0,P18&lt;&gt;""),"记录齐全","待补实测记录")))))))))))</x:f>
        <x:v>待展开路径</x:v>
      </x:c>
    </x:row>
    <x:row r="19" ht="43.5" customHeight="1">
      <x:c r="A19" s="20" t="str">
        <x:v>REC-00010</x:v>
      </x:c>
      <x:c r="B19" s="20" t="str">
        <x:v>P1-B1-01</x:v>
      </x:c>
      <x:c r="C19" s="30" t="str">
        <x:f>IF(B19="","",IF(COUNTIFS(Equipment[组合编号],B19)&lt;&gt;1,"组合编号无效",INDEX(Equipment[PLC组],MATCH(B19,Equipment[组合编号],0))))</x:f>
        <x:v>汇川小型</x:v>
      </x:c>
      <x:c r="D19" s="30" t="str">
        <x:f>IF(B19="","",IF(COUNTIFS(Equipment[组合编号],B19)&lt;&gt;1,"组合编号无效",INDEX(Equipment[驱动品牌],MATCH(B19,Equipment[组合编号],0))))</x:f>
        <x:v>CDHD</x:v>
      </x:c>
      <x:c r="E19" s="20" t="str">
        <x:v>D01</x:v>
      </x:c>
      <x:c r="F19" s="20"/>
      <x:c r="G19" s="20"/>
      <x:c r="H19" s="20" t="str">
        <x:v>待判定</x:v>
      </x:c>
      <x:c r="I19" s="20"/>
      <x:c r="J19" s="20" t="str">
        <x:v>未测试</x:v>
      </x:c>
      <x:c r="K19" s="20"/>
      <x:c r="L19" s="20"/>
      <x:c r="M19" s="20"/>
      <x:c r="N19" s="20"/>
      <x:c r="O19" s="31"/>
      <x:c r="P19" s="20"/>
      <x:c r="Q19" s="20"/>
      <x:c r="R19" s="20" t="str">
        <x:v>待展开</x:v>
      </x:c>
      <x:c r="S19" s="20"/>
      <x:c r="T19" s="31"/>
      <x:c r="U19" s="30" t="str">
        <x:f>IF(A19="","缺记录编号",IF(COUNTIFS(PathRecords[记录编号],A19)&lt;&gt;1,"记录编号重复",IF(OR(B19="",E19=""),"缺组合/功能",IF(COUNTIFS(Equipment[组合编号],B19)&lt;&gt;1,"组合编号无效",IF(COUNTIFS(FunctionMatrix[编号],E19)=0,"功能编号无效",IF(H19="不适用",IF(J19="已实测","适用性冲突",IF(I19="","待补不适用依据","不适用（非实测）")),IF(J19="阻塞",IF(I19="","待补阻塞原因","阻塞（非实测）"),IF(J19&lt;&gt;"已实测",IF(F19="","待展开路径","未实测"),IF(H19&lt;&gt;"适用","待确认适用性",IF(INDEX(Equipment[登记状态（自动）],MATCH(B19,Equipment[组合编号],0))&lt;&gt;"已登记","待补设备组合",IF(AND(F19&lt;&gt;"",G19&lt;&gt;"",K19&lt;&gt;"",L19&lt;&gt;"",M19&lt;&gt;"",N19&lt;&gt;"",ISNUMBER(O19),O19&gt;0,P19&lt;&gt;""),"记录齐全","待补实测记录")))))))))))</x:f>
        <x:v>待展开路径</x:v>
      </x:c>
    </x:row>
    <x:row r="20" ht="43.5" customHeight="1">
      <x:c r="A20" s="20" t="str">
        <x:v>REC-00011</x:v>
      </x:c>
      <x:c r="B20" s="20" t="str">
        <x:v>P1-B1-01</x:v>
      </x:c>
      <x:c r="C20" s="30" t="str">
        <x:f>IF(B20="","",IF(COUNTIFS(Equipment[组合编号],B20)&lt;&gt;1,"组合编号无效",INDEX(Equipment[PLC组],MATCH(B20,Equipment[组合编号],0))))</x:f>
        <x:v>汇川小型</x:v>
      </x:c>
      <x:c r="D20" s="30" t="str">
        <x:f>IF(B20="","",IF(COUNTIFS(Equipment[组合编号],B20)&lt;&gt;1,"组合编号无效",INDEX(Equipment[驱动品牌],MATCH(B20,Equipment[组合编号],0))))</x:f>
        <x:v>CDHD</x:v>
      </x:c>
      <x:c r="E20" s="20" t="str">
        <x:v>D02</x:v>
      </x:c>
      <x:c r="F20" s="20"/>
      <x:c r="G20" s="20"/>
      <x:c r="H20" s="20" t="str">
        <x:v>待判定</x:v>
      </x:c>
      <x:c r="I20" s="20"/>
      <x:c r="J20" s="20" t="str">
        <x:v>未测试</x:v>
      </x:c>
      <x:c r="K20" s="20"/>
      <x:c r="L20" s="20"/>
      <x:c r="M20" s="20"/>
      <x:c r="N20" s="20"/>
      <x:c r="O20" s="31"/>
      <x:c r="P20" s="20"/>
      <x:c r="Q20" s="20"/>
      <x:c r="R20" s="20" t="str">
        <x:v>待展开</x:v>
      </x:c>
      <x:c r="S20" s="20"/>
      <x:c r="T20" s="31"/>
      <x:c r="U20" s="30" t="str">
        <x:f>IF(A20="","缺记录编号",IF(COUNTIFS(PathRecords[记录编号],A20)&lt;&gt;1,"记录编号重复",IF(OR(B20="",E20=""),"缺组合/功能",IF(COUNTIFS(Equipment[组合编号],B20)&lt;&gt;1,"组合编号无效",IF(COUNTIFS(FunctionMatrix[编号],E20)=0,"功能编号无效",IF(H20="不适用",IF(J20="已实测","适用性冲突",IF(I20="","待补不适用依据","不适用（非实测）")),IF(J20="阻塞",IF(I20="","待补阻塞原因","阻塞（非实测）"),IF(J20&lt;&gt;"已实测",IF(F20="","待展开路径","未实测"),IF(H20&lt;&gt;"适用","待确认适用性",IF(INDEX(Equipment[登记状态（自动）],MATCH(B20,Equipment[组合编号],0))&lt;&gt;"已登记","待补设备组合",IF(AND(F20&lt;&gt;"",G20&lt;&gt;"",K20&lt;&gt;"",L20&lt;&gt;"",M20&lt;&gt;"",N20&lt;&gt;"",ISNUMBER(O20),O20&gt;0,P20&lt;&gt;""),"记录齐全","待补实测记录")))))))))))</x:f>
        <x:v>待展开路径</x:v>
      </x:c>
    </x:row>
    <x:row r="21" ht="43.5" customHeight="1">
      <x:c r="A21" s="20" t="str">
        <x:v>REC-00012</x:v>
      </x:c>
      <x:c r="B21" s="20" t="str">
        <x:v>P1-B1-01</x:v>
      </x:c>
      <x:c r="C21" s="30" t="str">
        <x:f>IF(B21="","",IF(COUNTIFS(Equipment[组合编号],B21)&lt;&gt;1,"组合编号无效",INDEX(Equipment[PLC组],MATCH(B21,Equipment[组合编号],0))))</x:f>
        <x:v>汇川小型</x:v>
      </x:c>
      <x:c r="D21" s="30" t="str">
        <x:f>IF(B21="","",IF(COUNTIFS(Equipment[组合编号],B21)&lt;&gt;1,"组合编号无效",INDEX(Equipment[驱动品牌],MATCH(B21,Equipment[组合编号],0))))</x:f>
        <x:v>CDHD</x:v>
      </x:c>
      <x:c r="E21" s="20" t="str">
        <x:v>D03</x:v>
      </x:c>
      <x:c r="F21" s="20"/>
      <x:c r="G21" s="20"/>
      <x:c r="H21" s="20" t="str">
        <x:v>待判定</x:v>
      </x:c>
      <x:c r="I21" s="20"/>
      <x:c r="J21" s="20" t="str">
        <x:v>未测试</x:v>
      </x:c>
      <x:c r="K21" s="20"/>
      <x:c r="L21" s="20"/>
      <x:c r="M21" s="20"/>
      <x:c r="N21" s="20"/>
      <x:c r="O21" s="31"/>
      <x:c r="P21" s="20"/>
      <x:c r="Q21" s="20"/>
      <x:c r="R21" s="20" t="str">
        <x:v>待展开</x:v>
      </x:c>
      <x:c r="S21" s="20"/>
      <x:c r="T21" s="31"/>
      <x:c r="U21" s="30" t="str">
        <x:f>IF(A21="","缺记录编号",IF(COUNTIFS(PathRecords[记录编号],A21)&lt;&gt;1,"记录编号重复",IF(OR(B21="",E21=""),"缺组合/功能",IF(COUNTIFS(Equipment[组合编号],B21)&lt;&gt;1,"组合编号无效",IF(COUNTIFS(FunctionMatrix[编号],E21)=0,"功能编号无效",IF(H21="不适用",IF(J21="已实测","适用性冲突",IF(I21="","待补不适用依据","不适用（非实测）")),IF(J21="阻塞",IF(I21="","待补阻塞原因","阻塞（非实测）"),IF(J21&lt;&gt;"已实测",IF(F21="","待展开路径","未实测"),IF(H21&lt;&gt;"适用","待确认适用性",IF(INDEX(Equipment[登记状态（自动）],MATCH(B21,Equipment[组合编号],0))&lt;&gt;"已登记","待补设备组合",IF(AND(F21&lt;&gt;"",G21&lt;&gt;"",K21&lt;&gt;"",L21&lt;&gt;"",M21&lt;&gt;"",N21&lt;&gt;"",ISNUMBER(O21),O21&gt;0,P21&lt;&gt;""),"记录齐全","待补实测记录")))))))))))</x:f>
        <x:v>待展开路径</x:v>
      </x:c>
    </x:row>
    <x:row r="22" ht="43.5" customHeight="1">
      <x:c r="A22" s="20" t="str">
        <x:v>REC-00013</x:v>
      </x:c>
      <x:c r="B22" s="20" t="str">
        <x:v>P1-B1-01</x:v>
      </x:c>
      <x:c r="C22" s="30" t="str">
        <x:f>IF(B22="","",IF(COUNTIFS(Equipment[组合编号],B22)&lt;&gt;1,"组合编号无效",INDEX(Equipment[PLC组],MATCH(B22,Equipment[组合编号],0))))</x:f>
        <x:v>汇川小型</x:v>
      </x:c>
      <x:c r="D22" s="30" t="str">
        <x:f>IF(B22="","",IF(COUNTIFS(Equipment[组合编号],B22)&lt;&gt;1,"组合编号无效",INDEX(Equipment[驱动品牌],MATCH(B22,Equipment[组合编号],0))))</x:f>
        <x:v>CDHD</x:v>
      </x:c>
      <x:c r="E22" s="20" t="str">
        <x:v>D04</x:v>
      </x:c>
      <x:c r="F22" s="20"/>
      <x:c r="G22" s="20"/>
      <x:c r="H22" s="20" t="str">
        <x:v>待判定</x:v>
      </x:c>
      <x:c r="I22" s="20"/>
      <x:c r="J22" s="20" t="str">
        <x:v>未测试</x:v>
      </x:c>
      <x:c r="K22" s="20"/>
      <x:c r="L22" s="20"/>
      <x:c r="M22" s="20"/>
      <x:c r="N22" s="20"/>
      <x:c r="O22" s="31"/>
      <x:c r="P22" s="20"/>
      <x:c r="Q22" s="20"/>
      <x:c r="R22" s="20" t="str">
        <x:v>待展开</x:v>
      </x:c>
      <x:c r="S22" s="20"/>
      <x:c r="T22" s="31"/>
      <x:c r="U22" s="30" t="str">
        <x:f>IF(A22="","缺记录编号",IF(COUNTIFS(PathRecords[记录编号],A22)&lt;&gt;1,"记录编号重复",IF(OR(B22="",E22=""),"缺组合/功能",IF(COUNTIFS(Equipment[组合编号],B22)&lt;&gt;1,"组合编号无效",IF(COUNTIFS(FunctionMatrix[编号],E22)=0,"功能编号无效",IF(H22="不适用",IF(J22="已实测","适用性冲突",IF(I22="","待补不适用依据","不适用（非实测）")),IF(J22="阻塞",IF(I22="","待补阻塞原因","阻塞（非实测）"),IF(J22&lt;&gt;"已实测",IF(F22="","待展开路径","未实测"),IF(H22&lt;&gt;"适用","待确认适用性",IF(INDEX(Equipment[登记状态（自动）],MATCH(B22,Equipment[组合编号],0))&lt;&gt;"已登记","待补设备组合",IF(AND(F22&lt;&gt;"",G22&lt;&gt;"",K22&lt;&gt;"",L22&lt;&gt;"",M22&lt;&gt;"",N22&lt;&gt;"",ISNUMBER(O22),O22&gt;0,P22&lt;&gt;""),"记录齐全","待补实测记录")))))))))))</x:f>
        <x:v>待展开路径</x:v>
      </x:c>
    </x:row>
    <x:row r="23" ht="43.5" customHeight="1">
      <x:c r="A23" s="20" t="str">
        <x:v>REC-00014</x:v>
      </x:c>
      <x:c r="B23" s="20" t="str">
        <x:v>P1-B1-01</x:v>
      </x:c>
      <x:c r="C23" s="30" t="str">
        <x:f>IF(B23="","",IF(COUNTIFS(Equipment[组合编号],B23)&lt;&gt;1,"组合编号无效",INDEX(Equipment[PLC组],MATCH(B23,Equipment[组合编号],0))))</x:f>
        <x:v>汇川小型</x:v>
      </x:c>
      <x:c r="D23" s="30" t="str">
        <x:f>IF(B23="","",IF(COUNTIFS(Equipment[组合编号],B23)&lt;&gt;1,"组合编号无效",INDEX(Equipment[驱动品牌],MATCH(B23,Equipment[组合编号],0))))</x:f>
        <x:v>CDHD</x:v>
      </x:c>
      <x:c r="E23" s="20" t="str">
        <x:v>D05</x:v>
      </x:c>
      <x:c r="F23" s="20"/>
      <x:c r="G23" s="20"/>
      <x:c r="H23" s="20" t="str">
        <x:v>待判定</x:v>
      </x:c>
      <x:c r="I23" s="20"/>
      <x:c r="J23" s="20" t="str">
        <x:v>未测试</x:v>
      </x:c>
      <x:c r="K23" s="20"/>
      <x:c r="L23" s="20"/>
      <x:c r="M23" s="20"/>
      <x:c r="N23" s="20"/>
      <x:c r="O23" s="31"/>
      <x:c r="P23" s="20"/>
      <x:c r="Q23" s="20"/>
      <x:c r="R23" s="20" t="str">
        <x:v>待展开</x:v>
      </x:c>
      <x:c r="S23" s="20"/>
      <x:c r="T23" s="31"/>
      <x:c r="U23" s="30" t="str">
        <x:f>IF(A23="","缺记录编号",IF(COUNTIFS(PathRecords[记录编号],A23)&lt;&gt;1,"记录编号重复",IF(OR(B23="",E23=""),"缺组合/功能",IF(COUNTIFS(Equipment[组合编号],B23)&lt;&gt;1,"组合编号无效",IF(COUNTIFS(FunctionMatrix[编号],E23)=0,"功能编号无效",IF(H23="不适用",IF(J23="已实测","适用性冲突",IF(I23="","待补不适用依据","不适用（非实测）")),IF(J23="阻塞",IF(I23="","待补阻塞原因","阻塞（非实测）"),IF(J23&lt;&gt;"已实测",IF(F23="","待展开路径","未实测"),IF(H23&lt;&gt;"适用","待确认适用性",IF(INDEX(Equipment[登记状态（自动）],MATCH(B23,Equipment[组合编号],0))&lt;&gt;"已登记","待补设备组合",IF(AND(F23&lt;&gt;"",G23&lt;&gt;"",K23&lt;&gt;"",L23&lt;&gt;"",M23&lt;&gt;"",N23&lt;&gt;"",ISNUMBER(O23),O23&gt;0,P23&lt;&gt;""),"记录齐全","待补实测记录")))))))))))</x:f>
        <x:v>待展开路径</x:v>
      </x:c>
    </x:row>
    <x:row r="24" ht="43.5" customHeight="1">
      <x:c r="A24" s="20" t="str">
        <x:v>REC-00015</x:v>
      </x:c>
      <x:c r="B24" s="20" t="str">
        <x:v>P1-B1-01</x:v>
      </x:c>
      <x:c r="C24" s="30" t="str">
        <x:f>IF(B24="","",IF(COUNTIFS(Equipment[组合编号],B24)&lt;&gt;1,"组合编号无效",INDEX(Equipment[PLC组],MATCH(B24,Equipment[组合编号],0))))</x:f>
        <x:v>汇川小型</x:v>
      </x:c>
      <x:c r="D24" s="30" t="str">
        <x:f>IF(B24="","",IF(COUNTIFS(Equipment[组合编号],B24)&lt;&gt;1,"组合编号无效",INDEX(Equipment[驱动品牌],MATCH(B24,Equipment[组合编号],0))))</x:f>
        <x:v>CDHD</x:v>
      </x:c>
      <x:c r="E24" s="20" t="str">
        <x:v>D06</x:v>
      </x:c>
      <x:c r="F24" s="20"/>
      <x:c r="G24" s="20"/>
      <x:c r="H24" s="20" t="str">
        <x:v>待判定</x:v>
      </x:c>
      <x:c r="I24" s="20"/>
      <x:c r="J24" s="20" t="str">
        <x:v>未测试</x:v>
      </x:c>
      <x:c r="K24" s="20"/>
      <x:c r="L24" s="20"/>
      <x:c r="M24" s="20"/>
      <x:c r="N24" s="20"/>
      <x:c r="O24" s="31"/>
      <x:c r="P24" s="20"/>
      <x:c r="Q24" s="20"/>
      <x:c r="R24" s="20" t="str">
        <x:v>待展开</x:v>
      </x:c>
      <x:c r="S24" s="20"/>
      <x:c r="T24" s="31"/>
      <x:c r="U24" s="30" t="str">
        <x:f>IF(A24="","缺记录编号",IF(COUNTIFS(PathRecords[记录编号],A24)&lt;&gt;1,"记录编号重复",IF(OR(B24="",E24=""),"缺组合/功能",IF(COUNTIFS(Equipment[组合编号],B24)&lt;&gt;1,"组合编号无效",IF(COUNTIFS(FunctionMatrix[编号],E24)=0,"功能编号无效",IF(H24="不适用",IF(J24="已实测","适用性冲突",IF(I24="","待补不适用依据","不适用（非实测）")),IF(J24="阻塞",IF(I24="","待补阻塞原因","阻塞（非实测）"),IF(J24&lt;&gt;"已实测",IF(F24="","待展开路径","未实测"),IF(H24&lt;&gt;"适用","待确认适用性",IF(INDEX(Equipment[登记状态（自动）],MATCH(B24,Equipment[组合编号],0))&lt;&gt;"已登记","待补设备组合",IF(AND(F24&lt;&gt;"",G24&lt;&gt;"",K24&lt;&gt;"",L24&lt;&gt;"",M24&lt;&gt;"",N24&lt;&gt;"",ISNUMBER(O24),O24&gt;0,P24&lt;&gt;""),"记录齐全","待补实测记录")))))))))))</x:f>
        <x:v>待展开路径</x:v>
      </x:c>
    </x:row>
    <x:row r="25" ht="43.5" customHeight="1">
      <x:c r="A25" s="20" t="str">
        <x:v>REC-00016</x:v>
      </x:c>
      <x:c r="B25" s="20" t="str">
        <x:v>P1-B1-01</x:v>
      </x:c>
      <x:c r="C25" s="30" t="str">
        <x:f>IF(B25="","",IF(COUNTIFS(Equipment[组合编号],B25)&lt;&gt;1,"组合编号无效",INDEX(Equipment[PLC组],MATCH(B25,Equipment[组合编号],0))))</x:f>
        <x:v>汇川小型</x:v>
      </x:c>
      <x:c r="D25" s="30" t="str">
        <x:f>IF(B25="","",IF(COUNTIFS(Equipment[组合编号],B25)&lt;&gt;1,"组合编号无效",INDEX(Equipment[驱动品牌],MATCH(B25,Equipment[组合编号],0))))</x:f>
        <x:v>CDHD</x:v>
      </x:c>
      <x:c r="E25" s="20" t="str">
        <x:v>D07</x:v>
      </x:c>
      <x:c r="F25" s="20"/>
      <x:c r="G25" s="20"/>
      <x:c r="H25" s="20" t="str">
        <x:v>待判定</x:v>
      </x:c>
      <x:c r="I25" s="20"/>
      <x:c r="J25" s="20" t="str">
        <x:v>未测试</x:v>
      </x:c>
      <x:c r="K25" s="20"/>
      <x:c r="L25" s="20"/>
      <x:c r="M25" s="20"/>
      <x:c r="N25" s="20"/>
      <x:c r="O25" s="31"/>
      <x:c r="P25" s="20"/>
      <x:c r="Q25" s="20"/>
      <x:c r="R25" s="20" t="str">
        <x:v>待展开</x:v>
      </x:c>
      <x:c r="S25" s="20"/>
      <x:c r="T25" s="31"/>
      <x:c r="U25" s="30" t="str">
        <x:f>IF(A25="","缺记录编号",IF(COUNTIFS(PathRecords[记录编号],A25)&lt;&gt;1,"记录编号重复",IF(OR(B25="",E25=""),"缺组合/功能",IF(COUNTIFS(Equipment[组合编号],B25)&lt;&gt;1,"组合编号无效",IF(COUNTIFS(FunctionMatrix[编号],E25)=0,"功能编号无效",IF(H25="不适用",IF(J25="已实测","适用性冲突",IF(I25="","待补不适用依据","不适用（非实测）")),IF(J25="阻塞",IF(I25="","待补阻塞原因","阻塞（非实测）"),IF(J25&lt;&gt;"已实测",IF(F25="","待展开路径","未实测"),IF(H25&lt;&gt;"适用","待确认适用性",IF(INDEX(Equipment[登记状态（自动）],MATCH(B25,Equipment[组合编号],0))&lt;&gt;"已登记","待补设备组合",IF(AND(F25&lt;&gt;"",G25&lt;&gt;"",K25&lt;&gt;"",L25&lt;&gt;"",M25&lt;&gt;"",N25&lt;&gt;"",ISNUMBER(O25),O25&gt;0,P25&lt;&gt;""),"记录齐全","待补实测记录")))))))))))</x:f>
        <x:v>待展开路径</x:v>
      </x:c>
    </x:row>
    <x:row r="26" ht="43.5" customHeight="1">
      <x:c r="A26" s="20" t="str">
        <x:v>REC-00017</x:v>
      </x:c>
      <x:c r="B26" s="20" t="str">
        <x:v>P1-B1-01</x:v>
      </x:c>
      <x:c r="C26" s="30" t="str">
        <x:f>IF(B26="","",IF(COUNTIFS(Equipment[组合编号],B26)&lt;&gt;1,"组合编号无效",INDEX(Equipment[PLC组],MATCH(B26,Equipment[组合编号],0))))</x:f>
        <x:v>汇川小型</x:v>
      </x:c>
      <x:c r="D26" s="30" t="str">
        <x:f>IF(B26="","",IF(COUNTIFS(Equipment[组合编号],B26)&lt;&gt;1,"组合编号无效",INDEX(Equipment[驱动品牌],MATCH(B26,Equipment[组合编号],0))))</x:f>
        <x:v>CDHD</x:v>
      </x:c>
      <x:c r="E26" s="20" t="str">
        <x:v>D08</x:v>
      </x:c>
      <x:c r="F26" s="20"/>
      <x:c r="G26" s="20"/>
      <x:c r="H26" s="20" t="str">
        <x:v>待判定</x:v>
      </x:c>
      <x:c r="I26" s="20"/>
      <x:c r="J26" s="20" t="str">
        <x:v>未测试</x:v>
      </x:c>
      <x:c r="K26" s="20"/>
      <x:c r="L26" s="20"/>
      <x:c r="M26" s="20"/>
      <x:c r="N26" s="20"/>
      <x:c r="O26" s="31"/>
      <x:c r="P26" s="20"/>
      <x:c r="Q26" s="20"/>
      <x:c r="R26" s="20" t="str">
        <x:v>待展开</x:v>
      </x:c>
      <x:c r="S26" s="20"/>
      <x:c r="T26" s="31"/>
      <x:c r="U26" s="30" t="str">
        <x:f>IF(A26="","缺记录编号",IF(COUNTIFS(PathRecords[记录编号],A26)&lt;&gt;1,"记录编号重复",IF(OR(B26="",E26=""),"缺组合/功能",IF(COUNTIFS(Equipment[组合编号],B26)&lt;&gt;1,"组合编号无效",IF(COUNTIFS(FunctionMatrix[编号],E26)=0,"功能编号无效",IF(H26="不适用",IF(J26="已实测","适用性冲突",IF(I26="","待补不适用依据","不适用（非实测）")),IF(J26="阻塞",IF(I26="","待补阻塞原因","阻塞（非实测）"),IF(J26&lt;&gt;"已实测",IF(F26="","待展开路径","未实测"),IF(H26&lt;&gt;"适用","待确认适用性",IF(INDEX(Equipment[登记状态（自动）],MATCH(B26,Equipment[组合编号],0))&lt;&gt;"已登记","待补设备组合",IF(AND(F26&lt;&gt;"",G26&lt;&gt;"",K26&lt;&gt;"",L26&lt;&gt;"",M26&lt;&gt;"",N26&lt;&gt;"",ISNUMBER(O26),O26&gt;0,P26&lt;&gt;""),"记录齐全","待补实测记录")))))))))))</x:f>
        <x:v>待展开路径</x:v>
      </x:c>
    </x:row>
    <x:row r="27" ht="43.5" customHeight="1">
      <x:c r="A27" s="20" t="str">
        <x:v>REC-00018</x:v>
      </x:c>
      <x:c r="B27" s="20" t="str">
        <x:v>P1-B1-01</x:v>
      </x:c>
      <x:c r="C27" s="30" t="str">
        <x:f>IF(B27="","",IF(COUNTIFS(Equipment[组合编号],B27)&lt;&gt;1,"组合编号无效",INDEX(Equipment[PLC组],MATCH(B27,Equipment[组合编号],0))))</x:f>
        <x:v>汇川小型</x:v>
      </x:c>
      <x:c r="D27" s="30" t="str">
        <x:f>IF(B27="","",IF(COUNTIFS(Equipment[组合编号],B27)&lt;&gt;1,"组合编号无效",INDEX(Equipment[驱动品牌],MATCH(B27,Equipment[组合编号],0))))</x:f>
        <x:v>CDHD</x:v>
      </x:c>
      <x:c r="E27" s="20" t="str">
        <x:v>D09</x:v>
      </x:c>
      <x:c r="F27" s="20"/>
      <x:c r="G27" s="20"/>
      <x:c r="H27" s="20" t="str">
        <x:v>待判定</x:v>
      </x:c>
      <x:c r="I27" s="20"/>
      <x:c r="J27" s="20" t="str">
        <x:v>未测试</x:v>
      </x:c>
      <x:c r="K27" s="20"/>
      <x:c r="L27" s="20"/>
      <x:c r="M27" s="20"/>
      <x:c r="N27" s="20"/>
      <x:c r="O27" s="31"/>
      <x:c r="P27" s="20"/>
      <x:c r="Q27" s="20"/>
      <x:c r="R27" s="20" t="str">
        <x:v>待展开</x:v>
      </x:c>
      <x:c r="S27" s="20"/>
      <x:c r="T27" s="31"/>
      <x:c r="U27" s="30" t="str">
        <x:f>IF(A27="","缺记录编号",IF(COUNTIFS(PathRecords[记录编号],A27)&lt;&gt;1,"记录编号重复",IF(OR(B27="",E27=""),"缺组合/功能",IF(COUNTIFS(Equipment[组合编号],B27)&lt;&gt;1,"组合编号无效",IF(COUNTIFS(FunctionMatrix[编号],E27)=0,"功能编号无效",IF(H27="不适用",IF(J27="已实测","适用性冲突",IF(I27="","待补不适用依据","不适用（非实测）")),IF(J27="阻塞",IF(I27="","待补阻塞原因","阻塞（非实测）"),IF(J27&lt;&gt;"已实测",IF(F27="","待展开路径","未实测"),IF(H27&lt;&gt;"适用","待确认适用性",IF(INDEX(Equipment[登记状态（自动）],MATCH(B27,Equipment[组合编号],0))&lt;&gt;"已登记","待补设备组合",IF(AND(F27&lt;&gt;"",G27&lt;&gt;"",K27&lt;&gt;"",L27&lt;&gt;"",M27&lt;&gt;"",N27&lt;&gt;"",ISNUMBER(O27),O27&gt;0,P27&lt;&gt;""),"记录齐全","待补实测记录")))))))))))</x:f>
        <x:v>待展开路径</x:v>
      </x:c>
    </x:row>
    <x:row r="28" ht="43.5" customHeight="1">
      <x:c r="A28" s="20" t="str">
        <x:v>REC-00019</x:v>
      </x:c>
      <x:c r="B28" s="20" t="str">
        <x:v>P1-B1-01</x:v>
      </x:c>
      <x:c r="C28" s="30" t="str">
        <x:f>IF(B28="","",IF(COUNTIFS(Equipment[组合编号],B28)&lt;&gt;1,"组合编号无效",INDEX(Equipment[PLC组],MATCH(B28,Equipment[组合编号],0))))</x:f>
        <x:v>汇川小型</x:v>
      </x:c>
      <x:c r="D28" s="30" t="str">
        <x:f>IF(B28="","",IF(COUNTIFS(Equipment[组合编号],B28)&lt;&gt;1,"组合编号无效",INDEX(Equipment[驱动品牌],MATCH(B28,Equipment[组合编号],0))))</x:f>
        <x:v>CDHD</x:v>
      </x:c>
      <x:c r="E28" s="20" t="str">
        <x:v>S01</x:v>
      </x:c>
      <x:c r="F28" s="20"/>
      <x:c r="G28" s="20"/>
      <x:c r="H28" s="20" t="str">
        <x:v>待判定</x:v>
      </x:c>
      <x:c r="I28" s="20"/>
      <x:c r="J28" s="20" t="str">
        <x:v>未测试</x:v>
      </x:c>
      <x:c r="K28" s="20"/>
      <x:c r="L28" s="20"/>
      <x:c r="M28" s="20"/>
      <x:c r="N28" s="20"/>
      <x:c r="O28" s="31"/>
      <x:c r="P28" s="20"/>
      <x:c r="Q28" s="20"/>
      <x:c r="R28" s="20" t="str">
        <x:v>待展开</x:v>
      </x:c>
      <x:c r="S28" s="20"/>
      <x:c r="T28" s="31"/>
      <x:c r="U28" s="30" t="str">
        <x:f>IF(A28="","缺记录编号",IF(COUNTIFS(PathRecords[记录编号],A28)&lt;&gt;1,"记录编号重复",IF(OR(B28="",E28=""),"缺组合/功能",IF(COUNTIFS(Equipment[组合编号],B28)&lt;&gt;1,"组合编号无效",IF(COUNTIFS(FunctionMatrix[编号],E28)=0,"功能编号无效",IF(H28="不适用",IF(J28="已实测","适用性冲突",IF(I28="","待补不适用依据","不适用（非实测）")),IF(J28="阻塞",IF(I28="","待补阻塞原因","阻塞（非实测）"),IF(J28&lt;&gt;"已实测",IF(F28="","待展开路径","未实测"),IF(H28&lt;&gt;"适用","待确认适用性",IF(INDEX(Equipment[登记状态（自动）],MATCH(B28,Equipment[组合编号],0))&lt;&gt;"已登记","待补设备组合",IF(AND(F28&lt;&gt;"",G28&lt;&gt;"",K28&lt;&gt;"",L28&lt;&gt;"",M28&lt;&gt;"",N28&lt;&gt;"",ISNUMBER(O28),O28&gt;0,P28&lt;&gt;""),"记录齐全","待补实测记录")))))))))))</x:f>
        <x:v>待展开路径</x:v>
      </x:c>
    </x:row>
    <x:row r="29" ht="43.5" customHeight="1">
      <x:c r="A29" s="20" t="str">
        <x:v>REC-00020</x:v>
      </x:c>
      <x:c r="B29" s="20" t="str">
        <x:v>P1-B1-01</x:v>
      </x:c>
      <x:c r="C29" s="30" t="str">
        <x:f>IF(B29="","",IF(COUNTIFS(Equipment[组合编号],B29)&lt;&gt;1,"组合编号无效",INDEX(Equipment[PLC组],MATCH(B29,Equipment[组合编号],0))))</x:f>
        <x:v>汇川小型</x:v>
      </x:c>
      <x:c r="D29" s="30" t="str">
        <x:f>IF(B29="","",IF(COUNTIFS(Equipment[组合编号],B29)&lt;&gt;1,"组合编号无效",INDEX(Equipment[驱动品牌],MATCH(B29,Equipment[组合编号],0))))</x:f>
        <x:v>CDHD</x:v>
      </x:c>
      <x:c r="E29" s="20" t="str">
        <x:v>S02</x:v>
      </x:c>
      <x:c r="F29" s="20"/>
      <x:c r="G29" s="20"/>
      <x:c r="H29" s="20" t="str">
        <x:v>待判定</x:v>
      </x:c>
      <x:c r="I29" s="20"/>
      <x:c r="J29" s="20" t="str">
        <x:v>未测试</x:v>
      </x:c>
      <x:c r="K29" s="20"/>
      <x:c r="L29" s="20"/>
      <x:c r="M29" s="20"/>
      <x:c r="N29" s="20"/>
      <x:c r="O29" s="31"/>
      <x:c r="P29" s="20"/>
      <x:c r="Q29" s="20"/>
      <x:c r="R29" s="20" t="str">
        <x:v>待展开</x:v>
      </x:c>
      <x:c r="S29" s="20"/>
      <x:c r="T29" s="31"/>
      <x:c r="U29" s="30" t="str">
        <x:f>IF(A29="","缺记录编号",IF(COUNTIFS(PathRecords[记录编号],A29)&lt;&gt;1,"记录编号重复",IF(OR(B29="",E29=""),"缺组合/功能",IF(COUNTIFS(Equipment[组合编号],B29)&lt;&gt;1,"组合编号无效",IF(COUNTIFS(FunctionMatrix[编号],E29)=0,"功能编号无效",IF(H29="不适用",IF(J29="已实测","适用性冲突",IF(I29="","待补不适用依据","不适用（非实测）")),IF(J29="阻塞",IF(I29="","待补阻塞原因","阻塞（非实测）"),IF(J29&lt;&gt;"已实测",IF(F29="","待展开路径","未实测"),IF(H29&lt;&gt;"适用","待确认适用性",IF(INDEX(Equipment[登记状态（自动）],MATCH(B29,Equipment[组合编号],0))&lt;&gt;"已登记","待补设备组合",IF(AND(F29&lt;&gt;"",G29&lt;&gt;"",K29&lt;&gt;"",L29&lt;&gt;"",M29&lt;&gt;"",N29&lt;&gt;"",ISNUMBER(O29),O29&gt;0,P29&lt;&gt;""),"记录齐全","待补实测记录")))))))))))</x:f>
        <x:v>待展开路径</x:v>
      </x:c>
    </x:row>
    <x:row r="30" ht="43.5" customHeight="1">
      <x:c r="A30" s="20" t="str">
        <x:v>REC-00021</x:v>
      </x:c>
      <x:c r="B30" s="20" t="str">
        <x:v>P1-B1-01</x:v>
      </x:c>
      <x:c r="C30" s="30" t="str">
        <x:f>IF(B30="","",IF(COUNTIFS(Equipment[组合编号],B30)&lt;&gt;1,"组合编号无效",INDEX(Equipment[PLC组],MATCH(B30,Equipment[组合编号],0))))</x:f>
        <x:v>汇川小型</x:v>
      </x:c>
      <x:c r="D30" s="30" t="str">
        <x:f>IF(B30="","",IF(COUNTIFS(Equipment[组合编号],B30)&lt;&gt;1,"组合编号无效",INDEX(Equipment[驱动品牌],MATCH(B30,Equipment[组合编号],0))))</x:f>
        <x:v>CDHD</x:v>
      </x:c>
      <x:c r="E30" s="20" t="str">
        <x:v>S03</x:v>
      </x:c>
      <x:c r="F30" s="20"/>
      <x:c r="G30" s="20"/>
      <x:c r="H30" s="20" t="str">
        <x:v>待判定</x:v>
      </x:c>
      <x:c r="I30" s="20"/>
      <x:c r="J30" s="20" t="str">
        <x:v>未测试</x:v>
      </x:c>
      <x:c r="K30" s="20"/>
      <x:c r="L30" s="20"/>
      <x:c r="M30" s="20"/>
      <x:c r="N30" s="20"/>
      <x:c r="O30" s="31"/>
      <x:c r="P30" s="20"/>
      <x:c r="Q30" s="20"/>
      <x:c r="R30" s="20" t="str">
        <x:v>待展开</x:v>
      </x:c>
      <x:c r="S30" s="20"/>
      <x:c r="T30" s="31"/>
      <x:c r="U30" s="30" t="str">
        <x:f>IF(A30="","缺记录编号",IF(COUNTIFS(PathRecords[记录编号],A30)&lt;&gt;1,"记录编号重复",IF(OR(B30="",E30=""),"缺组合/功能",IF(COUNTIFS(Equipment[组合编号],B30)&lt;&gt;1,"组合编号无效",IF(COUNTIFS(FunctionMatrix[编号],E30)=0,"功能编号无效",IF(H30="不适用",IF(J30="已实测","适用性冲突",IF(I30="","待补不适用依据","不适用（非实测）")),IF(J30="阻塞",IF(I30="","待补阻塞原因","阻塞（非实测）"),IF(J30&lt;&gt;"已实测",IF(F30="","待展开路径","未实测"),IF(H30&lt;&gt;"适用","待确认适用性",IF(INDEX(Equipment[登记状态（自动）],MATCH(B30,Equipment[组合编号],0))&lt;&gt;"已登记","待补设备组合",IF(AND(F30&lt;&gt;"",G30&lt;&gt;"",K30&lt;&gt;"",L30&lt;&gt;"",M30&lt;&gt;"",N30&lt;&gt;"",ISNUMBER(O30),O30&gt;0,P30&lt;&gt;""),"记录齐全","待补实测记录")))))))))))</x:f>
        <x:v>待展开路径</x:v>
      </x:c>
    </x:row>
    <x:row r="31" ht="43.5" customHeight="1">
      <x:c r="A31" s="20" t="str">
        <x:v>REC-00022</x:v>
      </x:c>
      <x:c r="B31" s="20" t="str">
        <x:v>P1-B1-01</x:v>
      </x:c>
      <x:c r="C31" s="30" t="str">
        <x:f>IF(B31="","",IF(COUNTIFS(Equipment[组合编号],B31)&lt;&gt;1,"组合编号无效",INDEX(Equipment[PLC组],MATCH(B31,Equipment[组合编号],0))))</x:f>
        <x:v>汇川小型</x:v>
      </x:c>
      <x:c r="D31" s="30" t="str">
        <x:f>IF(B31="","",IF(COUNTIFS(Equipment[组合编号],B31)&lt;&gt;1,"组合编号无效",INDEX(Equipment[驱动品牌],MATCH(B31,Equipment[组合编号],0))))</x:f>
        <x:v>CDHD</x:v>
      </x:c>
      <x:c r="E31" s="20" t="str">
        <x:v>S04</x:v>
      </x:c>
      <x:c r="F31" s="20"/>
      <x:c r="G31" s="20"/>
      <x:c r="H31" s="20" t="str">
        <x:v>待判定</x:v>
      </x:c>
      <x:c r="I31" s="20"/>
      <x:c r="J31" s="20" t="str">
        <x:v>未测试</x:v>
      </x:c>
      <x:c r="K31" s="20"/>
      <x:c r="L31" s="20"/>
      <x:c r="M31" s="20"/>
      <x:c r="N31" s="20"/>
      <x:c r="O31" s="31"/>
      <x:c r="P31" s="20"/>
      <x:c r="Q31" s="20"/>
      <x:c r="R31" s="20" t="str">
        <x:v>待展开</x:v>
      </x:c>
      <x:c r="S31" s="20"/>
      <x:c r="T31" s="31"/>
      <x:c r="U31" s="30" t="str">
        <x:f>IF(A31="","缺记录编号",IF(COUNTIFS(PathRecords[记录编号],A31)&lt;&gt;1,"记录编号重复",IF(OR(B31="",E31=""),"缺组合/功能",IF(COUNTIFS(Equipment[组合编号],B31)&lt;&gt;1,"组合编号无效",IF(COUNTIFS(FunctionMatrix[编号],E31)=0,"功能编号无效",IF(H31="不适用",IF(J31="已实测","适用性冲突",IF(I31="","待补不适用依据","不适用（非实测）")),IF(J31="阻塞",IF(I31="","待补阻塞原因","阻塞（非实测）"),IF(J31&lt;&gt;"已实测",IF(F31="","待展开路径","未实测"),IF(H31&lt;&gt;"适用","待确认适用性",IF(INDEX(Equipment[登记状态（自动）],MATCH(B31,Equipment[组合编号],0))&lt;&gt;"已登记","待补设备组合",IF(AND(F31&lt;&gt;"",G31&lt;&gt;"",K31&lt;&gt;"",L31&lt;&gt;"",M31&lt;&gt;"",N31&lt;&gt;"",ISNUMBER(O31),O31&gt;0,P31&lt;&gt;""),"记录齐全","待补实测记录")))))))))))</x:f>
        <x:v>待展开路径</x:v>
      </x:c>
    </x:row>
    <x:row r="32" ht="43.5" customHeight="1">
      <x:c r="A32" s="20" t="str">
        <x:v>REC-00023</x:v>
      </x:c>
      <x:c r="B32" s="20" t="str">
        <x:v>P1-B1-01</x:v>
      </x:c>
      <x:c r="C32" s="30" t="str">
        <x:f>IF(B32="","",IF(COUNTIFS(Equipment[组合编号],B32)&lt;&gt;1,"组合编号无效",INDEX(Equipment[PLC组],MATCH(B32,Equipment[组合编号],0))))</x:f>
        <x:v>汇川小型</x:v>
      </x:c>
      <x:c r="D32" s="30" t="str">
        <x:f>IF(B32="","",IF(COUNTIFS(Equipment[组合编号],B32)&lt;&gt;1,"组合编号无效",INDEX(Equipment[驱动品牌],MATCH(B32,Equipment[组合编号],0))))</x:f>
        <x:v>CDHD</x:v>
      </x:c>
      <x:c r="E32" s="20" t="str">
        <x:v>S05</x:v>
      </x:c>
      <x:c r="F32" s="20"/>
      <x:c r="G32" s="20"/>
      <x:c r="H32" s="20" t="str">
        <x:v>待判定</x:v>
      </x:c>
      <x:c r="I32" s="20"/>
      <x:c r="J32" s="20" t="str">
        <x:v>未测试</x:v>
      </x:c>
      <x:c r="K32" s="20"/>
      <x:c r="L32" s="20"/>
      <x:c r="M32" s="20"/>
      <x:c r="N32" s="20"/>
      <x:c r="O32" s="31"/>
      <x:c r="P32" s="20"/>
      <x:c r="Q32" s="20"/>
      <x:c r="R32" s="20" t="str">
        <x:v>待展开</x:v>
      </x:c>
      <x:c r="S32" s="20"/>
      <x:c r="T32" s="31"/>
      <x:c r="U32" s="30" t="str">
        <x:f>IF(A32="","缺记录编号",IF(COUNTIFS(PathRecords[记录编号],A32)&lt;&gt;1,"记录编号重复",IF(OR(B32="",E32=""),"缺组合/功能",IF(COUNTIFS(Equipment[组合编号],B32)&lt;&gt;1,"组合编号无效",IF(COUNTIFS(FunctionMatrix[编号],E32)=0,"功能编号无效",IF(H32="不适用",IF(J32="已实测","适用性冲突",IF(I32="","待补不适用依据","不适用（非实测）")),IF(J32="阻塞",IF(I32="","待补阻塞原因","阻塞（非实测）"),IF(J32&lt;&gt;"已实测",IF(F32="","待展开路径","未实测"),IF(H32&lt;&gt;"适用","待确认适用性",IF(INDEX(Equipment[登记状态（自动）],MATCH(B32,Equipment[组合编号],0))&lt;&gt;"已登记","待补设备组合",IF(AND(F32&lt;&gt;"",G32&lt;&gt;"",K32&lt;&gt;"",L32&lt;&gt;"",M32&lt;&gt;"",N32&lt;&gt;"",ISNUMBER(O32),O32&gt;0,P32&lt;&gt;""),"记录齐全","待补实测记录")))))))))))</x:f>
        <x:v>待展开路径</x:v>
      </x:c>
    </x:row>
    <x:row r="33" ht="43.5" customHeight="1">
      <x:c r="A33" s="20" t="str">
        <x:v>REC-00024</x:v>
      </x:c>
      <x:c r="B33" s="20" t="str">
        <x:v>P1-B1-01</x:v>
      </x:c>
      <x:c r="C33" s="30" t="str">
        <x:f>IF(B33="","",IF(COUNTIFS(Equipment[组合编号],B33)&lt;&gt;1,"组合编号无效",INDEX(Equipment[PLC组],MATCH(B33,Equipment[组合编号],0))))</x:f>
        <x:v>汇川小型</x:v>
      </x:c>
      <x:c r="D33" s="30" t="str">
        <x:f>IF(B33="","",IF(COUNTIFS(Equipment[组合编号],B33)&lt;&gt;1,"组合编号无效",INDEX(Equipment[驱动品牌],MATCH(B33,Equipment[组合编号],0))))</x:f>
        <x:v>CDHD</x:v>
      </x:c>
      <x:c r="E33" s="20" t="str">
        <x:v>S06</x:v>
      </x:c>
      <x:c r="F33" s="20"/>
      <x:c r="G33" s="20"/>
      <x:c r="H33" s="20" t="str">
        <x:v>待判定</x:v>
      </x:c>
      <x:c r="I33" s="20"/>
      <x:c r="J33" s="20" t="str">
        <x:v>未测试</x:v>
      </x:c>
      <x:c r="K33" s="20"/>
      <x:c r="L33" s="20"/>
      <x:c r="M33" s="20"/>
      <x:c r="N33" s="20"/>
      <x:c r="O33" s="31"/>
      <x:c r="P33" s="20"/>
      <x:c r="Q33" s="20"/>
      <x:c r="R33" s="20" t="str">
        <x:v>待展开</x:v>
      </x:c>
      <x:c r="S33" s="20"/>
      <x:c r="T33" s="31"/>
      <x:c r="U33" s="30" t="str">
        <x:f>IF(A33="","缺记录编号",IF(COUNTIFS(PathRecords[记录编号],A33)&lt;&gt;1,"记录编号重复",IF(OR(B33="",E33=""),"缺组合/功能",IF(COUNTIFS(Equipment[组合编号],B33)&lt;&gt;1,"组合编号无效",IF(COUNTIFS(FunctionMatrix[编号],E33)=0,"功能编号无效",IF(H33="不适用",IF(J33="已实测","适用性冲突",IF(I33="","待补不适用依据","不适用（非实测）")),IF(J33="阻塞",IF(I33="","待补阻塞原因","阻塞（非实测）"),IF(J33&lt;&gt;"已实测",IF(F33="","待展开路径","未实测"),IF(H33&lt;&gt;"适用","待确认适用性",IF(INDEX(Equipment[登记状态（自动）],MATCH(B33,Equipment[组合编号],0))&lt;&gt;"已登记","待补设备组合",IF(AND(F33&lt;&gt;"",G33&lt;&gt;"",K33&lt;&gt;"",L33&lt;&gt;"",M33&lt;&gt;"",N33&lt;&gt;"",ISNUMBER(O33),O33&gt;0,P33&lt;&gt;""),"记录齐全","待补实测记录")))))))))))</x:f>
        <x:v>待展开路径</x:v>
      </x:c>
    </x:row>
    <x:row r="34" ht="43.5" customHeight="1">
      <x:c r="A34" s="20" t="str">
        <x:v>REC-00025</x:v>
      </x:c>
      <x:c r="B34" s="20" t="str">
        <x:v>P1-B1-01</x:v>
      </x:c>
      <x:c r="C34" s="30" t="str">
        <x:f>IF(B34="","",IF(COUNTIFS(Equipment[组合编号],B34)&lt;&gt;1,"组合编号无效",INDEX(Equipment[PLC组],MATCH(B34,Equipment[组合编号],0))))</x:f>
        <x:v>汇川小型</x:v>
      </x:c>
      <x:c r="D34" s="30" t="str">
        <x:f>IF(B34="","",IF(COUNTIFS(Equipment[组合编号],B34)&lt;&gt;1,"组合编号无效",INDEX(Equipment[驱动品牌],MATCH(B34,Equipment[组合编号],0))))</x:f>
        <x:v>CDHD</x:v>
      </x:c>
      <x:c r="E34" s="20" t="str">
        <x:v>S07</x:v>
      </x:c>
      <x:c r="F34" s="20"/>
      <x:c r="G34" s="20"/>
      <x:c r="H34" s="20" t="str">
        <x:v>待判定</x:v>
      </x:c>
      <x:c r="I34" s="20"/>
      <x:c r="J34" s="20" t="str">
        <x:v>未测试</x:v>
      </x:c>
      <x:c r="K34" s="20"/>
      <x:c r="L34" s="20"/>
      <x:c r="M34" s="20"/>
      <x:c r="N34" s="20"/>
      <x:c r="O34" s="31"/>
      <x:c r="P34" s="20"/>
      <x:c r="Q34" s="20"/>
      <x:c r="R34" s="20" t="str">
        <x:v>待展开</x:v>
      </x:c>
      <x:c r="S34" s="20"/>
      <x:c r="T34" s="31"/>
      <x:c r="U34" s="30" t="str">
        <x:f>IF(A34="","缺记录编号",IF(COUNTIFS(PathRecords[记录编号],A34)&lt;&gt;1,"记录编号重复",IF(OR(B34="",E34=""),"缺组合/功能",IF(COUNTIFS(Equipment[组合编号],B34)&lt;&gt;1,"组合编号无效",IF(COUNTIFS(FunctionMatrix[编号],E34)=0,"功能编号无效",IF(H34="不适用",IF(J34="已实测","适用性冲突",IF(I34="","待补不适用依据","不适用（非实测）")),IF(J34="阻塞",IF(I34="","待补阻塞原因","阻塞（非实测）"),IF(J34&lt;&gt;"已实测",IF(F34="","待展开路径","未实测"),IF(H34&lt;&gt;"适用","待确认适用性",IF(INDEX(Equipment[登记状态（自动）],MATCH(B34,Equipment[组合编号],0))&lt;&gt;"已登记","待补设备组合",IF(AND(F34&lt;&gt;"",G34&lt;&gt;"",K34&lt;&gt;"",L34&lt;&gt;"",M34&lt;&gt;"",N34&lt;&gt;"",ISNUMBER(O34),O34&gt;0,P34&lt;&gt;""),"记录齐全","待补实测记录")))))))))))</x:f>
        <x:v>待展开路径</x:v>
      </x:c>
    </x:row>
    <x:row r="35" ht="43.5" customHeight="1">
      <x:c r="A35" s="20" t="str">
        <x:v>REC-00026</x:v>
      </x:c>
      <x:c r="B35" s="20" t="str">
        <x:v>P1-B1-01</x:v>
      </x:c>
      <x:c r="C35" s="30" t="str">
        <x:f>IF(B35="","",IF(COUNTIFS(Equipment[组合编号],B35)&lt;&gt;1,"组合编号无效",INDEX(Equipment[PLC组],MATCH(B35,Equipment[组合编号],0))))</x:f>
        <x:v>汇川小型</x:v>
      </x:c>
      <x:c r="D35" s="30" t="str">
        <x:f>IF(B35="","",IF(COUNTIFS(Equipment[组合编号],B35)&lt;&gt;1,"组合编号无效",INDEX(Equipment[驱动品牌],MATCH(B35,Equipment[组合编号],0))))</x:f>
        <x:v>CDHD</x:v>
      </x:c>
      <x:c r="E35" s="20" t="str">
        <x:v>S08</x:v>
      </x:c>
      <x:c r="F35" s="20"/>
      <x:c r="G35" s="20"/>
      <x:c r="H35" s="20" t="str">
        <x:v>待判定</x:v>
      </x:c>
      <x:c r="I35" s="20"/>
      <x:c r="J35" s="20" t="str">
        <x:v>未测试</x:v>
      </x:c>
      <x:c r="K35" s="20"/>
      <x:c r="L35" s="20"/>
      <x:c r="M35" s="20"/>
      <x:c r="N35" s="20"/>
      <x:c r="O35" s="31"/>
      <x:c r="P35" s="20"/>
      <x:c r="Q35" s="20"/>
      <x:c r="R35" s="20" t="str">
        <x:v>待展开</x:v>
      </x:c>
      <x:c r="S35" s="20"/>
      <x:c r="T35" s="31"/>
      <x:c r="U35" s="30" t="str">
        <x:f>IF(A35="","缺记录编号",IF(COUNTIFS(PathRecords[记录编号],A35)&lt;&gt;1,"记录编号重复",IF(OR(B35="",E35=""),"缺组合/功能",IF(COUNTIFS(Equipment[组合编号],B35)&lt;&gt;1,"组合编号无效",IF(COUNTIFS(FunctionMatrix[编号],E35)=0,"功能编号无效",IF(H35="不适用",IF(J35="已实测","适用性冲突",IF(I35="","待补不适用依据","不适用（非实测）")),IF(J35="阻塞",IF(I35="","待补阻塞原因","阻塞（非实测）"),IF(J35&lt;&gt;"已实测",IF(F35="","待展开路径","未实测"),IF(H35&lt;&gt;"适用","待确认适用性",IF(INDEX(Equipment[登记状态（自动）],MATCH(B35,Equipment[组合编号],0))&lt;&gt;"已登记","待补设备组合",IF(AND(F35&lt;&gt;"",G35&lt;&gt;"",K35&lt;&gt;"",L35&lt;&gt;"",M35&lt;&gt;"",N35&lt;&gt;"",ISNUMBER(O35),O35&gt;0,P35&lt;&gt;""),"记录齐全","待补实测记录")))))))))))</x:f>
        <x:v>待展开路径</x:v>
      </x:c>
    </x:row>
    <x:row r="36" ht="43.5" customHeight="1">
      <x:c r="A36" s="20" t="str">
        <x:v>REC-00027</x:v>
      </x:c>
      <x:c r="B36" s="20" t="str">
        <x:v>P1-B1-01</x:v>
      </x:c>
      <x:c r="C36" s="30" t="str">
        <x:f>IF(B36="","",IF(COUNTIFS(Equipment[组合编号],B36)&lt;&gt;1,"组合编号无效",INDEX(Equipment[PLC组],MATCH(B36,Equipment[组合编号],0))))</x:f>
        <x:v>汇川小型</x:v>
      </x:c>
      <x:c r="D36" s="30" t="str">
        <x:f>IF(B36="","",IF(COUNTIFS(Equipment[组合编号],B36)&lt;&gt;1,"组合编号无效",INDEX(Equipment[驱动品牌],MATCH(B36,Equipment[组合编号],0))))</x:f>
        <x:v>CDHD</x:v>
      </x:c>
      <x:c r="E36" s="20" t="str">
        <x:v>S09</x:v>
      </x:c>
      <x:c r="F36" s="20"/>
      <x:c r="G36" s="20"/>
      <x:c r="H36" s="20" t="str">
        <x:v>待判定</x:v>
      </x:c>
      <x:c r="I36" s="20"/>
      <x:c r="J36" s="20" t="str">
        <x:v>未测试</x:v>
      </x:c>
      <x:c r="K36" s="20"/>
      <x:c r="L36" s="20"/>
      <x:c r="M36" s="20"/>
      <x:c r="N36" s="20"/>
      <x:c r="O36" s="31"/>
      <x:c r="P36" s="20"/>
      <x:c r="Q36" s="20"/>
      <x:c r="R36" s="20" t="str">
        <x:v>待展开</x:v>
      </x:c>
      <x:c r="S36" s="20"/>
      <x:c r="T36" s="31"/>
      <x:c r="U36" s="30" t="str">
        <x:f>IF(A36="","缺记录编号",IF(COUNTIFS(PathRecords[记录编号],A36)&lt;&gt;1,"记录编号重复",IF(OR(B36="",E36=""),"缺组合/功能",IF(COUNTIFS(Equipment[组合编号],B36)&lt;&gt;1,"组合编号无效",IF(COUNTIFS(FunctionMatrix[编号],E36)=0,"功能编号无效",IF(H36="不适用",IF(J36="已实测","适用性冲突",IF(I36="","待补不适用依据","不适用（非实测）")),IF(J36="阻塞",IF(I36="","待补阻塞原因","阻塞（非实测）"),IF(J36&lt;&gt;"已实测",IF(F36="","待展开路径","未实测"),IF(H36&lt;&gt;"适用","待确认适用性",IF(INDEX(Equipment[登记状态（自动）],MATCH(B36,Equipment[组合编号],0))&lt;&gt;"已登记","待补设备组合",IF(AND(F36&lt;&gt;"",G36&lt;&gt;"",K36&lt;&gt;"",L36&lt;&gt;"",M36&lt;&gt;"",N36&lt;&gt;"",ISNUMBER(O36),O36&gt;0,P36&lt;&gt;""),"记录齐全","待补实测记录")))))))))))</x:f>
        <x:v>待展开路径</x:v>
      </x:c>
    </x:row>
    <x:row r="37" ht="43.5" customHeight="1">
      <x:c r="A37" s="20" t="str">
        <x:v>REC-00028</x:v>
      </x:c>
      <x:c r="B37" s="20" t="str">
        <x:v>P1-B1-01</x:v>
      </x:c>
      <x:c r="C37" s="30" t="str">
        <x:f>IF(B37="","",IF(COUNTIFS(Equipment[组合编号],B37)&lt;&gt;1,"组合编号无效",INDEX(Equipment[PLC组],MATCH(B37,Equipment[组合编号],0))))</x:f>
        <x:v>汇川小型</x:v>
      </x:c>
      <x:c r="D37" s="30" t="str">
        <x:f>IF(B37="","",IF(COUNTIFS(Equipment[组合编号],B37)&lt;&gt;1,"组合编号无效",INDEX(Equipment[驱动品牌],MATCH(B37,Equipment[组合编号],0))))</x:f>
        <x:v>CDHD</x:v>
      </x:c>
      <x:c r="E37" s="20" t="str">
        <x:v>U01</x:v>
      </x:c>
      <x:c r="F37" s="20"/>
      <x:c r="G37" s="20"/>
      <x:c r="H37" s="20" t="str">
        <x:v>待判定</x:v>
      </x:c>
      <x:c r="I37" s="20"/>
      <x:c r="J37" s="20" t="str">
        <x:v>未测试</x:v>
      </x:c>
      <x:c r="K37" s="20"/>
      <x:c r="L37" s="20"/>
      <x:c r="M37" s="20"/>
      <x:c r="N37" s="20"/>
      <x:c r="O37" s="31"/>
      <x:c r="P37" s="20"/>
      <x:c r="Q37" s="20"/>
      <x:c r="R37" s="20" t="str">
        <x:v>待展开</x:v>
      </x:c>
      <x:c r="S37" s="20"/>
      <x:c r="T37" s="31"/>
      <x:c r="U37" s="30" t="str">
        <x:f>IF(A37="","缺记录编号",IF(COUNTIFS(PathRecords[记录编号],A37)&lt;&gt;1,"记录编号重复",IF(OR(B37="",E37=""),"缺组合/功能",IF(COUNTIFS(Equipment[组合编号],B37)&lt;&gt;1,"组合编号无效",IF(COUNTIFS(FunctionMatrix[编号],E37)=0,"功能编号无效",IF(H37="不适用",IF(J37="已实测","适用性冲突",IF(I37="","待补不适用依据","不适用（非实测）")),IF(J37="阻塞",IF(I37="","待补阻塞原因","阻塞（非实测）"),IF(J37&lt;&gt;"已实测",IF(F37="","待展开路径","未实测"),IF(H37&lt;&gt;"适用","待确认适用性",IF(INDEX(Equipment[登记状态（自动）],MATCH(B37,Equipment[组合编号],0))&lt;&gt;"已登记","待补设备组合",IF(AND(F37&lt;&gt;"",G37&lt;&gt;"",K37&lt;&gt;"",L37&lt;&gt;"",M37&lt;&gt;"",N37&lt;&gt;"",ISNUMBER(O37),O37&gt;0,P37&lt;&gt;""),"记录齐全","待补实测记录")))))))))))</x:f>
        <x:v>待展开路径</x:v>
      </x:c>
    </x:row>
    <x:row r="38" ht="43.5" customHeight="1">
      <x:c r="A38" s="20" t="str">
        <x:v>REC-00029</x:v>
      </x:c>
      <x:c r="B38" s="20" t="str">
        <x:v>P1-B1-01</x:v>
      </x:c>
      <x:c r="C38" s="30" t="str">
        <x:f>IF(B38="","",IF(COUNTIFS(Equipment[组合编号],B38)&lt;&gt;1,"组合编号无效",INDEX(Equipment[PLC组],MATCH(B38,Equipment[组合编号],0))))</x:f>
        <x:v>汇川小型</x:v>
      </x:c>
      <x:c r="D38" s="30" t="str">
        <x:f>IF(B38="","",IF(COUNTIFS(Equipment[组合编号],B38)&lt;&gt;1,"组合编号无效",INDEX(Equipment[驱动品牌],MATCH(B38,Equipment[组合编号],0))))</x:f>
        <x:v>CDHD</x:v>
      </x:c>
      <x:c r="E38" s="20" t="str">
        <x:v>U02</x:v>
      </x:c>
      <x:c r="F38" s="20"/>
      <x:c r="G38" s="20"/>
      <x:c r="H38" s="20" t="str">
        <x:v>待判定</x:v>
      </x:c>
      <x:c r="I38" s="20"/>
      <x:c r="J38" s="20" t="str">
        <x:v>未测试</x:v>
      </x:c>
      <x:c r="K38" s="20"/>
      <x:c r="L38" s="20"/>
      <x:c r="M38" s="20"/>
      <x:c r="N38" s="20"/>
      <x:c r="O38" s="31"/>
      <x:c r="P38" s="20"/>
      <x:c r="Q38" s="20"/>
      <x:c r="R38" s="20" t="str">
        <x:v>待展开</x:v>
      </x:c>
      <x:c r="S38" s="20"/>
      <x:c r="T38" s="31"/>
      <x:c r="U38" s="30" t="str">
        <x:f>IF(A38="","缺记录编号",IF(COUNTIFS(PathRecords[记录编号],A38)&lt;&gt;1,"记录编号重复",IF(OR(B38="",E38=""),"缺组合/功能",IF(COUNTIFS(Equipment[组合编号],B38)&lt;&gt;1,"组合编号无效",IF(COUNTIFS(FunctionMatrix[编号],E38)=0,"功能编号无效",IF(H38="不适用",IF(J38="已实测","适用性冲突",IF(I38="","待补不适用依据","不适用（非实测）")),IF(J38="阻塞",IF(I38="","待补阻塞原因","阻塞（非实测）"),IF(J38&lt;&gt;"已实测",IF(F38="","待展开路径","未实测"),IF(H38&lt;&gt;"适用","待确认适用性",IF(INDEX(Equipment[登记状态（自动）],MATCH(B38,Equipment[组合编号],0))&lt;&gt;"已登记","待补设备组合",IF(AND(F38&lt;&gt;"",G38&lt;&gt;"",K38&lt;&gt;"",L38&lt;&gt;"",M38&lt;&gt;"",N38&lt;&gt;"",ISNUMBER(O38),O38&gt;0,P38&lt;&gt;""),"记录齐全","待补实测记录")))))))))))</x:f>
        <x:v>待展开路径</x:v>
      </x:c>
    </x:row>
    <x:row r="39" ht="43.5" customHeight="1">
      <x:c r="A39" s="20" t="str">
        <x:v>REC-00030</x:v>
      </x:c>
      <x:c r="B39" s="20" t="str">
        <x:v>P1-B1-01</x:v>
      </x:c>
      <x:c r="C39" s="30" t="str">
        <x:f>IF(B39="","",IF(COUNTIFS(Equipment[组合编号],B39)&lt;&gt;1,"组合编号无效",INDEX(Equipment[PLC组],MATCH(B39,Equipment[组合编号],0))))</x:f>
        <x:v>汇川小型</x:v>
      </x:c>
      <x:c r="D39" s="30" t="str">
        <x:f>IF(B39="","",IF(COUNTIFS(Equipment[组合编号],B39)&lt;&gt;1,"组合编号无效",INDEX(Equipment[驱动品牌],MATCH(B39,Equipment[组合编号],0))))</x:f>
        <x:v>CDHD</x:v>
      </x:c>
      <x:c r="E39" s="20" t="str">
        <x:v>U03</x:v>
      </x:c>
      <x:c r="F39" s="20"/>
      <x:c r="G39" s="20"/>
      <x:c r="H39" s="20" t="str">
        <x:v>待判定</x:v>
      </x:c>
      <x:c r="I39" s="20"/>
      <x:c r="J39" s="20" t="str">
        <x:v>未测试</x:v>
      </x:c>
      <x:c r="K39" s="20"/>
      <x:c r="L39" s="20"/>
      <x:c r="M39" s="20"/>
      <x:c r="N39" s="20"/>
      <x:c r="O39" s="31"/>
      <x:c r="P39" s="20"/>
      <x:c r="Q39" s="20"/>
      <x:c r="R39" s="20" t="str">
        <x:v>待展开</x:v>
      </x:c>
      <x:c r="S39" s="20"/>
      <x:c r="T39" s="31"/>
      <x:c r="U39" s="30" t="str">
        <x:f>IF(A39="","缺记录编号",IF(COUNTIFS(PathRecords[记录编号],A39)&lt;&gt;1,"记录编号重复",IF(OR(B39="",E39=""),"缺组合/功能",IF(COUNTIFS(Equipment[组合编号],B39)&lt;&gt;1,"组合编号无效",IF(COUNTIFS(FunctionMatrix[编号],E39)=0,"功能编号无效",IF(H39="不适用",IF(J39="已实测","适用性冲突",IF(I39="","待补不适用依据","不适用（非实测）")),IF(J39="阻塞",IF(I39="","待补阻塞原因","阻塞（非实测）"),IF(J39&lt;&gt;"已实测",IF(F39="","待展开路径","未实测"),IF(H39&lt;&gt;"适用","待确认适用性",IF(INDEX(Equipment[登记状态（自动）],MATCH(B39,Equipment[组合编号],0))&lt;&gt;"已登记","待补设备组合",IF(AND(F39&lt;&gt;"",G39&lt;&gt;"",K39&lt;&gt;"",L39&lt;&gt;"",M39&lt;&gt;"",N39&lt;&gt;"",ISNUMBER(O39),O39&gt;0,P39&lt;&gt;""),"记录齐全","待补实测记录")))))))))))</x:f>
        <x:v>待展开路径</x:v>
      </x:c>
    </x:row>
    <x:row r="40" ht="43.5" customHeight="1">
      <x:c r="A40" s="20" t="str">
        <x:v>REC-00031</x:v>
      </x:c>
      <x:c r="B40" s="20" t="str">
        <x:v>P1-B1-01</x:v>
      </x:c>
      <x:c r="C40" s="30" t="str">
        <x:f>IF(B40="","",IF(COUNTIFS(Equipment[组合编号],B40)&lt;&gt;1,"组合编号无效",INDEX(Equipment[PLC组],MATCH(B40,Equipment[组合编号],0))))</x:f>
        <x:v>汇川小型</x:v>
      </x:c>
      <x:c r="D40" s="30" t="str">
        <x:f>IF(B40="","",IF(COUNTIFS(Equipment[组合编号],B40)&lt;&gt;1,"组合编号无效",INDEX(Equipment[驱动品牌],MATCH(B40,Equipment[组合编号],0))))</x:f>
        <x:v>CDHD</x:v>
      </x:c>
      <x:c r="E40" s="20" t="str">
        <x:v>U04</x:v>
      </x:c>
      <x:c r="F40" s="20"/>
      <x:c r="G40" s="20"/>
      <x:c r="H40" s="20" t="str">
        <x:v>待判定</x:v>
      </x:c>
      <x:c r="I40" s="20"/>
      <x:c r="J40" s="20" t="str">
        <x:v>未测试</x:v>
      </x:c>
      <x:c r="K40" s="20"/>
      <x:c r="L40" s="20"/>
      <x:c r="M40" s="20"/>
      <x:c r="N40" s="20"/>
      <x:c r="O40" s="31"/>
      <x:c r="P40" s="20"/>
      <x:c r="Q40" s="20"/>
      <x:c r="R40" s="20" t="str">
        <x:v>待展开</x:v>
      </x:c>
      <x:c r="S40" s="20"/>
      <x:c r="T40" s="31"/>
      <x:c r="U40" s="30" t="str">
        <x:f>IF(A40="","缺记录编号",IF(COUNTIFS(PathRecords[记录编号],A40)&lt;&gt;1,"记录编号重复",IF(OR(B40="",E40=""),"缺组合/功能",IF(COUNTIFS(Equipment[组合编号],B40)&lt;&gt;1,"组合编号无效",IF(COUNTIFS(FunctionMatrix[编号],E40)=0,"功能编号无效",IF(H40="不适用",IF(J40="已实测","适用性冲突",IF(I40="","待补不适用依据","不适用（非实测）")),IF(J40="阻塞",IF(I40="","待补阻塞原因","阻塞（非实测）"),IF(J40&lt;&gt;"已实测",IF(F40="","待展开路径","未实测"),IF(H40&lt;&gt;"适用","待确认适用性",IF(INDEX(Equipment[登记状态（自动）],MATCH(B40,Equipment[组合编号],0))&lt;&gt;"已登记","待补设备组合",IF(AND(F40&lt;&gt;"",G40&lt;&gt;"",K40&lt;&gt;"",L40&lt;&gt;"",M40&lt;&gt;"",N40&lt;&gt;"",ISNUMBER(O40),O40&gt;0,P40&lt;&gt;""),"记录齐全","待补实测记录")))))))))))</x:f>
        <x:v>待展开路径</x:v>
      </x:c>
    </x:row>
    <x:row r="41" ht="43.5" customHeight="1">
      <x:c r="A41" s="20" t="str">
        <x:v>REC-00032</x:v>
      </x:c>
      <x:c r="B41" s="20" t="str">
        <x:v>P1-B1-01</x:v>
      </x:c>
      <x:c r="C41" s="30" t="str">
        <x:f>IF(B41="","",IF(COUNTIFS(Equipment[组合编号],B41)&lt;&gt;1,"组合编号无效",INDEX(Equipment[PLC组],MATCH(B41,Equipment[组合编号],0))))</x:f>
        <x:v>汇川小型</x:v>
      </x:c>
      <x:c r="D41" s="30" t="str">
        <x:f>IF(B41="","",IF(COUNTIFS(Equipment[组合编号],B41)&lt;&gt;1,"组合编号无效",INDEX(Equipment[驱动品牌],MATCH(B41,Equipment[组合编号],0))))</x:f>
        <x:v>CDHD</x:v>
      </x:c>
      <x:c r="E41" s="20" t="str">
        <x:v>U05</x:v>
      </x:c>
      <x:c r="F41" s="20"/>
      <x:c r="G41" s="20"/>
      <x:c r="H41" s="20" t="str">
        <x:v>待判定</x:v>
      </x:c>
      <x:c r="I41" s="20"/>
      <x:c r="J41" s="20" t="str">
        <x:v>未测试</x:v>
      </x:c>
      <x:c r="K41" s="20"/>
      <x:c r="L41" s="20"/>
      <x:c r="M41" s="20"/>
      <x:c r="N41" s="20"/>
      <x:c r="O41" s="31"/>
      <x:c r="P41" s="20"/>
      <x:c r="Q41" s="20"/>
      <x:c r="R41" s="20" t="str">
        <x:v>待展开</x:v>
      </x:c>
      <x:c r="S41" s="20"/>
      <x:c r="T41" s="31"/>
      <x:c r="U41" s="30" t="str">
        <x:f>IF(A41="","缺记录编号",IF(COUNTIFS(PathRecords[记录编号],A41)&lt;&gt;1,"记录编号重复",IF(OR(B41="",E41=""),"缺组合/功能",IF(COUNTIFS(Equipment[组合编号],B41)&lt;&gt;1,"组合编号无效",IF(COUNTIFS(FunctionMatrix[编号],E41)=0,"功能编号无效",IF(H41="不适用",IF(J41="已实测","适用性冲突",IF(I41="","待补不适用依据","不适用（非实测）")),IF(J41="阻塞",IF(I41="","待补阻塞原因","阻塞（非实测）"),IF(J41&lt;&gt;"已实测",IF(F41="","待展开路径","未实测"),IF(H41&lt;&gt;"适用","待确认适用性",IF(INDEX(Equipment[登记状态（自动）],MATCH(B41,Equipment[组合编号],0))&lt;&gt;"已登记","待补设备组合",IF(AND(F41&lt;&gt;"",G41&lt;&gt;"",K41&lt;&gt;"",L41&lt;&gt;"",M41&lt;&gt;"",N41&lt;&gt;"",ISNUMBER(O41),O41&gt;0,P41&lt;&gt;""),"记录齐全","待补实测记录")))))))))))</x:f>
        <x:v>待展开路径</x:v>
      </x:c>
    </x:row>
    <x:row r="42" ht="43.5" customHeight="1">
      <x:c r="A42" s="20" t="str">
        <x:v>REC-00033</x:v>
      </x:c>
      <x:c r="B42" s="20" t="str">
        <x:v>P1-B1-01</x:v>
      </x:c>
      <x:c r="C42" s="30" t="str">
        <x:f>IF(B42="","",IF(COUNTIFS(Equipment[组合编号],B42)&lt;&gt;1,"组合编号无效",INDEX(Equipment[PLC组],MATCH(B42,Equipment[组合编号],0))))</x:f>
        <x:v>汇川小型</x:v>
      </x:c>
      <x:c r="D42" s="30" t="str">
        <x:f>IF(B42="","",IF(COUNTIFS(Equipment[组合编号],B42)&lt;&gt;1,"组合编号无效",INDEX(Equipment[驱动品牌],MATCH(B42,Equipment[组合编号],0))))</x:f>
        <x:v>CDHD</x:v>
      </x:c>
      <x:c r="E42" s="20" t="str">
        <x:v>U06</x:v>
      </x:c>
      <x:c r="F42" s="20"/>
      <x:c r="G42" s="20"/>
      <x:c r="H42" s="20" t="str">
        <x:v>待判定</x:v>
      </x:c>
      <x:c r="I42" s="20"/>
      <x:c r="J42" s="20" t="str">
        <x:v>未测试</x:v>
      </x:c>
      <x:c r="K42" s="20"/>
      <x:c r="L42" s="20"/>
      <x:c r="M42" s="20"/>
      <x:c r="N42" s="20"/>
      <x:c r="O42" s="31"/>
      <x:c r="P42" s="20"/>
      <x:c r="Q42" s="20"/>
      <x:c r="R42" s="20" t="str">
        <x:v>待展开</x:v>
      </x:c>
      <x:c r="S42" s="20"/>
      <x:c r="T42" s="31"/>
      <x:c r="U42" s="30" t="str">
        <x:f>IF(A42="","缺记录编号",IF(COUNTIFS(PathRecords[记录编号],A42)&lt;&gt;1,"记录编号重复",IF(OR(B42="",E42=""),"缺组合/功能",IF(COUNTIFS(Equipment[组合编号],B42)&lt;&gt;1,"组合编号无效",IF(COUNTIFS(FunctionMatrix[编号],E42)=0,"功能编号无效",IF(H42="不适用",IF(J42="已实测","适用性冲突",IF(I42="","待补不适用依据","不适用（非实测）")),IF(J42="阻塞",IF(I42="","待补阻塞原因","阻塞（非实测）"),IF(J42&lt;&gt;"已实测",IF(F42="","待展开路径","未实测"),IF(H42&lt;&gt;"适用","待确认适用性",IF(INDEX(Equipment[登记状态（自动）],MATCH(B42,Equipment[组合编号],0))&lt;&gt;"已登记","待补设备组合",IF(AND(F42&lt;&gt;"",G42&lt;&gt;"",K42&lt;&gt;"",L42&lt;&gt;"",M42&lt;&gt;"",N42&lt;&gt;"",ISNUMBER(O42),O42&gt;0,P42&lt;&gt;""),"记录齐全","待补实测记录")))))))))))</x:f>
        <x:v>待展开路径</x:v>
      </x:c>
    </x:row>
    <x:row r="43" ht="43.5" customHeight="1">
      <x:c r="A43" s="20" t="str">
        <x:v>REC-00034</x:v>
      </x:c>
      <x:c r="B43" s="20" t="str">
        <x:v>P1-B1-01</x:v>
      </x:c>
      <x:c r="C43" s="30" t="str">
        <x:f>IF(B43="","",IF(COUNTIFS(Equipment[组合编号],B43)&lt;&gt;1,"组合编号无效",INDEX(Equipment[PLC组],MATCH(B43,Equipment[组合编号],0))))</x:f>
        <x:v>汇川小型</x:v>
      </x:c>
      <x:c r="D43" s="30" t="str">
        <x:f>IF(B43="","",IF(COUNTIFS(Equipment[组合编号],B43)&lt;&gt;1,"组合编号无效",INDEX(Equipment[驱动品牌],MATCH(B43,Equipment[组合编号],0))))</x:f>
        <x:v>CDHD</x:v>
      </x:c>
      <x:c r="E43" s="20" t="str">
        <x:v>U07</x:v>
      </x:c>
      <x:c r="F43" s="20"/>
      <x:c r="G43" s="20"/>
      <x:c r="H43" s="20" t="str">
        <x:v>待判定</x:v>
      </x:c>
      <x:c r="I43" s="20"/>
      <x:c r="J43" s="20" t="str">
        <x:v>未测试</x:v>
      </x:c>
      <x:c r="K43" s="20"/>
      <x:c r="L43" s="20"/>
      <x:c r="M43" s="20"/>
      <x:c r="N43" s="20"/>
      <x:c r="O43" s="31"/>
      <x:c r="P43" s="20"/>
      <x:c r="Q43" s="20"/>
      <x:c r="R43" s="20" t="str">
        <x:v>待展开</x:v>
      </x:c>
      <x:c r="S43" s="20"/>
      <x:c r="T43" s="31"/>
      <x:c r="U43" s="30" t="str">
        <x:f>IF(A43="","缺记录编号",IF(COUNTIFS(PathRecords[记录编号],A43)&lt;&gt;1,"记录编号重复",IF(OR(B43="",E43=""),"缺组合/功能",IF(COUNTIFS(Equipment[组合编号],B43)&lt;&gt;1,"组合编号无效",IF(COUNTIFS(FunctionMatrix[编号],E43)=0,"功能编号无效",IF(H43="不适用",IF(J43="已实测","适用性冲突",IF(I43="","待补不适用依据","不适用（非实测）")),IF(J43="阻塞",IF(I43="","待补阻塞原因","阻塞（非实测）"),IF(J43&lt;&gt;"已实测",IF(F43="","待展开路径","未实测"),IF(H43&lt;&gt;"适用","待确认适用性",IF(INDEX(Equipment[登记状态（自动）],MATCH(B43,Equipment[组合编号],0))&lt;&gt;"已登记","待补设备组合",IF(AND(F43&lt;&gt;"",G43&lt;&gt;"",K43&lt;&gt;"",L43&lt;&gt;"",M43&lt;&gt;"",N43&lt;&gt;"",ISNUMBER(O43),O43&gt;0,P43&lt;&gt;""),"记录齐全","待补实测记录")))))))))))</x:f>
        <x:v>待展开路径</x:v>
      </x:c>
    </x:row>
    <x:row r="44" ht="43.5" customHeight="1">
      <x:c r="A44" s="20" t="str">
        <x:v>REC-00035</x:v>
      </x:c>
      <x:c r="B44" s="20" t="str">
        <x:v>P1-B1-01</x:v>
      </x:c>
      <x:c r="C44" s="30" t="str">
        <x:f>IF(B44="","",IF(COUNTIFS(Equipment[组合编号],B44)&lt;&gt;1,"组合编号无效",INDEX(Equipment[PLC组],MATCH(B44,Equipment[组合编号],0))))</x:f>
        <x:v>汇川小型</x:v>
      </x:c>
      <x:c r="D44" s="30" t="str">
        <x:f>IF(B44="","",IF(COUNTIFS(Equipment[组合编号],B44)&lt;&gt;1,"组合编号无效",INDEX(Equipment[驱动品牌],MATCH(B44,Equipment[组合编号],0))))</x:f>
        <x:v>CDHD</x:v>
      </x:c>
      <x:c r="E44" s="20" t="str">
        <x:v>U08</x:v>
      </x:c>
      <x:c r="F44" s="20"/>
      <x:c r="G44" s="20"/>
      <x:c r="H44" s="20" t="str">
        <x:v>待判定</x:v>
      </x:c>
      <x:c r="I44" s="20"/>
      <x:c r="J44" s="20" t="str">
        <x:v>未测试</x:v>
      </x:c>
      <x:c r="K44" s="20"/>
      <x:c r="L44" s="20"/>
      <x:c r="M44" s="20"/>
      <x:c r="N44" s="20"/>
      <x:c r="O44" s="31"/>
      <x:c r="P44" s="20"/>
      <x:c r="Q44" s="20"/>
      <x:c r="R44" s="20" t="str">
        <x:v>待展开</x:v>
      </x:c>
      <x:c r="S44" s="20"/>
      <x:c r="T44" s="31"/>
      <x:c r="U44" s="30" t="str">
        <x:f>IF(A44="","缺记录编号",IF(COUNTIFS(PathRecords[记录编号],A44)&lt;&gt;1,"记录编号重复",IF(OR(B44="",E44=""),"缺组合/功能",IF(COUNTIFS(Equipment[组合编号],B44)&lt;&gt;1,"组合编号无效",IF(COUNTIFS(FunctionMatrix[编号],E44)=0,"功能编号无效",IF(H44="不适用",IF(J44="已实测","适用性冲突",IF(I44="","待补不适用依据","不适用（非实测）")),IF(J44="阻塞",IF(I44="","待补阻塞原因","阻塞（非实测）"),IF(J44&lt;&gt;"已实测",IF(F44="","待展开路径","未实测"),IF(H44&lt;&gt;"适用","待确认适用性",IF(INDEX(Equipment[登记状态（自动）],MATCH(B44,Equipment[组合编号],0))&lt;&gt;"已登记","待补设备组合",IF(AND(F44&lt;&gt;"",G44&lt;&gt;"",K44&lt;&gt;"",L44&lt;&gt;"",M44&lt;&gt;"",N44&lt;&gt;"",ISNUMBER(O44),O44&gt;0,P44&lt;&gt;""),"记录齐全","待补实测记录")))))))))))</x:f>
        <x:v>待展开路径</x:v>
      </x:c>
    </x:row>
    <x:row r="45" ht="43.5" customHeight="1">
      <x:c r="A45" s="20" t="str">
        <x:v>REC-00036</x:v>
      </x:c>
      <x:c r="B45" s="20" t="str">
        <x:v>P1-B1-01</x:v>
      </x:c>
      <x:c r="C45" s="30" t="str">
        <x:f>IF(B45="","",IF(COUNTIFS(Equipment[组合编号],B45)&lt;&gt;1,"组合编号无效",INDEX(Equipment[PLC组],MATCH(B45,Equipment[组合编号],0))))</x:f>
        <x:v>汇川小型</x:v>
      </x:c>
      <x:c r="D45" s="30" t="str">
        <x:f>IF(B45="","",IF(COUNTIFS(Equipment[组合编号],B45)&lt;&gt;1,"组合编号无效",INDEX(Equipment[驱动品牌],MATCH(B45,Equipment[组合编号],0))))</x:f>
        <x:v>CDHD</x:v>
      </x:c>
      <x:c r="E45" s="20" t="str">
        <x:v>U09</x:v>
      </x:c>
      <x:c r="F45" s="20"/>
      <x:c r="G45" s="20"/>
      <x:c r="H45" s="20" t="str">
        <x:v>待判定</x:v>
      </x:c>
      <x:c r="I45" s="20"/>
      <x:c r="J45" s="20" t="str">
        <x:v>未测试</x:v>
      </x:c>
      <x:c r="K45" s="20"/>
      <x:c r="L45" s="20"/>
      <x:c r="M45" s="20"/>
      <x:c r="N45" s="20"/>
      <x:c r="O45" s="31"/>
      <x:c r="P45" s="20"/>
      <x:c r="Q45" s="20"/>
      <x:c r="R45" s="20" t="str">
        <x:v>待展开</x:v>
      </x:c>
      <x:c r="S45" s="20"/>
      <x:c r="T45" s="31"/>
      <x:c r="U45" s="30" t="str">
        <x:f>IF(A45="","缺记录编号",IF(COUNTIFS(PathRecords[记录编号],A45)&lt;&gt;1,"记录编号重复",IF(OR(B45="",E45=""),"缺组合/功能",IF(COUNTIFS(Equipment[组合编号],B45)&lt;&gt;1,"组合编号无效",IF(COUNTIFS(FunctionMatrix[编号],E45)=0,"功能编号无效",IF(H45="不适用",IF(J45="已实测","适用性冲突",IF(I45="","待补不适用依据","不适用（非实测）")),IF(J45="阻塞",IF(I45="","待补阻塞原因","阻塞（非实测）"),IF(J45&lt;&gt;"已实测",IF(F45="","待展开路径","未实测"),IF(H45&lt;&gt;"适用","待确认适用性",IF(INDEX(Equipment[登记状态（自动）],MATCH(B45,Equipment[组合编号],0))&lt;&gt;"已登记","待补设备组合",IF(AND(F45&lt;&gt;"",G45&lt;&gt;"",K45&lt;&gt;"",L45&lt;&gt;"",M45&lt;&gt;"",N45&lt;&gt;"",ISNUMBER(O45),O45&gt;0,P45&lt;&gt;""),"记录齐全","待补实测记录")))))))))))</x:f>
        <x:v>待展开路径</x:v>
      </x:c>
    </x:row>
    <x:row r="46" ht="43.5" customHeight="1">
      <x:c r="A46" s="20" t="str">
        <x:v>REC-00037</x:v>
      </x:c>
      <x:c r="B46" s="20" t="str">
        <x:v>P1-B1-01</x:v>
      </x:c>
      <x:c r="C46" s="30" t="str">
        <x:f>IF(B46="","",IF(COUNTIFS(Equipment[组合编号],B46)&lt;&gt;1,"组合编号无效",INDEX(Equipment[PLC组],MATCH(B46,Equipment[组合编号],0))))</x:f>
        <x:v>汇川小型</x:v>
      </x:c>
      <x:c r="D46" s="30" t="str">
        <x:f>IF(B46="","",IF(COUNTIFS(Equipment[组合编号],B46)&lt;&gt;1,"组合编号无效",INDEX(Equipment[驱动品牌],MATCH(B46,Equipment[组合编号],0))))</x:f>
        <x:v>CDHD</x:v>
      </x:c>
      <x:c r="E46" s="20" t="str">
        <x:v>U10</x:v>
      </x:c>
      <x:c r="F46" s="20"/>
      <x:c r="G46" s="20"/>
      <x:c r="H46" s="20" t="str">
        <x:v>待判定</x:v>
      </x:c>
      <x:c r="I46" s="20"/>
      <x:c r="J46" s="20" t="str">
        <x:v>未测试</x:v>
      </x:c>
      <x:c r="K46" s="20"/>
      <x:c r="L46" s="20"/>
      <x:c r="M46" s="20"/>
      <x:c r="N46" s="20"/>
      <x:c r="O46" s="31"/>
      <x:c r="P46" s="20"/>
      <x:c r="Q46" s="20"/>
      <x:c r="R46" s="20" t="str">
        <x:v>待展开</x:v>
      </x:c>
      <x:c r="S46" s="20"/>
      <x:c r="T46" s="31"/>
      <x:c r="U46" s="30" t="str">
        <x:f>IF(A46="","缺记录编号",IF(COUNTIFS(PathRecords[记录编号],A46)&lt;&gt;1,"记录编号重复",IF(OR(B46="",E46=""),"缺组合/功能",IF(COUNTIFS(Equipment[组合编号],B46)&lt;&gt;1,"组合编号无效",IF(COUNTIFS(FunctionMatrix[编号],E46)=0,"功能编号无效",IF(H46="不适用",IF(J46="已实测","适用性冲突",IF(I46="","待补不适用依据","不适用（非实测）")),IF(J46="阻塞",IF(I46="","待补阻塞原因","阻塞（非实测）"),IF(J46&lt;&gt;"已实测",IF(F46="","待展开路径","未实测"),IF(H46&lt;&gt;"适用","待确认适用性",IF(INDEX(Equipment[登记状态（自动）],MATCH(B46,Equipment[组合编号],0))&lt;&gt;"已登记","待补设备组合",IF(AND(F46&lt;&gt;"",G46&lt;&gt;"",K46&lt;&gt;"",L46&lt;&gt;"",M46&lt;&gt;"",N46&lt;&gt;"",ISNUMBER(O46),O46&gt;0,P46&lt;&gt;""),"记录齐全","待补实测记录")))))))))))</x:f>
        <x:v>待展开路径</x:v>
      </x:c>
    </x:row>
    <x:row r="47" ht="43.5" customHeight="1">
      <x:c r="A47" s="20" t="str">
        <x:v>REC-00038</x:v>
      </x:c>
      <x:c r="B47" s="20" t="str">
        <x:v>P1-B1-01</x:v>
      </x:c>
      <x:c r="C47" s="30" t="str">
        <x:f>IF(B47="","",IF(COUNTIFS(Equipment[组合编号],B47)&lt;&gt;1,"组合编号无效",INDEX(Equipment[PLC组],MATCH(B47,Equipment[组合编号],0))))</x:f>
        <x:v>汇川小型</x:v>
      </x:c>
      <x:c r="D47" s="30" t="str">
        <x:f>IF(B47="","",IF(COUNTIFS(Equipment[组合编号],B47)&lt;&gt;1,"组合编号无效",INDEX(Equipment[驱动品牌],MATCH(B47,Equipment[组合编号],0))))</x:f>
        <x:v>CDHD</x:v>
      </x:c>
      <x:c r="E47" s="20" t="str">
        <x:v>H01</x:v>
      </x:c>
      <x:c r="F47" s="20"/>
      <x:c r="G47" s="20"/>
      <x:c r="H47" s="20" t="str">
        <x:v>待判定</x:v>
      </x:c>
      <x:c r="I47" s="20"/>
      <x:c r="J47" s="20" t="str">
        <x:v>未测试</x:v>
      </x:c>
      <x:c r="K47" s="20"/>
      <x:c r="L47" s="20"/>
      <x:c r="M47" s="20"/>
      <x:c r="N47" s="20"/>
      <x:c r="O47" s="31"/>
      <x:c r="P47" s="20"/>
      <x:c r="Q47" s="20"/>
      <x:c r="R47" s="20" t="str">
        <x:v>待展开</x:v>
      </x:c>
      <x:c r="S47" s="20"/>
      <x:c r="T47" s="31"/>
      <x:c r="U47" s="30" t="str">
        <x:f>IF(A47="","缺记录编号",IF(COUNTIFS(PathRecords[记录编号],A47)&lt;&gt;1,"记录编号重复",IF(OR(B47="",E47=""),"缺组合/功能",IF(COUNTIFS(Equipment[组合编号],B47)&lt;&gt;1,"组合编号无效",IF(COUNTIFS(FunctionMatrix[编号],E47)=0,"功能编号无效",IF(H47="不适用",IF(J47="已实测","适用性冲突",IF(I47="","待补不适用依据","不适用（非实测）")),IF(J47="阻塞",IF(I47="","待补阻塞原因","阻塞（非实测）"),IF(J47&lt;&gt;"已实测",IF(F47="","待展开路径","未实测"),IF(H47&lt;&gt;"适用","待确认适用性",IF(INDEX(Equipment[登记状态（自动）],MATCH(B47,Equipment[组合编号],0))&lt;&gt;"已登记","待补设备组合",IF(AND(F47&lt;&gt;"",G47&lt;&gt;"",K47&lt;&gt;"",L47&lt;&gt;"",M47&lt;&gt;"",N47&lt;&gt;"",ISNUMBER(O47),O47&gt;0,P47&lt;&gt;""),"记录齐全","待补实测记录")))))))))))</x:f>
        <x:v>待展开路径</x:v>
      </x:c>
    </x:row>
    <x:row r="48" ht="43.5" customHeight="1">
      <x:c r="A48" s="20" t="str">
        <x:v>REC-00039</x:v>
      </x:c>
      <x:c r="B48" s="20" t="str">
        <x:v>P1-B1-01</x:v>
      </x:c>
      <x:c r="C48" s="30" t="str">
        <x:f>IF(B48="","",IF(COUNTIFS(Equipment[组合编号],B48)&lt;&gt;1,"组合编号无效",INDEX(Equipment[PLC组],MATCH(B48,Equipment[组合编号],0))))</x:f>
        <x:v>汇川小型</x:v>
      </x:c>
      <x:c r="D48" s="30" t="str">
        <x:f>IF(B48="","",IF(COUNTIFS(Equipment[组合编号],B48)&lt;&gt;1,"组合编号无效",INDEX(Equipment[驱动品牌],MATCH(B48,Equipment[组合编号],0))))</x:f>
        <x:v>CDHD</x:v>
      </x:c>
      <x:c r="E48" s="20" t="str">
        <x:v>H02</x:v>
      </x:c>
      <x:c r="F48" s="20"/>
      <x:c r="G48" s="20"/>
      <x:c r="H48" s="20" t="str">
        <x:v>待判定</x:v>
      </x:c>
      <x:c r="I48" s="20"/>
      <x:c r="J48" s="20" t="str">
        <x:v>未测试</x:v>
      </x:c>
      <x:c r="K48" s="20"/>
      <x:c r="L48" s="20"/>
      <x:c r="M48" s="20"/>
      <x:c r="N48" s="20"/>
      <x:c r="O48" s="31"/>
      <x:c r="P48" s="20"/>
      <x:c r="Q48" s="20"/>
      <x:c r="R48" s="20" t="str">
        <x:v>待展开</x:v>
      </x:c>
      <x:c r="S48" s="20"/>
      <x:c r="T48" s="31"/>
      <x:c r="U48" s="30" t="str">
        <x:f>IF(A48="","缺记录编号",IF(COUNTIFS(PathRecords[记录编号],A48)&lt;&gt;1,"记录编号重复",IF(OR(B48="",E48=""),"缺组合/功能",IF(COUNTIFS(Equipment[组合编号],B48)&lt;&gt;1,"组合编号无效",IF(COUNTIFS(FunctionMatrix[编号],E48)=0,"功能编号无效",IF(H48="不适用",IF(J48="已实测","适用性冲突",IF(I48="","待补不适用依据","不适用（非实测）")),IF(J48="阻塞",IF(I48="","待补阻塞原因","阻塞（非实测）"),IF(J48&lt;&gt;"已实测",IF(F48="","待展开路径","未实测"),IF(H48&lt;&gt;"适用","待确认适用性",IF(INDEX(Equipment[登记状态（自动）],MATCH(B48,Equipment[组合编号],0))&lt;&gt;"已登记","待补设备组合",IF(AND(F48&lt;&gt;"",G48&lt;&gt;"",K48&lt;&gt;"",L48&lt;&gt;"",M48&lt;&gt;"",N48&lt;&gt;"",ISNUMBER(O48),O48&gt;0,P48&lt;&gt;""),"记录齐全","待补实测记录")))))))))))</x:f>
        <x:v>待展开路径</x:v>
      </x:c>
    </x:row>
    <x:row r="49" ht="43.5" customHeight="1">
      <x:c r="A49" s="20" t="str">
        <x:v>REC-00040</x:v>
      </x:c>
      <x:c r="B49" s="20" t="str">
        <x:v>P1-B1-01</x:v>
      </x:c>
      <x:c r="C49" s="30" t="str">
        <x:f>IF(B49="","",IF(COUNTIFS(Equipment[组合编号],B49)&lt;&gt;1,"组合编号无效",INDEX(Equipment[PLC组],MATCH(B49,Equipment[组合编号],0))))</x:f>
        <x:v>汇川小型</x:v>
      </x:c>
      <x:c r="D49" s="30" t="str">
        <x:f>IF(B49="","",IF(COUNTIFS(Equipment[组合编号],B49)&lt;&gt;1,"组合编号无效",INDEX(Equipment[驱动品牌],MATCH(B49,Equipment[组合编号],0))))</x:f>
        <x:v>CDHD</x:v>
      </x:c>
      <x:c r="E49" s="20" t="str">
        <x:v>H03</x:v>
      </x:c>
      <x:c r="F49" s="20"/>
      <x:c r="G49" s="20"/>
      <x:c r="H49" s="20" t="str">
        <x:v>待判定</x:v>
      </x:c>
      <x:c r="I49" s="20"/>
      <x:c r="J49" s="20" t="str">
        <x:v>未测试</x:v>
      </x:c>
      <x:c r="K49" s="20"/>
      <x:c r="L49" s="20"/>
      <x:c r="M49" s="20"/>
      <x:c r="N49" s="20"/>
      <x:c r="O49" s="31"/>
      <x:c r="P49" s="20"/>
      <x:c r="Q49" s="20"/>
      <x:c r="R49" s="20" t="str">
        <x:v>待展开</x:v>
      </x:c>
      <x:c r="S49" s="20"/>
      <x:c r="T49" s="31"/>
      <x:c r="U49" s="30" t="str">
        <x:f>IF(A49="","缺记录编号",IF(COUNTIFS(PathRecords[记录编号],A49)&lt;&gt;1,"记录编号重复",IF(OR(B49="",E49=""),"缺组合/功能",IF(COUNTIFS(Equipment[组合编号],B49)&lt;&gt;1,"组合编号无效",IF(COUNTIFS(FunctionMatrix[编号],E49)=0,"功能编号无效",IF(H49="不适用",IF(J49="已实测","适用性冲突",IF(I49="","待补不适用依据","不适用（非实测）")),IF(J49="阻塞",IF(I49="","待补阻塞原因","阻塞（非实测）"),IF(J49&lt;&gt;"已实测",IF(F49="","待展开路径","未实测"),IF(H49&lt;&gt;"适用","待确认适用性",IF(INDEX(Equipment[登记状态（自动）],MATCH(B49,Equipment[组合编号],0))&lt;&gt;"已登记","待补设备组合",IF(AND(F49&lt;&gt;"",G49&lt;&gt;"",K49&lt;&gt;"",L49&lt;&gt;"",M49&lt;&gt;"",N49&lt;&gt;"",ISNUMBER(O49),O49&gt;0,P49&lt;&gt;""),"记录齐全","待补实测记录")))))))))))</x:f>
        <x:v>待展开路径</x:v>
      </x:c>
    </x:row>
    <x:row r="50" ht="43.5" customHeight="1">
      <x:c r="A50" s="20" t="str">
        <x:v>REC-00041</x:v>
      </x:c>
      <x:c r="B50" s="20" t="str">
        <x:v>P1-B1-01</x:v>
      </x:c>
      <x:c r="C50" s="30" t="str">
        <x:f>IF(B50="","",IF(COUNTIFS(Equipment[组合编号],B50)&lt;&gt;1,"组合编号无效",INDEX(Equipment[PLC组],MATCH(B50,Equipment[组合编号],0))))</x:f>
        <x:v>汇川小型</x:v>
      </x:c>
      <x:c r="D50" s="30" t="str">
        <x:f>IF(B50="","",IF(COUNTIFS(Equipment[组合编号],B50)&lt;&gt;1,"组合编号无效",INDEX(Equipment[驱动品牌],MATCH(B50,Equipment[组合编号],0))))</x:f>
        <x:v>CDHD</x:v>
      </x:c>
      <x:c r="E50" s="20" t="str">
        <x:v>H04</x:v>
      </x:c>
      <x:c r="F50" s="20"/>
      <x:c r="G50" s="20"/>
      <x:c r="H50" s="20" t="str">
        <x:v>待判定</x:v>
      </x:c>
      <x:c r="I50" s="20"/>
      <x:c r="J50" s="20" t="str">
        <x:v>未测试</x:v>
      </x:c>
      <x:c r="K50" s="20"/>
      <x:c r="L50" s="20"/>
      <x:c r="M50" s="20"/>
      <x:c r="N50" s="20"/>
      <x:c r="O50" s="31"/>
      <x:c r="P50" s="20"/>
      <x:c r="Q50" s="20"/>
      <x:c r="R50" s="20" t="str">
        <x:v>待展开</x:v>
      </x:c>
      <x:c r="S50" s="20"/>
      <x:c r="T50" s="31"/>
      <x:c r="U50" s="30" t="str">
        <x:f>IF(A50="","缺记录编号",IF(COUNTIFS(PathRecords[记录编号],A50)&lt;&gt;1,"记录编号重复",IF(OR(B50="",E50=""),"缺组合/功能",IF(COUNTIFS(Equipment[组合编号],B50)&lt;&gt;1,"组合编号无效",IF(COUNTIFS(FunctionMatrix[编号],E50)=0,"功能编号无效",IF(H50="不适用",IF(J50="已实测","适用性冲突",IF(I50="","待补不适用依据","不适用（非实测）")),IF(J50="阻塞",IF(I50="","待补阻塞原因","阻塞（非实测）"),IF(J50&lt;&gt;"已实测",IF(F50="","待展开路径","未实测"),IF(H50&lt;&gt;"适用","待确认适用性",IF(INDEX(Equipment[登记状态（自动）],MATCH(B50,Equipment[组合编号],0))&lt;&gt;"已登记","待补设备组合",IF(AND(F50&lt;&gt;"",G50&lt;&gt;"",K50&lt;&gt;"",L50&lt;&gt;"",M50&lt;&gt;"",N50&lt;&gt;"",ISNUMBER(O50),O50&gt;0,P50&lt;&gt;""),"记录齐全","待补实测记录")))))))))))</x:f>
        <x:v>待展开路径</x:v>
      </x:c>
    </x:row>
    <x:row r="51" ht="43.5" customHeight="1">
      <x:c r="A51" s="20" t="str">
        <x:v>REC-00042</x:v>
      </x:c>
      <x:c r="B51" s="20" t="str">
        <x:v>P1-B1-01</x:v>
      </x:c>
      <x:c r="C51" s="30" t="str">
        <x:f>IF(B51="","",IF(COUNTIFS(Equipment[组合编号],B51)&lt;&gt;1,"组合编号无效",INDEX(Equipment[PLC组],MATCH(B51,Equipment[组合编号],0))))</x:f>
        <x:v>汇川小型</x:v>
      </x:c>
      <x:c r="D51" s="30" t="str">
        <x:f>IF(B51="","",IF(COUNTIFS(Equipment[组合编号],B51)&lt;&gt;1,"组合编号无效",INDEX(Equipment[驱动品牌],MATCH(B51,Equipment[组合编号],0))))</x:f>
        <x:v>CDHD</x:v>
      </x:c>
      <x:c r="E51" s="20" t="str">
        <x:v>H05</x:v>
      </x:c>
      <x:c r="F51" s="20"/>
      <x:c r="G51" s="20"/>
      <x:c r="H51" s="20" t="str">
        <x:v>待判定</x:v>
      </x:c>
      <x:c r="I51" s="20"/>
      <x:c r="J51" s="20" t="str">
        <x:v>未测试</x:v>
      </x:c>
      <x:c r="K51" s="20"/>
      <x:c r="L51" s="20"/>
      <x:c r="M51" s="20"/>
      <x:c r="N51" s="20"/>
      <x:c r="O51" s="31"/>
      <x:c r="P51" s="20"/>
      <x:c r="Q51" s="20"/>
      <x:c r="R51" s="20" t="str">
        <x:v>待展开</x:v>
      </x:c>
      <x:c r="S51" s="20"/>
      <x:c r="T51" s="31"/>
      <x:c r="U51" s="30" t="str">
        <x:f>IF(A51="","缺记录编号",IF(COUNTIFS(PathRecords[记录编号],A51)&lt;&gt;1,"记录编号重复",IF(OR(B51="",E51=""),"缺组合/功能",IF(COUNTIFS(Equipment[组合编号],B51)&lt;&gt;1,"组合编号无效",IF(COUNTIFS(FunctionMatrix[编号],E51)=0,"功能编号无效",IF(H51="不适用",IF(J51="已实测","适用性冲突",IF(I51="","待补不适用依据","不适用（非实测）")),IF(J51="阻塞",IF(I51="","待补阻塞原因","阻塞（非实测）"),IF(J51&lt;&gt;"已实测",IF(F51="","待展开路径","未实测"),IF(H51&lt;&gt;"适用","待确认适用性",IF(INDEX(Equipment[登记状态（自动）],MATCH(B51,Equipment[组合编号],0))&lt;&gt;"已登记","待补设备组合",IF(AND(F51&lt;&gt;"",G51&lt;&gt;"",K51&lt;&gt;"",L51&lt;&gt;"",M51&lt;&gt;"",N51&lt;&gt;"",ISNUMBER(O51),O51&gt;0,P51&lt;&gt;""),"记录齐全","待补实测记录")))))))))))</x:f>
        <x:v>待展开路径</x:v>
      </x:c>
    </x:row>
    <x:row r="52" ht="43.5" customHeight="1">
      <x:c r="A52" s="20" t="str">
        <x:v>REC-00043</x:v>
      </x:c>
      <x:c r="B52" s="20" t="str">
        <x:v>P1-B1-01</x:v>
      </x:c>
      <x:c r="C52" s="30" t="str">
        <x:f>IF(B52="","",IF(COUNTIFS(Equipment[组合编号],B52)&lt;&gt;1,"组合编号无效",INDEX(Equipment[PLC组],MATCH(B52,Equipment[组合编号],0))))</x:f>
        <x:v>汇川小型</x:v>
      </x:c>
      <x:c r="D52" s="30" t="str">
        <x:f>IF(B52="","",IF(COUNTIFS(Equipment[组合编号],B52)&lt;&gt;1,"组合编号无效",INDEX(Equipment[驱动品牌],MATCH(B52,Equipment[组合编号],0))))</x:f>
        <x:v>CDHD</x:v>
      </x:c>
      <x:c r="E52" s="20" t="str">
        <x:v>H06</x:v>
      </x:c>
      <x:c r="F52" s="20"/>
      <x:c r="G52" s="20"/>
      <x:c r="H52" s="20" t="str">
        <x:v>待判定</x:v>
      </x:c>
      <x:c r="I52" s="20"/>
      <x:c r="J52" s="20" t="str">
        <x:v>未测试</x:v>
      </x:c>
      <x:c r="K52" s="20"/>
      <x:c r="L52" s="20"/>
      <x:c r="M52" s="20"/>
      <x:c r="N52" s="20"/>
      <x:c r="O52" s="31"/>
      <x:c r="P52" s="20"/>
      <x:c r="Q52" s="20"/>
      <x:c r="R52" s="20" t="str">
        <x:v>待展开</x:v>
      </x:c>
      <x:c r="S52" s="20"/>
      <x:c r="T52" s="31"/>
      <x:c r="U52" s="30" t="str">
        <x:f>IF(A52="","缺记录编号",IF(COUNTIFS(PathRecords[记录编号],A52)&lt;&gt;1,"记录编号重复",IF(OR(B52="",E52=""),"缺组合/功能",IF(COUNTIFS(Equipment[组合编号],B52)&lt;&gt;1,"组合编号无效",IF(COUNTIFS(FunctionMatrix[编号],E52)=0,"功能编号无效",IF(H52="不适用",IF(J52="已实测","适用性冲突",IF(I52="","待补不适用依据","不适用（非实测）")),IF(J52="阻塞",IF(I52="","待补阻塞原因","阻塞（非实测）"),IF(J52&lt;&gt;"已实测",IF(F52="","待展开路径","未实测"),IF(H52&lt;&gt;"适用","待确认适用性",IF(INDEX(Equipment[登记状态（自动）],MATCH(B52,Equipment[组合编号],0))&lt;&gt;"已登记","待补设备组合",IF(AND(F52&lt;&gt;"",G52&lt;&gt;"",K52&lt;&gt;"",L52&lt;&gt;"",M52&lt;&gt;"",N52&lt;&gt;"",ISNUMBER(O52),O52&gt;0,P52&lt;&gt;""),"记录齐全","待补实测记录")))))))))))</x:f>
        <x:v>待展开路径</x:v>
      </x:c>
    </x:row>
    <x:row r="53" ht="43.5" customHeight="1">
      <x:c r="A53" s="20" t="str">
        <x:v>REC-00044</x:v>
      </x:c>
      <x:c r="B53" s="20" t="str">
        <x:v>P1-B1-01</x:v>
      </x:c>
      <x:c r="C53" s="30" t="str">
        <x:f>IF(B53="","",IF(COUNTIFS(Equipment[组合编号],B53)&lt;&gt;1,"组合编号无效",INDEX(Equipment[PLC组],MATCH(B53,Equipment[组合编号],0))))</x:f>
        <x:v>汇川小型</x:v>
      </x:c>
      <x:c r="D53" s="30" t="str">
        <x:f>IF(B53="","",IF(COUNTIFS(Equipment[组合编号],B53)&lt;&gt;1,"组合编号无效",INDEX(Equipment[驱动品牌],MATCH(B53,Equipment[组合编号],0))))</x:f>
        <x:v>CDHD</x:v>
      </x:c>
      <x:c r="E53" s="20" t="str">
        <x:v>H07</x:v>
      </x:c>
      <x:c r="F53" s="20"/>
      <x:c r="G53" s="20"/>
      <x:c r="H53" s="20" t="str">
        <x:v>待判定</x:v>
      </x:c>
      <x:c r="I53" s="20"/>
      <x:c r="J53" s="20" t="str">
        <x:v>未测试</x:v>
      </x:c>
      <x:c r="K53" s="20"/>
      <x:c r="L53" s="20"/>
      <x:c r="M53" s="20"/>
      <x:c r="N53" s="20"/>
      <x:c r="O53" s="31"/>
      <x:c r="P53" s="20"/>
      <x:c r="Q53" s="20"/>
      <x:c r="R53" s="20" t="str">
        <x:v>待展开</x:v>
      </x:c>
      <x:c r="S53" s="20"/>
      <x:c r="T53" s="31"/>
      <x:c r="U53" s="30" t="str">
        <x:f>IF(A53="","缺记录编号",IF(COUNTIFS(PathRecords[记录编号],A53)&lt;&gt;1,"记录编号重复",IF(OR(B53="",E53=""),"缺组合/功能",IF(COUNTIFS(Equipment[组合编号],B53)&lt;&gt;1,"组合编号无效",IF(COUNTIFS(FunctionMatrix[编号],E53)=0,"功能编号无效",IF(H53="不适用",IF(J53="已实测","适用性冲突",IF(I53="","待补不适用依据","不适用（非实测）")),IF(J53="阻塞",IF(I53="","待补阻塞原因","阻塞（非实测）"),IF(J53&lt;&gt;"已实测",IF(F53="","待展开路径","未实测"),IF(H53&lt;&gt;"适用","待确认适用性",IF(INDEX(Equipment[登记状态（自动）],MATCH(B53,Equipment[组合编号],0))&lt;&gt;"已登记","待补设备组合",IF(AND(F53&lt;&gt;"",G53&lt;&gt;"",K53&lt;&gt;"",L53&lt;&gt;"",M53&lt;&gt;"",N53&lt;&gt;"",ISNUMBER(O53),O53&gt;0,P53&lt;&gt;""),"记录齐全","待补实测记录")))))))))))</x:f>
        <x:v>待展开路径</x:v>
      </x:c>
    </x:row>
    <x:row r="54" ht="43.5" customHeight="1">
      <x:c r="A54" s="20" t="str">
        <x:v>REC-00045</x:v>
      </x:c>
      <x:c r="B54" s="20" t="str">
        <x:v>P1-B1-01</x:v>
      </x:c>
      <x:c r="C54" s="30" t="str">
        <x:f>IF(B54="","",IF(COUNTIFS(Equipment[组合编号],B54)&lt;&gt;1,"组合编号无效",INDEX(Equipment[PLC组],MATCH(B54,Equipment[组合编号],0))))</x:f>
        <x:v>汇川小型</x:v>
      </x:c>
      <x:c r="D54" s="30" t="str">
        <x:f>IF(B54="","",IF(COUNTIFS(Equipment[组合编号],B54)&lt;&gt;1,"组合编号无效",INDEX(Equipment[驱动品牌],MATCH(B54,Equipment[组合编号],0))))</x:f>
        <x:v>CDHD</x:v>
      </x:c>
      <x:c r="E54" s="20" t="str">
        <x:v>H08</x:v>
      </x:c>
      <x:c r="F54" s="20"/>
      <x:c r="G54" s="20"/>
      <x:c r="H54" s="20" t="str">
        <x:v>待判定</x:v>
      </x:c>
      <x:c r="I54" s="20"/>
      <x:c r="J54" s="20" t="str">
        <x:v>未测试</x:v>
      </x:c>
      <x:c r="K54" s="20"/>
      <x:c r="L54" s="20"/>
      <x:c r="M54" s="20"/>
      <x:c r="N54" s="20"/>
      <x:c r="O54" s="31"/>
      <x:c r="P54" s="20"/>
      <x:c r="Q54" s="20"/>
      <x:c r="R54" s="20" t="str">
        <x:v>待展开</x:v>
      </x:c>
      <x:c r="S54" s="20"/>
      <x:c r="T54" s="31"/>
      <x:c r="U54" s="30" t="str">
        <x:f>IF(A54="","缺记录编号",IF(COUNTIFS(PathRecords[记录编号],A54)&lt;&gt;1,"记录编号重复",IF(OR(B54="",E54=""),"缺组合/功能",IF(COUNTIFS(Equipment[组合编号],B54)&lt;&gt;1,"组合编号无效",IF(COUNTIFS(FunctionMatrix[编号],E54)=0,"功能编号无效",IF(H54="不适用",IF(J54="已实测","适用性冲突",IF(I54="","待补不适用依据","不适用（非实测）")),IF(J54="阻塞",IF(I54="","待补阻塞原因","阻塞（非实测）"),IF(J54&lt;&gt;"已实测",IF(F54="","待展开路径","未实测"),IF(H54&lt;&gt;"适用","待确认适用性",IF(INDEX(Equipment[登记状态（自动）],MATCH(B54,Equipment[组合编号],0))&lt;&gt;"已登记","待补设备组合",IF(AND(F54&lt;&gt;"",G54&lt;&gt;"",K54&lt;&gt;"",L54&lt;&gt;"",M54&lt;&gt;"",N54&lt;&gt;"",ISNUMBER(O54),O54&gt;0,P54&lt;&gt;""),"记录齐全","待补实测记录")))))))))))</x:f>
        <x:v>待展开路径</x:v>
      </x:c>
    </x:row>
    <x:row r="55" ht="43.5" customHeight="1">
      <x:c r="A55" s="20" t="str">
        <x:v>REC-00046</x:v>
      </x:c>
      <x:c r="B55" s="20" t="str">
        <x:v>P1-B1-01</x:v>
      </x:c>
      <x:c r="C55" s="30" t="str">
        <x:f>IF(B55="","",IF(COUNTIFS(Equipment[组合编号],B55)&lt;&gt;1,"组合编号无效",INDEX(Equipment[PLC组],MATCH(B55,Equipment[组合编号],0))))</x:f>
        <x:v>汇川小型</x:v>
      </x:c>
      <x:c r="D55" s="30" t="str">
        <x:f>IF(B55="","",IF(COUNTIFS(Equipment[组合编号],B55)&lt;&gt;1,"组合编号无效",INDEX(Equipment[驱动品牌],MATCH(B55,Equipment[组合编号],0))))</x:f>
        <x:v>CDHD</x:v>
      </x:c>
      <x:c r="E55" s="20" t="str">
        <x:v>H09</x:v>
      </x:c>
      <x:c r="F55" s="20"/>
      <x:c r="G55" s="20"/>
      <x:c r="H55" s="20" t="str">
        <x:v>待判定</x:v>
      </x:c>
      <x:c r="I55" s="20"/>
      <x:c r="J55" s="20" t="str">
        <x:v>未测试</x:v>
      </x:c>
      <x:c r="K55" s="20"/>
      <x:c r="L55" s="20"/>
      <x:c r="M55" s="20"/>
      <x:c r="N55" s="20"/>
      <x:c r="O55" s="31"/>
      <x:c r="P55" s="20"/>
      <x:c r="Q55" s="20"/>
      <x:c r="R55" s="20" t="str">
        <x:v>待展开</x:v>
      </x:c>
      <x:c r="S55" s="20"/>
      <x:c r="T55" s="31"/>
      <x:c r="U55" s="30" t="str">
        <x:f>IF(A55="","缺记录编号",IF(COUNTIFS(PathRecords[记录编号],A55)&lt;&gt;1,"记录编号重复",IF(OR(B55="",E55=""),"缺组合/功能",IF(COUNTIFS(Equipment[组合编号],B55)&lt;&gt;1,"组合编号无效",IF(COUNTIFS(FunctionMatrix[编号],E55)=0,"功能编号无效",IF(H55="不适用",IF(J55="已实测","适用性冲突",IF(I55="","待补不适用依据","不适用（非实测）")),IF(J55="阻塞",IF(I55="","待补阻塞原因","阻塞（非实测）"),IF(J55&lt;&gt;"已实测",IF(F55="","待展开路径","未实测"),IF(H55&lt;&gt;"适用","待确认适用性",IF(INDEX(Equipment[登记状态（自动）],MATCH(B55,Equipment[组合编号],0))&lt;&gt;"已登记","待补设备组合",IF(AND(F55&lt;&gt;"",G55&lt;&gt;"",K55&lt;&gt;"",L55&lt;&gt;"",M55&lt;&gt;"",N55&lt;&gt;"",ISNUMBER(O55),O55&gt;0,P55&lt;&gt;""),"记录齐全","待补实测记录")))))))))))</x:f>
        <x:v>待展开路径</x:v>
      </x:c>
    </x:row>
    <x:row r="56" ht="43.5" customHeight="1">
      <x:c r="A56" s="20" t="str">
        <x:v>REC-00047</x:v>
      </x:c>
      <x:c r="B56" s="20" t="str">
        <x:v>P1-B1-01</x:v>
      </x:c>
      <x:c r="C56" s="30" t="str">
        <x:f>IF(B56="","",IF(COUNTIFS(Equipment[组合编号],B56)&lt;&gt;1,"组合编号无效",INDEX(Equipment[PLC组],MATCH(B56,Equipment[组合编号],0))))</x:f>
        <x:v>汇川小型</x:v>
      </x:c>
      <x:c r="D56" s="30" t="str">
        <x:f>IF(B56="","",IF(COUNTIFS(Equipment[组合编号],B56)&lt;&gt;1,"组合编号无效",INDEX(Equipment[驱动品牌],MATCH(B56,Equipment[组合编号],0))))</x:f>
        <x:v>CDHD</x:v>
      </x:c>
      <x:c r="E56" s="20" t="str">
        <x:v>H10</x:v>
      </x:c>
      <x:c r="F56" s="20"/>
      <x:c r="G56" s="20"/>
      <x:c r="H56" s="20" t="str">
        <x:v>待判定</x:v>
      </x:c>
      <x:c r="I56" s="20"/>
      <x:c r="J56" s="20" t="str">
        <x:v>未测试</x:v>
      </x:c>
      <x:c r="K56" s="20"/>
      <x:c r="L56" s="20"/>
      <x:c r="M56" s="20"/>
      <x:c r="N56" s="20"/>
      <x:c r="O56" s="31"/>
      <x:c r="P56" s="20"/>
      <x:c r="Q56" s="20"/>
      <x:c r="R56" s="20" t="str">
        <x:v>待展开</x:v>
      </x:c>
      <x:c r="S56" s="20"/>
      <x:c r="T56" s="31"/>
      <x:c r="U56" s="30" t="str">
        <x:f>IF(A56="","缺记录编号",IF(COUNTIFS(PathRecords[记录编号],A56)&lt;&gt;1,"记录编号重复",IF(OR(B56="",E56=""),"缺组合/功能",IF(COUNTIFS(Equipment[组合编号],B56)&lt;&gt;1,"组合编号无效",IF(COUNTIFS(FunctionMatrix[编号],E56)=0,"功能编号无效",IF(H56="不适用",IF(J56="已实测","适用性冲突",IF(I56="","待补不适用依据","不适用（非实测）")),IF(J56="阻塞",IF(I56="","待补阻塞原因","阻塞（非实测）"),IF(J56&lt;&gt;"已实测",IF(F56="","待展开路径","未实测"),IF(H56&lt;&gt;"适用","待确认适用性",IF(INDEX(Equipment[登记状态（自动）],MATCH(B56,Equipment[组合编号],0))&lt;&gt;"已登记","待补设备组合",IF(AND(F56&lt;&gt;"",G56&lt;&gt;"",K56&lt;&gt;"",L56&lt;&gt;"",M56&lt;&gt;"",N56&lt;&gt;"",ISNUMBER(O56),O56&gt;0,P56&lt;&gt;""),"记录齐全","待补实测记录")))))))))))</x:f>
        <x:v>待展开路径</x:v>
      </x:c>
    </x:row>
    <x:row r="57" ht="43.5" customHeight="1">
      <x:c r="A57" s="20" t="str">
        <x:v>REC-00048</x:v>
      </x:c>
      <x:c r="B57" s="20" t="str">
        <x:v>P1-B1-01</x:v>
      </x:c>
      <x:c r="C57" s="30" t="str">
        <x:f>IF(B57="","",IF(COUNTIFS(Equipment[组合编号],B57)&lt;&gt;1,"组合编号无效",INDEX(Equipment[PLC组],MATCH(B57,Equipment[组合编号],0))))</x:f>
        <x:v>汇川小型</x:v>
      </x:c>
      <x:c r="D57" s="30" t="str">
        <x:f>IF(B57="","",IF(COUNTIFS(Equipment[组合编号],B57)&lt;&gt;1,"组合编号无效",INDEX(Equipment[驱动品牌],MATCH(B57,Equipment[组合编号],0))))</x:f>
        <x:v>CDHD</x:v>
      </x:c>
      <x:c r="E57" s="20" t="str">
        <x:v>H11</x:v>
      </x:c>
      <x:c r="F57" s="20"/>
      <x:c r="G57" s="20"/>
      <x:c r="H57" s="20" t="str">
        <x:v>待判定</x:v>
      </x:c>
      <x:c r="I57" s="20"/>
      <x:c r="J57" s="20" t="str">
        <x:v>未测试</x:v>
      </x:c>
      <x:c r="K57" s="20"/>
      <x:c r="L57" s="20"/>
      <x:c r="M57" s="20"/>
      <x:c r="N57" s="20"/>
      <x:c r="O57" s="31"/>
      <x:c r="P57" s="20"/>
      <x:c r="Q57" s="20"/>
      <x:c r="R57" s="20" t="str">
        <x:v>待展开</x:v>
      </x:c>
      <x:c r="S57" s="20"/>
      <x:c r="T57" s="31"/>
      <x:c r="U57" s="30" t="str">
        <x:f>IF(A57="","缺记录编号",IF(COUNTIFS(PathRecords[记录编号],A57)&lt;&gt;1,"记录编号重复",IF(OR(B57="",E57=""),"缺组合/功能",IF(COUNTIFS(Equipment[组合编号],B57)&lt;&gt;1,"组合编号无效",IF(COUNTIFS(FunctionMatrix[编号],E57)=0,"功能编号无效",IF(H57="不适用",IF(J57="已实测","适用性冲突",IF(I57="","待补不适用依据","不适用（非实测）")),IF(J57="阻塞",IF(I57="","待补阻塞原因","阻塞（非实测）"),IF(J57&lt;&gt;"已实测",IF(F57="","待展开路径","未实测"),IF(H57&lt;&gt;"适用","待确认适用性",IF(INDEX(Equipment[登记状态（自动）],MATCH(B57,Equipment[组合编号],0))&lt;&gt;"已登记","待补设备组合",IF(AND(F57&lt;&gt;"",G57&lt;&gt;"",K57&lt;&gt;"",L57&lt;&gt;"",M57&lt;&gt;"",N57&lt;&gt;"",ISNUMBER(O57),O57&gt;0,P57&lt;&gt;""),"记录齐全","待补实测记录")))))))))))</x:f>
        <x:v>待展开路径</x:v>
      </x:c>
    </x:row>
    <x:row r="58" ht="43.5" customHeight="1">
      <x:c r="A58" s="20" t="str">
        <x:v>REC-00049</x:v>
      </x:c>
      <x:c r="B58" s="20" t="str">
        <x:v>P1-B1-01</x:v>
      </x:c>
      <x:c r="C58" s="30" t="str">
        <x:f>IF(B58="","",IF(COUNTIFS(Equipment[组合编号],B58)&lt;&gt;1,"组合编号无效",INDEX(Equipment[PLC组],MATCH(B58,Equipment[组合编号],0))))</x:f>
        <x:v>汇川小型</x:v>
      </x:c>
      <x:c r="D58" s="30" t="str">
        <x:f>IF(B58="","",IF(COUNTIFS(Equipment[组合编号],B58)&lt;&gt;1,"组合编号无效",INDEX(Equipment[驱动品牌],MATCH(B58,Equipment[组合编号],0))))</x:f>
        <x:v>CDHD</x:v>
      </x:c>
      <x:c r="E58" s="20" t="str">
        <x:v>N01</x:v>
      </x:c>
      <x:c r="F58" s="20"/>
      <x:c r="G58" s="20"/>
      <x:c r="H58" s="20" t="str">
        <x:v>待判定</x:v>
      </x:c>
      <x:c r="I58" s="20"/>
      <x:c r="J58" s="20" t="str">
        <x:v>未测试</x:v>
      </x:c>
      <x:c r="K58" s="20"/>
      <x:c r="L58" s="20"/>
      <x:c r="M58" s="20"/>
      <x:c r="N58" s="20"/>
      <x:c r="O58" s="31"/>
      <x:c r="P58" s="20"/>
      <x:c r="Q58" s="20"/>
      <x:c r="R58" s="20" t="str">
        <x:v>待展开</x:v>
      </x:c>
      <x:c r="S58" s="20"/>
      <x:c r="T58" s="31"/>
      <x:c r="U58" s="30" t="str">
        <x:f>IF(A58="","缺记录编号",IF(COUNTIFS(PathRecords[记录编号],A58)&lt;&gt;1,"记录编号重复",IF(OR(B58="",E58=""),"缺组合/功能",IF(COUNTIFS(Equipment[组合编号],B58)&lt;&gt;1,"组合编号无效",IF(COUNTIFS(FunctionMatrix[编号],E58)=0,"功能编号无效",IF(H58="不适用",IF(J58="已实测","适用性冲突",IF(I58="","待补不适用依据","不适用（非实测）")),IF(J58="阻塞",IF(I58="","待补阻塞原因","阻塞（非实测）"),IF(J58&lt;&gt;"已实测",IF(F58="","待展开路径","未实测"),IF(H58&lt;&gt;"适用","待确认适用性",IF(INDEX(Equipment[登记状态（自动）],MATCH(B58,Equipment[组合编号],0))&lt;&gt;"已登记","待补设备组合",IF(AND(F58&lt;&gt;"",G58&lt;&gt;"",K58&lt;&gt;"",L58&lt;&gt;"",M58&lt;&gt;"",N58&lt;&gt;"",ISNUMBER(O58),O58&gt;0,P58&lt;&gt;""),"记录齐全","待补实测记录")))))))))))</x:f>
        <x:v>待展开路径</x:v>
      </x:c>
    </x:row>
    <x:row r="59" ht="43.5" customHeight="1">
      <x:c r="A59" s="20" t="str">
        <x:v>REC-00050</x:v>
      </x:c>
      <x:c r="B59" s="20" t="str">
        <x:v>P1-B1-01</x:v>
      </x:c>
      <x:c r="C59" s="30" t="str">
        <x:f>IF(B59="","",IF(COUNTIFS(Equipment[组合编号],B59)&lt;&gt;1,"组合编号无效",INDEX(Equipment[PLC组],MATCH(B59,Equipment[组合编号],0))))</x:f>
        <x:v>汇川小型</x:v>
      </x:c>
      <x:c r="D59" s="30" t="str">
        <x:f>IF(B59="","",IF(COUNTIFS(Equipment[组合编号],B59)&lt;&gt;1,"组合编号无效",INDEX(Equipment[驱动品牌],MATCH(B59,Equipment[组合编号],0))))</x:f>
        <x:v>CDHD</x:v>
      </x:c>
      <x:c r="E59" s="20" t="str">
        <x:v>N02</x:v>
      </x:c>
      <x:c r="F59" s="20"/>
      <x:c r="G59" s="20"/>
      <x:c r="H59" s="20" t="str">
        <x:v>待判定</x:v>
      </x:c>
      <x:c r="I59" s="20"/>
      <x:c r="J59" s="20" t="str">
        <x:v>未测试</x:v>
      </x:c>
      <x:c r="K59" s="20"/>
      <x:c r="L59" s="20"/>
      <x:c r="M59" s="20"/>
      <x:c r="N59" s="20"/>
      <x:c r="O59" s="31"/>
      <x:c r="P59" s="20"/>
      <x:c r="Q59" s="20"/>
      <x:c r="R59" s="20" t="str">
        <x:v>待展开</x:v>
      </x:c>
      <x:c r="S59" s="20"/>
      <x:c r="T59" s="31"/>
      <x:c r="U59" s="30" t="str">
        <x:f>IF(A59="","缺记录编号",IF(COUNTIFS(PathRecords[记录编号],A59)&lt;&gt;1,"记录编号重复",IF(OR(B59="",E59=""),"缺组合/功能",IF(COUNTIFS(Equipment[组合编号],B59)&lt;&gt;1,"组合编号无效",IF(COUNTIFS(FunctionMatrix[编号],E59)=0,"功能编号无效",IF(H59="不适用",IF(J59="已实测","适用性冲突",IF(I59="","待补不适用依据","不适用（非实测）")),IF(J59="阻塞",IF(I59="","待补阻塞原因","阻塞（非实测）"),IF(J59&lt;&gt;"已实测",IF(F59="","待展开路径","未实测"),IF(H59&lt;&gt;"适用","待确认适用性",IF(INDEX(Equipment[登记状态（自动）],MATCH(B59,Equipment[组合编号],0))&lt;&gt;"已登记","待补设备组合",IF(AND(F59&lt;&gt;"",G59&lt;&gt;"",K59&lt;&gt;"",L59&lt;&gt;"",M59&lt;&gt;"",N59&lt;&gt;"",ISNUMBER(O59),O59&gt;0,P59&lt;&gt;""),"记录齐全","待补实测记录")))))))))))</x:f>
        <x:v>待展开路径</x:v>
      </x:c>
    </x:row>
    <x:row r="60" ht="43.5" customHeight="1">
      <x:c r="A60" s="20" t="str">
        <x:v>REC-00051</x:v>
      </x:c>
      <x:c r="B60" s="20" t="str">
        <x:v>P1-B1-01</x:v>
      </x:c>
      <x:c r="C60" s="30" t="str">
        <x:f>IF(B60="","",IF(COUNTIFS(Equipment[组合编号],B60)&lt;&gt;1,"组合编号无效",INDEX(Equipment[PLC组],MATCH(B60,Equipment[组合编号],0))))</x:f>
        <x:v>汇川小型</x:v>
      </x:c>
      <x:c r="D60" s="30" t="str">
        <x:f>IF(B60="","",IF(COUNTIFS(Equipment[组合编号],B60)&lt;&gt;1,"组合编号无效",INDEX(Equipment[驱动品牌],MATCH(B60,Equipment[组合编号],0))))</x:f>
        <x:v>CDHD</x:v>
      </x:c>
      <x:c r="E60" s="20" t="str">
        <x:v>N03</x:v>
      </x:c>
      <x:c r="F60" s="20"/>
      <x:c r="G60" s="20"/>
      <x:c r="H60" s="20" t="str">
        <x:v>待判定</x:v>
      </x:c>
      <x:c r="I60" s="20"/>
      <x:c r="J60" s="20" t="str">
        <x:v>未测试</x:v>
      </x:c>
      <x:c r="K60" s="20"/>
      <x:c r="L60" s="20"/>
      <x:c r="M60" s="20"/>
      <x:c r="N60" s="20"/>
      <x:c r="O60" s="31"/>
      <x:c r="P60" s="20"/>
      <x:c r="Q60" s="20"/>
      <x:c r="R60" s="20" t="str">
        <x:v>待展开</x:v>
      </x:c>
      <x:c r="S60" s="20"/>
      <x:c r="T60" s="31"/>
      <x:c r="U60" s="30" t="str">
        <x:f>IF(A60="","缺记录编号",IF(COUNTIFS(PathRecords[记录编号],A60)&lt;&gt;1,"记录编号重复",IF(OR(B60="",E60=""),"缺组合/功能",IF(COUNTIFS(Equipment[组合编号],B60)&lt;&gt;1,"组合编号无效",IF(COUNTIFS(FunctionMatrix[编号],E60)=0,"功能编号无效",IF(H60="不适用",IF(J60="已实测","适用性冲突",IF(I60="","待补不适用依据","不适用（非实测）")),IF(J60="阻塞",IF(I60="","待补阻塞原因","阻塞（非实测）"),IF(J60&lt;&gt;"已实测",IF(F60="","待展开路径","未实测"),IF(H60&lt;&gt;"适用","待确认适用性",IF(INDEX(Equipment[登记状态（自动）],MATCH(B60,Equipment[组合编号],0))&lt;&gt;"已登记","待补设备组合",IF(AND(F60&lt;&gt;"",G60&lt;&gt;"",K60&lt;&gt;"",L60&lt;&gt;"",M60&lt;&gt;"",N60&lt;&gt;"",ISNUMBER(O60),O60&gt;0,P60&lt;&gt;""),"记录齐全","待补实测记录")))))))))))</x:f>
        <x:v>待展开路径</x:v>
      </x:c>
    </x:row>
    <x:row r="61" ht="43.5" customHeight="1">
      <x:c r="A61" s="20" t="str">
        <x:v>REC-00052</x:v>
      </x:c>
      <x:c r="B61" s="20" t="str">
        <x:v>P1-B1-01</x:v>
      </x:c>
      <x:c r="C61" s="30" t="str">
        <x:f>IF(B61="","",IF(COUNTIFS(Equipment[组合编号],B61)&lt;&gt;1,"组合编号无效",INDEX(Equipment[PLC组],MATCH(B61,Equipment[组合编号],0))))</x:f>
        <x:v>汇川小型</x:v>
      </x:c>
      <x:c r="D61" s="30" t="str">
        <x:f>IF(B61="","",IF(COUNTIFS(Equipment[组合编号],B61)&lt;&gt;1,"组合编号无效",INDEX(Equipment[驱动品牌],MATCH(B61,Equipment[组合编号],0))))</x:f>
        <x:v>CDHD</x:v>
      </x:c>
      <x:c r="E61" s="20" t="str">
        <x:v>N04</x:v>
      </x:c>
      <x:c r="F61" s="20"/>
      <x:c r="G61" s="20"/>
      <x:c r="H61" s="20" t="str">
        <x:v>待判定</x:v>
      </x:c>
      <x:c r="I61" s="20"/>
      <x:c r="J61" s="20" t="str">
        <x:v>未测试</x:v>
      </x:c>
      <x:c r="K61" s="20"/>
      <x:c r="L61" s="20"/>
      <x:c r="M61" s="20"/>
      <x:c r="N61" s="20"/>
      <x:c r="O61" s="31"/>
      <x:c r="P61" s="20"/>
      <x:c r="Q61" s="20"/>
      <x:c r="R61" s="20" t="str">
        <x:v>待展开</x:v>
      </x:c>
      <x:c r="S61" s="20"/>
      <x:c r="T61" s="31"/>
      <x:c r="U61" s="30" t="str">
        <x:f>IF(A61="","缺记录编号",IF(COUNTIFS(PathRecords[记录编号],A61)&lt;&gt;1,"记录编号重复",IF(OR(B61="",E61=""),"缺组合/功能",IF(COUNTIFS(Equipment[组合编号],B61)&lt;&gt;1,"组合编号无效",IF(COUNTIFS(FunctionMatrix[编号],E61)=0,"功能编号无效",IF(H61="不适用",IF(J61="已实测","适用性冲突",IF(I61="","待补不适用依据","不适用（非实测）")),IF(J61="阻塞",IF(I61="","待补阻塞原因","阻塞（非实测）"),IF(J61&lt;&gt;"已实测",IF(F61="","待展开路径","未实测"),IF(H61&lt;&gt;"适用","待确认适用性",IF(INDEX(Equipment[登记状态（自动）],MATCH(B61,Equipment[组合编号],0))&lt;&gt;"已登记","待补设备组合",IF(AND(F61&lt;&gt;"",G61&lt;&gt;"",K61&lt;&gt;"",L61&lt;&gt;"",M61&lt;&gt;"",N61&lt;&gt;"",ISNUMBER(O61),O61&gt;0,P61&lt;&gt;""),"记录齐全","待补实测记录")))))))))))</x:f>
        <x:v>待展开路径</x:v>
      </x:c>
    </x:row>
    <x:row r="62" ht="43.5" customHeight="1">
      <x:c r="A62" s="20" t="str">
        <x:v>REC-00053</x:v>
      </x:c>
      <x:c r="B62" s="20" t="str">
        <x:v>P1-B1-01</x:v>
      </x:c>
      <x:c r="C62" s="30" t="str">
        <x:f>IF(B62="","",IF(COUNTIFS(Equipment[组合编号],B62)&lt;&gt;1,"组合编号无效",INDEX(Equipment[PLC组],MATCH(B62,Equipment[组合编号],0))))</x:f>
        <x:v>汇川小型</x:v>
      </x:c>
      <x:c r="D62" s="30" t="str">
        <x:f>IF(B62="","",IF(COUNTIFS(Equipment[组合编号],B62)&lt;&gt;1,"组合编号无效",INDEX(Equipment[驱动品牌],MATCH(B62,Equipment[组合编号],0))))</x:f>
        <x:v>CDHD</x:v>
      </x:c>
      <x:c r="E62" s="20" t="str">
        <x:v>N05</x:v>
      </x:c>
      <x:c r="F62" s="20"/>
      <x:c r="G62" s="20"/>
      <x:c r="H62" s="20" t="str">
        <x:v>待判定</x:v>
      </x:c>
      <x:c r="I62" s="20"/>
      <x:c r="J62" s="20" t="str">
        <x:v>未测试</x:v>
      </x:c>
      <x:c r="K62" s="20"/>
      <x:c r="L62" s="20"/>
      <x:c r="M62" s="20"/>
      <x:c r="N62" s="20"/>
      <x:c r="O62" s="31"/>
      <x:c r="P62" s="20"/>
      <x:c r="Q62" s="20"/>
      <x:c r="R62" s="20" t="str">
        <x:v>待展开</x:v>
      </x:c>
      <x:c r="S62" s="20"/>
      <x:c r="T62" s="31"/>
      <x:c r="U62" s="30" t="str">
        <x:f>IF(A62="","缺记录编号",IF(COUNTIFS(PathRecords[记录编号],A62)&lt;&gt;1,"记录编号重复",IF(OR(B62="",E62=""),"缺组合/功能",IF(COUNTIFS(Equipment[组合编号],B62)&lt;&gt;1,"组合编号无效",IF(COUNTIFS(FunctionMatrix[编号],E62)=0,"功能编号无效",IF(H62="不适用",IF(J62="已实测","适用性冲突",IF(I62="","待补不适用依据","不适用（非实测）")),IF(J62="阻塞",IF(I62="","待补阻塞原因","阻塞（非实测）"),IF(J62&lt;&gt;"已实测",IF(F62="","待展开路径","未实测"),IF(H62&lt;&gt;"适用","待确认适用性",IF(INDEX(Equipment[登记状态（自动）],MATCH(B62,Equipment[组合编号],0))&lt;&gt;"已登记","待补设备组合",IF(AND(F62&lt;&gt;"",G62&lt;&gt;"",K62&lt;&gt;"",L62&lt;&gt;"",M62&lt;&gt;"",N62&lt;&gt;"",ISNUMBER(O62),O62&gt;0,P62&lt;&gt;""),"记录齐全","待补实测记录")))))))))))</x:f>
        <x:v>待展开路径</x:v>
      </x:c>
    </x:row>
    <x:row r="63" ht="43.5" customHeight="1">
      <x:c r="A63" s="20" t="str">
        <x:v>REC-00054</x:v>
      </x:c>
      <x:c r="B63" s="20" t="str">
        <x:v>P1-B1-01</x:v>
      </x:c>
      <x:c r="C63" s="30" t="str">
        <x:f>IF(B63="","",IF(COUNTIFS(Equipment[组合编号],B63)&lt;&gt;1,"组合编号无效",INDEX(Equipment[PLC组],MATCH(B63,Equipment[组合编号],0))))</x:f>
        <x:v>汇川小型</x:v>
      </x:c>
      <x:c r="D63" s="30" t="str">
        <x:f>IF(B63="","",IF(COUNTIFS(Equipment[组合编号],B63)&lt;&gt;1,"组合编号无效",INDEX(Equipment[驱动品牌],MATCH(B63,Equipment[组合编号],0))))</x:f>
        <x:v>CDHD</x:v>
      </x:c>
      <x:c r="E63" s="20" t="str">
        <x:v>N06</x:v>
      </x:c>
      <x:c r="F63" s="20"/>
      <x:c r="G63" s="20"/>
      <x:c r="H63" s="20" t="str">
        <x:v>待判定</x:v>
      </x:c>
      <x:c r="I63" s="20"/>
      <x:c r="J63" s="20" t="str">
        <x:v>未测试</x:v>
      </x:c>
      <x:c r="K63" s="20"/>
      <x:c r="L63" s="20"/>
      <x:c r="M63" s="20"/>
      <x:c r="N63" s="20"/>
      <x:c r="O63" s="31"/>
      <x:c r="P63" s="20"/>
      <x:c r="Q63" s="20"/>
      <x:c r="R63" s="20" t="str">
        <x:v>待展开</x:v>
      </x:c>
      <x:c r="S63" s="20"/>
      <x:c r="T63" s="31"/>
      <x:c r="U63" s="30" t="str">
        <x:f>IF(A63="","缺记录编号",IF(COUNTIFS(PathRecords[记录编号],A63)&lt;&gt;1,"记录编号重复",IF(OR(B63="",E63=""),"缺组合/功能",IF(COUNTIFS(Equipment[组合编号],B63)&lt;&gt;1,"组合编号无效",IF(COUNTIFS(FunctionMatrix[编号],E63)=0,"功能编号无效",IF(H63="不适用",IF(J63="已实测","适用性冲突",IF(I63="","待补不适用依据","不适用（非实测）")),IF(J63="阻塞",IF(I63="","待补阻塞原因","阻塞（非实测）"),IF(J63&lt;&gt;"已实测",IF(F63="","待展开路径","未实测"),IF(H63&lt;&gt;"适用","待确认适用性",IF(INDEX(Equipment[登记状态（自动）],MATCH(B63,Equipment[组合编号],0))&lt;&gt;"已登记","待补设备组合",IF(AND(F63&lt;&gt;"",G63&lt;&gt;"",K63&lt;&gt;"",L63&lt;&gt;"",M63&lt;&gt;"",N63&lt;&gt;"",ISNUMBER(O63),O63&gt;0,P63&lt;&gt;""),"记录齐全","待补实测记录")))))))))))</x:f>
        <x:v>待展开路径</x:v>
      </x:c>
    </x:row>
    <x:row r="64" ht="43.5" customHeight="1">
      <x:c r="A64" s="20" t="str">
        <x:v>REC-00055</x:v>
      </x:c>
      <x:c r="B64" s="20" t="str">
        <x:v>P1-B1-01</x:v>
      </x:c>
      <x:c r="C64" s="30" t="str">
        <x:f>IF(B64="","",IF(COUNTIFS(Equipment[组合编号],B64)&lt;&gt;1,"组合编号无效",INDEX(Equipment[PLC组],MATCH(B64,Equipment[组合编号],0))))</x:f>
        <x:v>汇川小型</x:v>
      </x:c>
      <x:c r="D64" s="30" t="str">
        <x:f>IF(B64="","",IF(COUNTIFS(Equipment[组合编号],B64)&lt;&gt;1,"组合编号无效",INDEX(Equipment[驱动品牌],MATCH(B64,Equipment[组合编号],0))))</x:f>
        <x:v>CDHD</x:v>
      </x:c>
      <x:c r="E64" s="20" t="str">
        <x:v>N07</x:v>
      </x:c>
      <x:c r="F64" s="20"/>
      <x:c r="G64" s="20"/>
      <x:c r="H64" s="20" t="str">
        <x:v>待判定</x:v>
      </x:c>
      <x:c r="I64" s="20"/>
      <x:c r="J64" s="20" t="str">
        <x:v>未测试</x:v>
      </x:c>
      <x:c r="K64" s="20"/>
      <x:c r="L64" s="20"/>
      <x:c r="M64" s="20"/>
      <x:c r="N64" s="20"/>
      <x:c r="O64" s="31"/>
      <x:c r="P64" s="20"/>
      <x:c r="Q64" s="20"/>
      <x:c r="R64" s="20" t="str">
        <x:v>待展开</x:v>
      </x:c>
      <x:c r="S64" s="20"/>
      <x:c r="T64" s="31"/>
      <x:c r="U64" s="30" t="str">
        <x:f>IF(A64="","缺记录编号",IF(COUNTIFS(PathRecords[记录编号],A64)&lt;&gt;1,"记录编号重复",IF(OR(B64="",E64=""),"缺组合/功能",IF(COUNTIFS(Equipment[组合编号],B64)&lt;&gt;1,"组合编号无效",IF(COUNTIFS(FunctionMatrix[编号],E64)=0,"功能编号无效",IF(H64="不适用",IF(J64="已实测","适用性冲突",IF(I64="","待补不适用依据","不适用（非实测）")),IF(J64="阻塞",IF(I64="","待补阻塞原因","阻塞（非实测）"),IF(J64&lt;&gt;"已实测",IF(F64="","待展开路径","未实测"),IF(H64&lt;&gt;"适用","待确认适用性",IF(INDEX(Equipment[登记状态（自动）],MATCH(B64,Equipment[组合编号],0))&lt;&gt;"已登记","待补设备组合",IF(AND(F64&lt;&gt;"",G64&lt;&gt;"",K64&lt;&gt;"",L64&lt;&gt;"",M64&lt;&gt;"",N64&lt;&gt;"",ISNUMBER(O64),O64&gt;0,P64&lt;&gt;""),"记录齐全","待补实测记录")))))))))))</x:f>
        <x:v>待展开路径</x:v>
      </x:c>
    </x:row>
    <x:row r="65" ht="43.5" customHeight="1">
      <x:c r="A65" s="20" t="str">
        <x:v>REC-00056</x:v>
      </x:c>
      <x:c r="B65" s="20" t="str">
        <x:v>P1-B1-01</x:v>
      </x:c>
      <x:c r="C65" s="30" t="str">
        <x:f>IF(B65="","",IF(COUNTIFS(Equipment[组合编号],B65)&lt;&gt;1,"组合编号无效",INDEX(Equipment[PLC组],MATCH(B65,Equipment[组合编号],0))))</x:f>
        <x:v>汇川小型</x:v>
      </x:c>
      <x:c r="D65" s="30" t="str">
        <x:f>IF(B65="","",IF(COUNTIFS(Equipment[组合编号],B65)&lt;&gt;1,"组合编号无效",INDEX(Equipment[驱动品牌],MATCH(B65,Equipment[组合编号],0))))</x:f>
        <x:v>CDHD</x:v>
      </x:c>
      <x:c r="E65" s="20" t="str">
        <x:v>N08</x:v>
      </x:c>
      <x:c r="F65" s="20"/>
      <x:c r="G65" s="20"/>
      <x:c r="H65" s="20" t="str">
        <x:v>待判定</x:v>
      </x:c>
      <x:c r="I65" s="20"/>
      <x:c r="J65" s="20" t="str">
        <x:v>未测试</x:v>
      </x:c>
      <x:c r="K65" s="20"/>
      <x:c r="L65" s="20"/>
      <x:c r="M65" s="20"/>
      <x:c r="N65" s="20"/>
      <x:c r="O65" s="31"/>
      <x:c r="P65" s="20"/>
      <x:c r="Q65" s="20"/>
      <x:c r="R65" s="20" t="str">
        <x:v>待展开</x:v>
      </x:c>
      <x:c r="S65" s="20"/>
      <x:c r="T65" s="31"/>
      <x:c r="U65" s="30" t="str">
        <x:f>IF(A65="","缺记录编号",IF(COUNTIFS(PathRecords[记录编号],A65)&lt;&gt;1,"记录编号重复",IF(OR(B65="",E65=""),"缺组合/功能",IF(COUNTIFS(Equipment[组合编号],B65)&lt;&gt;1,"组合编号无效",IF(COUNTIFS(FunctionMatrix[编号],E65)=0,"功能编号无效",IF(H65="不适用",IF(J65="已实测","适用性冲突",IF(I65="","待补不适用依据","不适用（非实测）")),IF(J65="阻塞",IF(I65="","待补阻塞原因","阻塞（非实测）"),IF(J65&lt;&gt;"已实测",IF(F65="","待展开路径","未实测"),IF(H65&lt;&gt;"适用","待确认适用性",IF(INDEX(Equipment[登记状态（自动）],MATCH(B65,Equipment[组合编号],0))&lt;&gt;"已登记","待补设备组合",IF(AND(F65&lt;&gt;"",G65&lt;&gt;"",K65&lt;&gt;"",L65&lt;&gt;"",M65&lt;&gt;"",N65&lt;&gt;"",ISNUMBER(O65),O65&gt;0,P65&lt;&gt;""),"记录齐全","待补实测记录")))))))))))</x:f>
        <x:v>待展开路径</x:v>
      </x:c>
    </x:row>
    <x:row r="66" ht="43.5" customHeight="1">
      <x:c r="A66" s="20" t="str">
        <x:v>REC-00057</x:v>
      </x:c>
      <x:c r="B66" s="20" t="str">
        <x:v>P1-B1-01</x:v>
      </x:c>
      <x:c r="C66" s="30" t="str">
        <x:f>IF(B66="","",IF(COUNTIFS(Equipment[组合编号],B66)&lt;&gt;1,"组合编号无效",INDEX(Equipment[PLC组],MATCH(B66,Equipment[组合编号],0))))</x:f>
        <x:v>汇川小型</x:v>
      </x:c>
      <x:c r="D66" s="30" t="str">
        <x:f>IF(B66="","",IF(COUNTIFS(Equipment[组合编号],B66)&lt;&gt;1,"组合编号无效",INDEX(Equipment[驱动品牌],MATCH(B66,Equipment[组合编号],0))))</x:f>
        <x:v>CDHD</x:v>
      </x:c>
      <x:c r="E66" s="20" t="str">
        <x:v>N09</x:v>
      </x:c>
      <x:c r="F66" s="20"/>
      <x:c r="G66" s="20"/>
      <x:c r="H66" s="20" t="str">
        <x:v>待判定</x:v>
      </x:c>
      <x:c r="I66" s="20"/>
      <x:c r="J66" s="20" t="str">
        <x:v>未测试</x:v>
      </x:c>
      <x:c r="K66" s="20"/>
      <x:c r="L66" s="20"/>
      <x:c r="M66" s="20"/>
      <x:c r="N66" s="20"/>
      <x:c r="O66" s="31"/>
      <x:c r="P66" s="20"/>
      <x:c r="Q66" s="20"/>
      <x:c r="R66" s="20" t="str">
        <x:v>待展开</x:v>
      </x:c>
      <x:c r="S66" s="20"/>
      <x:c r="T66" s="31"/>
      <x:c r="U66" s="30" t="str">
        <x:f>IF(A66="","缺记录编号",IF(COUNTIFS(PathRecords[记录编号],A66)&lt;&gt;1,"记录编号重复",IF(OR(B66="",E66=""),"缺组合/功能",IF(COUNTIFS(Equipment[组合编号],B66)&lt;&gt;1,"组合编号无效",IF(COUNTIFS(FunctionMatrix[编号],E66)=0,"功能编号无效",IF(H66="不适用",IF(J66="已实测","适用性冲突",IF(I66="","待补不适用依据","不适用（非实测）")),IF(J66="阻塞",IF(I66="","待补阻塞原因","阻塞（非实测）"),IF(J66&lt;&gt;"已实测",IF(F66="","待展开路径","未实测"),IF(H66&lt;&gt;"适用","待确认适用性",IF(INDEX(Equipment[登记状态（自动）],MATCH(B66,Equipment[组合编号],0))&lt;&gt;"已登记","待补设备组合",IF(AND(F66&lt;&gt;"",G66&lt;&gt;"",K66&lt;&gt;"",L66&lt;&gt;"",M66&lt;&gt;"",N66&lt;&gt;"",ISNUMBER(O66),O66&gt;0,P66&lt;&gt;""),"记录齐全","待补实测记录")))))))))))</x:f>
        <x:v>待展开路径</x:v>
      </x:c>
    </x:row>
    <x:row r="67" ht="43.5" customHeight="1">
      <x:c r="A67" s="20" t="str">
        <x:v>REC-00058</x:v>
      </x:c>
      <x:c r="B67" s="20" t="str">
        <x:v>P1-B1-01</x:v>
      </x:c>
      <x:c r="C67" s="30" t="str">
        <x:f>IF(B67="","",IF(COUNTIFS(Equipment[组合编号],B67)&lt;&gt;1,"组合编号无效",INDEX(Equipment[PLC组],MATCH(B67,Equipment[组合编号],0))))</x:f>
        <x:v>汇川小型</x:v>
      </x:c>
      <x:c r="D67" s="30" t="str">
        <x:f>IF(B67="","",IF(COUNTIFS(Equipment[组合编号],B67)&lt;&gt;1,"组合编号无效",INDEX(Equipment[驱动品牌],MATCH(B67,Equipment[组合编号],0))))</x:f>
        <x:v>CDHD</x:v>
      </x:c>
      <x:c r="E67" s="20" t="str">
        <x:v>N10</x:v>
      </x:c>
      <x:c r="F67" s="20"/>
      <x:c r="G67" s="20"/>
      <x:c r="H67" s="20" t="str">
        <x:v>待判定</x:v>
      </x:c>
      <x:c r="I67" s="20"/>
      <x:c r="J67" s="20" t="str">
        <x:v>未测试</x:v>
      </x:c>
      <x:c r="K67" s="20"/>
      <x:c r="L67" s="20"/>
      <x:c r="M67" s="20"/>
      <x:c r="N67" s="20"/>
      <x:c r="O67" s="31"/>
      <x:c r="P67" s="20"/>
      <x:c r="Q67" s="20"/>
      <x:c r="R67" s="20" t="str">
        <x:v>待展开</x:v>
      </x:c>
      <x:c r="S67" s="20"/>
      <x:c r="T67" s="31"/>
      <x:c r="U67" s="30" t="str">
        <x:f>IF(A67="","缺记录编号",IF(COUNTIFS(PathRecords[记录编号],A67)&lt;&gt;1,"记录编号重复",IF(OR(B67="",E67=""),"缺组合/功能",IF(COUNTIFS(Equipment[组合编号],B67)&lt;&gt;1,"组合编号无效",IF(COUNTIFS(FunctionMatrix[编号],E67)=0,"功能编号无效",IF(H67="不适用",IF(J67="已实测","适用性冲突",IF(I67="","待补不适用依据","不适用（非实测）")),IF(J67="阻塞",IF(I67="","待补阻塞原因","阻塞（非实测）"),IF(J67&lt;&gt;"已实测",IF(F67="","待展开路径","未实测"),IF(H67&lt;&gt;"适用","待确认适用性",IF(INDEX(Equipment[登记状态（自动）],MATCH(B67,Equipment[组合编号],0))&lt;&gt;"已登记","待补设备组合",IF(AND(F67&lt;&gt;"",G67&lt;&gt;"",K67&lt;&gt;"",L67&lt;&gt;"",M67&lt;&gt;"",N67&lt;&gt;"",ISNUMBER(O67),O67&gt;0,P67&lt;&gt;""),"记录齐全","待补实测记录")))))))))))</x:f>
        <x:v>待展开路径</x:v>
      </x:c>
    </x:row>
    <x:row r="68" ht="43.5" customHeight="1">
      <x:c r="A68" s="20" t="str">
        <x:v>REC-00059</x:v>
      </x:c>
      <x:c r="B68" s="20" t="str">
        <x:v>P1-B1-01</x:v>
      </x:c>
      <x:c r="C68" s="30" t="str">
        <x:f>IF(B68="","",IF(COUNTIFS(Equipment[组合编号],B68)&lt;&gt;1,"组合编号无效",INDEX(Equipment[PLC组],MATCH(B68,Equipment[组合编号],0))))</x:f>
        <x:v>汇川小型</x:v>
      </x:c>
      <x:c r="D68" s="30" t="str">
        <x:f>IF(B68="","",IF(COUNTIFS(Equipment[组合编号],B68)&lt;&gt;1,"组合编号无效",INDEX(Equipment[驱动品牌],MATCH(B68,Equipment[组合编号],0))))</x:f>
        <x:v>CDHD</x:v>
      </x:c>
      <x:c r="E68" s="20" t="str">
        <x:v>N11</x:v>
      </x:c>
      <x:c r="F68" s="20"/>
      <x:c r="G68" s="20"/>
      <x:c r="H68" s="20" t="str">
        <x:v>待判定</x:v>
      </x:c>
      <x:c r="I68" s="20"/>
      <x:c r="J68" s="20" t="str">
        <x:v>未测试</x:v>
      </x:c>
      <x:c r="K68" s="20"/>
      <x:c r="L68" s="20"/>
      <x:c r="M68" s="20"/>
      <x:c r="N68" s="20"/>
      <x:c r="O68" s="31"/>
      <x:c r="P68" s="20"/>
      <x:c r="Q68" s="20"/>
      <x:c r="R68" s="20" t="str">
        <x:v>待展开</x:v>
      </x:c>
      <x:c r="S68" s="20"/>
      <x:c r="T68" s="31"/>
      <x:c r="U68" s="30" t="str">
        <x:f>IF(A68="","缺记录编号",IF(COUNTIFS(PathRecords[记录编号],A68)&lt;&gt;1,"记录编号重复",IF(OR(B68="",E68=""),"缺组合/功能",IF(COUNTIFS(Equipment[组合编号],B68)&lt;&gt;1,"组合编号无效",IF(COUNTIFS(FunctionMatrix[编号],E68)=0,"功能编号无效",IF(H68="不适用",IF(J68="已实测","适用性冲突",IF(I68="","待补不适用依据","不适用（非实测）")),IF(J68="阻塞",IF(I68="","待补阻塞原因","阻塞（非实测）"),IF(J68&lt;&gt;"已实测",IF(F68="","待展开路径","未实测"),IF(H68&lt;&gt;"适用","待确认适用性",IF(INDEX(Equipment[登记状态（自动）],MATCH(B68,Equipment[组合编号],0))&lt;&gt;"已登记","待补设备组合",IF(AND(F68&lt;&gt;"",G68&lt;&gt;"",K68&lt;&gt;"",L68&lt;&gt;"",M68&lt;&gt;"",N68&lt;&gt;"",ISNUMBER(O68),O68&gt;0,P68&lt;&gt;""),"记录齐全","待补实测记录")))))))))))</x:f>
        <x:v>待展开路径</x:v>
      </x:c>
    </x:row>
    <x:row r="69" ht="43.5" customHeight="1">
      <x:c r="A69" s="20" t="str">
        <x:v>REC-00060</x:v>
      </x:c>
      <x:c r="B69" s="20" t="str">
        <x:v>P1-B1-01</x:v>
      </x:c>
      <x:c r="C69" s="30" t="str">
        <x:f>IF(B69="","",IF(COUNTIFS(Equipment[组合编号],B69)&lt;&gt;1,"组合编号无效",INDEX(Equipment[PLC组],MATCH(B69,Equipment[组合编号],0))))</x:f>
        <x:v>汇川小型</x:v>
      </x:c>
      <x:c r="D69" s="30" t="str">
        <x:f>IF(B69="","",IF(COUNTIFS(Equipment[组合编号],B69)&lt;&gt;1,"组合编号无效",INDEX(Equipment[驱动品牌],MATCH(B69,Equipment[组合编号],0))))</x:f>
        <x:v>CDHD</x:v>
      </x:c>
      <x:c r="E69" s="20" t="str">
        <x:v>N12</x:v>
      </x:c>
      <x:c r="F69" s="20"/>
      <x:c r="G69" s="20"/>
      <x:c r="H69" s="20" t="str">
        <x:v>待判定</x:v>
      </x:c>
      <x:c r="I69" s="20"/>
      <x:c r="J69" s="20" t="str">
        <x:v>未测试</x:v>
      </x:c>
      <x:c r="K69" s="20"/>
      <x:c r="L69" s="20"/>
      <x:c r="M69" s="20"/>
      <x:c r="N69" s="20"/>
      <x:c r="O69" s="31"/>
      <x:c r="P69" s="20"/>
      <x:c r="Q69" s="20"/>
      <x:c r="R69" s="20" t="str">
        <x:v>待展开</x:v>
      </x:c>
      <x:c r="S69" s="20"/>
      <x:c r="T69" s="31"/>
      <x:c r="U69" s="30" t="str">
        <x:f>IF(A69="","缺记录编号",IF(COUNTIFS(PathRecords[记录编号],A69)&lt;&gt;1,"记录编号重复",IF(OR(B69="",E69=""),"缺组合/功能",IF(COUNTIFS(Equipment[组合编号],B69)&lt;&gt;1,"组合编号无效",IF(COUNTIFS(FunctionMatrix[编号],E69)=0,"功能编号无效",IF(H69="不适用",IF(J69="已实测","适用性冲突",IF(I69="","待补不适用依据","不适用（非实测）")),IF(J69="阻塞",IF(I69="","待补阻塞原因","阻塞（非实测）"),IF(J69&lt;&gt;"已实测",IF(F69="","待展开路径","未实测"),IF(H69&lt;&gt;"适用","待确认适用性",IF(INDEX(Equipment[登记状态（自动）],MATCH(B69,Equipment[组合编号],0))&lt;&gt;"已登记","待补设备组合",IF(AND(F69&lt;&gt;"",G69&lt;&gt;"",K69&lt;&gt;"",L69&lt;&gt;"",M69&lt;&gt;"",N69&lt;&gt;"",ISNUMBER(O69),O69&gt;0,P69&lt;&gt;""),"记录齐全","待补实测记录")))))))))))</x:f>
        <x:v>待展开路径</x:v>
      </x:c>
    </x:row>
    <x:row r="70" ht="43.5" customHeight="1">
      <x:c r="A70" s="20" t="str">
        <x:v>REC-00061</x:v>
      </x:c>
      <x:c r="B70" s="20" t="str">
        <x:v>P1-B1-01</x:v>
      </x:c>
      <x:c r="C70" s="30" t="str">
        <x:f>IF(B70="","",IF(COUNTIFS(Equipment[组合编号],B70)&lt;&gt;1,"组合编号无效",INDEX(Equipment[PLC组],MATCH(B70,Equipment[组合编号],0))))</x:f>
        <x:v>汇川小型</x:v>
      </x:c>
      <x:c r="D70" s="30" t="str">
        <x:f>IF(B70="","",IF(COUNTIFS(Equipment[组合编号],B70)&lt;&gt;1,"组合编号无效",INDEX(Equipment[驱动品牌],MATCH(B70,Equipment[组合编号],0))))</x:f>
        <x:v>CDHD</x:v>
      </x:c>
      <x:c r="E70" s="20" t="str">
        <x:v>P01</x:v>
      </x:c>
      <x:c r="F70" s="20"/>
      <x:c r="G70" s="20"/>
      <x:c r="H70" s="20" t="str">
        <x:v>待判定</x:v>
      </x:c>
      <x:c r="I70" s="20"/>
      <x:c r="J70" s="20" t="str">
        <x:v>未测试</x:v>
      </x:c>
      <x:c r="K70" s="20"/>
      <x:c r="L70" s="20"/>
      <x:c r="M70" s="20"/>
      <x:c r="N70" s="20"/>
      <x:c r="O70" s="31"/>
      <x:c r="P70" s="20"/>
      <x:c r="Q70" s="20"/>
      <x:c r="R70" s="20" t="str">
        <x:v>待展开</x:v>
      </x:c>
      <x:c r="S70" s="20"/>
      <x:c r="T70" s="31"/>
      <x:c r="U70" s="30" t="str">
        <x:f>IF(A70="","缺记录编号",IF(COUNTIFS(PathRecords[记录编号],A70)&lt;&gt;1,"记录编号重复",IF(OR(B70="",E70=""),"缺组合/功能",IF(COUNTIFS(Equipment[组合编号],B70)&lt;&gt;1,"组合编号无效",IF(COUNTIFS(FunctionMatrix[编号],E70)=0,"功能编号无效",IF(H70="不适用",IF(J70="已实测","适用性冲突",IF(I70="","待补不适用依据","不适用（非实测）")),IF(J70="阻塞",IF(I70="","待补阻塞原因","阻塞（非实测）"),IF(J70&lt;&gt;"已实测",IF(F70="","待展开路径","未实测"),IF(H70&lt;&gt;"适用","待确认适用性",IF(INDEX(Equipment[登记状态（自动）],MATCH(B70,Equipment[组合编号],0))&lt;&gt;"已登记","待补设备组合",IF(AND(F70&lt;&gt;"",G70&lt;&gt;"",K70&lt;&gt;"",L70&lt;&gt;"",M70&lt;&gt;"",N70&lt;&gt;"",ISNUMBER(O70),O70&gt;0,P70&lt;&gt;""),"记录齐全","待补实测记录")))))))))))</x:f>
        <x:v>待展开路径</x:v>
      </x:c>
    </x:row>
    <x:row r="71" ht="43.5" customHeight="1">
      <x:c r="A71" s="20" t="str">
        <x:v>REC-00062</x:v>
      </x:c>
      <x:c r="B71" s="20" t="str">
        <x:v>P1-B1-01</x:v>
      </x:c>
      <x:c r="C71" s="30" t="str">
        <x:f>IF(B71="","",IF(COUNTIFS(Equipment[组合编号],B71)&lt;&gt;1,"组合编号无效",INDEX(Equipment[PLC组],MATCH(B71,Equipment[组合编号],0))))</x:f>
        <x:v>汇川小型</x:v>
      </x:c>
      <x:c r="D71" s="30" t="str">
        <x:f>IF(B71="","",IF(COUNTIFS(Equipment[组合编号],B71)&lt;&gt;1,"组合编号无效",INDEX(Equipment[驱动品牌],MATCH(B71,Equipment[组合编号],0))))</x:f>
        <x:v>CDHD</x:v>
      </x:c>
      <x:c r="E71" s="20" t="str">
        <x:v>P02</x:v>
      </x:c>
      <x:c r="F71" s="20"/>
      <x:c r="G71" s="20"/>
      <x:c r="H71" s="20" t="str">
        <x:v>待判定</x:v>
      </x:c>
      <x:c r="I71" s="20"/>
      <x:c r="J71" s="20" t="str">
        <x:v>未测试</x:v>
      </x:c>
      <x:c r="K71" s="20"/>
      <x:c r="L71" s="20"/>
      <x:c r="M71" s="20"/>
      <x:c r="N71" s="20"/>
      <x:c r="O71" s="31"/>
      <x:c r="P71" s="20"/>
      <x:c r="Q71" s="20"/>
      <x:c r="R71" s="20" t="str">
        <x:v>待展开</x:v>
      </x:c>
      <x:c r="S71" s="20"/>
      <x:c r="T71" s="31"/>
      <x:c r="U71" s="30" t="str">
        <x:f>IF(A71="","缺记录编号",IF(COUNTIFS(PathRecords[记录编号],A71)&lt;&gt;1,"记录编号重复",IF(OR(B71="",E71=""),"缺组合/功能",IF(COUNTIFS(Equipment[组合编号],B71)&lt;&gt;1,"组合编号无效",IF(COUNTIFS(FunctionMatrix[编号],E71)=0,"功能编号无效",IF(H71="不适用",IF(J71="已实测","适用性冲突",IF(I71="","待补不适用依据","不适用（非实测）")),IF(J71="阻塞",IF(I71="","待补阻塞原因","阻塞（非实测）"),IF(J71&lt;&gt;"已实测",IF(F71="","待展开路径","未实测"),IF(H71&lt;&gt;"适用","待确认适用性",IF(INDEX(Equipment[登记状态（自动）],MATCH(B71,Equipment[组合编号],0))&lt;&gt;"已登记","待补设备组合",IF(AND(F71&lt;&gt;"",G71&lt;&gt;"",K71&lt;&gt;"",L71&lt;&gt;"",M71&lt;&gt;"",N71&lt;&gt;"",ISNUMBER(O71),O71&gt;0,P71&lt;&gt;""),"记录齐全","待补实测记录")))))))))))</x:f>
        <x:v>待展开路径</x:v>
      </x:c>
    </x:row>
    <x:row r="72" ht="43.5" customHeight="1">
      <x:c r="A72" s="20" t="str">
        <x:v>REC-00063</x:v>
      </x:c>
      <x:c r="B72" s="20" t="str">
        <x:v>P1-B1-01</x:v>
      </x:c>
      <x:c r="C72" s="30" t="str">
        <x:f>IF(B72="","",IF(COUNTIFS(Equipment[组合编号],B72)&lt;&gt;1,"组合编号无效",INDEX(Equipment[PLC组],MATCH(B72,Equipment[组合编号],0))))</x:f>
        <x:v>汇川小型</x:v>
      </x:c>
      <x:c r="D72" s="30" t="str">
        <x:f>IF(B72="","",IF(COUNTIFS(Equipment[组合编号],B72)&lt;&gt;1,"组合编号无效",INDEX(Equipment[驱动品牌],MATCH(B72,Equipment[组合编号],0))))</x:f>
        <x:v>CDHD</x:v>
      </x:c>
      <x:c r="E72" s="20" t="str">
        <x:v>P03</x:v>
      </x:c>
      <x:c r="F72" s="20"/>
      <x:c r="G72" s="20"/>
      <x:c r="H72" s="20" t="str">
        <x:v>待判定</x:v>
      </x:c>
      <x:c r="I72" s="20"/>
      <x:c r="J72" s="20" t="str">
        <x:v>未测试</x:v>
      </x:c>
      <x:c r="K72" s="20"/>
      <x:c r="L72" s="20"/>
      <x:c r="M72" s="20"/>
      <x:c r="N72" s="20"/>
      <x:c r="O72" s="31"/>
      <x:c r="P72" s="20"/>
      <x:c r="Q72" s="20"/>
      <x:c r="R72" s="20" t="str">
        <x:v>待展开</x:v>
      </x:c>
      <x:c r="S72" s="20"/>
      <x:c r="T72" s="31"/>
      <x:c r="U72" s="30" t="str">
        <x:f>IF(A72="","缺记录编号",IF(COUNTIFS(PathRecords[记录编号],A72)&lt;&gt;1,"记录编号重复",IF(OR(B72="",E72=""),"缺组合/功能",IF(COUNTIFS(Equipment[组合编号],B72)&lt;&gt;1,"组合编号无效",IF(COUNTIFS(FunctionMatrix[编号],E72)=0,"功能编号无效",IF(H72="不适用",IF(J72="已实测","适用性冲突",IF(I72="","待补不适用依据","不适用（非实测）")),IF(J72="阻塞",IF(I72="","待补阻塞原因","阻塞（非实测）"),IF(J72&lt;&gt;"已实测",IF(F72="","待展开路径","未实测"),IF(H72&lt;&gt;"适用","待确认适用性",IF(INDEX(Equipment[登记状态（自动）],MATCH(B72,Equipment[组合编号],0))&lt;&gt;"已登记","待补设备组合",IF(AND(F72&lt;&gt;"",G72&lt;&gt;"",K72&lt;&gt;"",L72&lt;&gt;"",M72&lt;&gt;"",N72&lt;&gt;"",ISNUMBER(O72),O72&gt;0,P72&lt;&gt;""),"记录齐全","待补实测记录")))))))))))</x:f>
        <x:v>待展开路径</x:v>
      </x:c>
    </x:row>
    <x:row r="73" ht="43.5" customHeight="1">
      <x:c r="A73" s="20" t="str">
        <x:v>REC-00064</x:v>
      </x:c>
      <x:c r="B73" s="20" t="str">
        <x:v>P1-B1-01</x:v>
      </x:c>
      <x:c r="C73" s="30" t="str">
        <x:f>IF(B73="","",IF(COUNTIFS(Equipment[组合编号],B73)&lt;&gt;1,"组合编号无效",INDEX(Equipment[PLC组],MATCH(B73,Equipment[组合编号],0))))</x:f>
        <x:v>汇川小型</x:v>
      </x:c>
      <x:c r="D73" s="30" t="str">
        <x:f>IF(B73="","",IF(COUNTIFS(Equipment[组合编号],B73)&lt;&gt;1,"组合编号无效",INDEX(Equipment[驱动品牌],MATCH(B73,Equipment[组合编号],0))))</x:f>
        <x:v>CDHD</x:v>
      </x:c>
      <x:c r="E73" s="20" t="str">
        <x:v>P04</x:v>
      </x:c>
      <x:c r="F73" s="20"/>
      <x:c r="G73" s="20"/>
      <x:c r="H73" s="20" t="str">
        <x:v>待判定</x:v>
      </x:c>
      <x:c r="I73" s="20"/>
      <x:c r="J73" s="20" t="str">
        <x:v>未测试</x:v>
      </x:c>
      <x:c r="K73" s="20"/>
      <x:c r="L73" s="20"/>
      <x:c r="M73" s="20"/>
      <x:c r="N73" s="20"/>
      <x:c r="O73" s="31"/>
      <x:c r="P73" s="20"/>
      <x:c r="Q73" s="20"/>
      <x:c r="R73" s="20" t="str">
        <x:v>待展开</x:v>
      </x:c>
      <x:c r="S73" s="20"/>
      <x:c r="T73" s="31"/>
      <x:c r="U73" s="30" t="str">
        <x:f>IF(A73="","缺记录编号",IF(COUNTIFS(PathRecords[记录编号],A73)&lt;&gt;1,"记录编号重复",IF(OR(B73="",E73=""),"缺组合/功能",IF(COUNTIFS(Equipment[组合编号],B73)&lt;&gt;1,"组合编号无效",IF(COUNTIFS(FunctionMatrix[编号],E73)=0,"功能编号无效",IF(H73="不适用",IF(J73="已实测","适用性冲突",IF(I73="","待补不适用依据","不适用（非实测）")),IF(J73="阻塞",IF(I73="","待补阻塞原因","阻塞（非实测）"),IF(J73&lt;&gt;"已实测",IF(F73="","待展开路径","未实测"),IF(H73&lt;&gt;"适用","待确认适用性",IF(INDEX(Equipment[登记状态（自动）],MATCH(B73,Equipment[组合编号],0))&lt;&gt;"已登记","待补设备组合",IF(AND(F73&lt;&gt;"",G73&lt;&gt;"",K73&lt;&gt;"",L73&lt;&gt;"",M73&lt;&gt;"",N73&lt;&gt;"",ISNUMBER(O73),O73&gt;0,P73&lt;&gt;""),"记录齐全","待补实测记录")))))))))))</x:f>
        <x:v>待展开路径</x:v>
      </x:c>
    </x:row>
    <x:row r="74" ht="43.5" customHeight="1">
      <x:c r="A74" s="20" t="str">
        <x:v>REC-00065</x:v>
      </x:c>
      <x:c r="B74" s="20" t="str">
        <x:v>P1-B1-01</x:v>
      </x:c>
      <x:c r="C74" s="30" t="str">
        <x:f>IF(B74="","",IF(COUNTIFS(Equipment[组合编号],B74)&lt;&gt;1,"组合编号无效",INDEX(Equipment[PLC组],MATCH(B74,Equipment[组合编号],0))))</x:f>
        <x:v>汇川小型</x:v>
      </x:c>
      <x:c r="D74" s="30" t="str">
        <x:f>IF(B74="","",IF(COUNTIFS(Equipment[组合编号],B74)&lt;&gt;1,"组合编号无效",INDEX(Equipment[驱动品牌],MATCH(B74,Equipment[组合编号],0))))</x:f>
        <x:v>CDHD</x:v>
      </x:c>
      <x:c r="E74" s="20" t="str">
        <x:v>P05</x:v>
      </x:c>
      <x:c r="F74" s="20"/>
      <x:c r="G74" s="20"/>
      <x:c r="H74" s="20" t="str">
        <x:v>待判定</x:v>
      </x:c>
      <x:c r="I74" s="20"/>
      <x:c r="J74" s="20" t="str">
        <x:v>未测试</x:v>
      </x:c>
      <x:c r="K74" s="20"/>
      <x:c r="L74" s="20"/>
      <x:c r="M74" s="20"/>
      <x:c r="N74" s="20"/>
      <x:c r="O74" s="31"/>
      <x:c r="P74" s="20"/>
      <x:c r="Q74" s="20"/>
      <x:c r="R74" s="20" t="str">
        <x:v>待展开</x:v>
      </x:c>
      <x:c r="S74" s="20"/>
      <x:c r="T74" s="31"/>
      <x:c r="U74" s="30" t="str">
        <x:f>IF(A74="","缺记录编号",IF(COUNTIFS(PathRecords[记录编号],A74)&lt;&gt;1,"记录编号重复",IF(OR(B74="",E74=""),"缺组合/功能",IF(COUNTIFS(Equipment[组合编号],B74)&lt;&gt;1,"组合编号无效",IF(COUNTIFS(FunctionMatrix[编号],E74)=0,"功能编号无效",IF(H74="不适用",IF(J74="已实测","适用性冲突",IF(I74="","待补不适用依据","不适用（非实测）")),IF(J74="阻塞",IF(I74="","待补阻塞原因","阻塞（非实测）"),IF(J74&lt;&gt;"已实测",IF(F74="","待展开路径","未实测"),IF(H74&lt;&gt;"适用","待确认适用性",IF(INDEX(Equipment[登记状态（自动）],MATCH(B74,Equipment[组合编号],0))&lt;&gt;"已登记","待补设备组合",IF(AND(F74&lt;&gt;"",G74&lt;&gt;"",K74&lt;&gt;"",L74&lt;&gt;"",M74&lt;&gt;"",N74&lt;&gt;"",ISNUMBER(O74),O74&gt;0,P74&lt;&gt;""),"记录齐全","待补实测记录")))))))))))</x:f>
        <x:v>待展开路径</x:v>
      </x:c>
    </x:row>
    <x:row r="75" ht="43.5" customHeight="1">
      <x:c r="A75" s="20" t="str">
        <x:v>REC-00066</x:v>
      </x:c>
      <x:c r="B75" s="20" t="str">
        <x:v>P1-B1-01</x:v>
      </x:c>
      <x:c r="C75" s="30" t="str">
        <x:f>IF(B75="","",IF(COUNTIFS(Equipment[组合编号],B75)&lt;&gt;1,"组合编号无效",INDEX(Equipment[PLC组],MATCH(B75,Equipment[组合编号],0))))</x:f>
        <x:v>汇川小型</x:v>
      </x:c>
      <x:c r="D75" s="30" t="str">
        <x:f>IF(B75="","",IF(COUNTIFS(Equipment[组合编号],B75)&lt;&gt;1,"组合编号无效",INDEX(Equipment[驱动品牌],MATCH(B75,Equipment[组合编号],0))))</x:f>
        <x:v>CDHD</x:v>
      </x:c>
      <x:c r="E75" s="20" t="str">
        <x:v>P06</x:v>
      </x:c>
      <x:c r="F75" s="20"/>
      <x:c r="G75" s="20"/>
      <x:c r="H75" s="20" t="str">
        <x:v>待判定</x:v>
      </x:c>
      <x:c r="I75" s="20"/>
      <x:c r="J75" s="20" t="str">
        <x:v>未测试</x:v>
      </x:c>
      <x:c r="K75" s="20"/>
      <x:c r="L75" s="20"/>
      <x:c r="M75" s="20"/>
      <x:c r="N75" s="20"/>
      <x:c r="O75" s="31"/>
      <x:c r="P75" s="20"/>
      <x:c r="Q75" s="20"/>
      <x:c r="R75" s="20" t="str">
        <x:v>待展开</x:v>
      </x:c>
      <x:c r="S75" s="20"/>
      <x:c r="T75" s="31"/>
      <x:c r="U75" s="30" t="str">
        <x:f>IF(A75="","缺记录编号",IF(COUNTIFS(PathRecords[记录编号],A75)&lt;&gt;1,"记录编号重复",IF(OR(B75="",E75=""),"缺组合/功能",IF(COUNTIFS(Equipment[组合编号],B75)&lt;&gt;1,"组合编号无效",IF(COUNTIFS(FunctionMatrix[编号],E75)=0,"功能编号无效",IF(H75="不适用",IF(J75="已实测","适用性冲突",IF(I75="","待补不适用依据","不适用（非实测）")),IF(J75="阻塞",IF(I75="","待补阻塞原因","阻塞（非实测）"),IF(J75&lt;&gt;"已实测",IF(F75="","待展开路径","未实测"),IF(H75&lt;&gt;"适用","待确认适用性",IF(INDEX(Equipment[登记状态（自动）],MATCH(B75,Equipment[组合编号],0))&lt;&gt;"已登记","待补设备组合",IF(AND(F75&lt;&gt;"",G75&lt;&gt;"",K75&lt;&gt;"",L75&lt;&gt;"",M75&lt;&gt;"",N75&lt;&gt;"",ISNUMBER(O75),O75&gt;0,P75&lt;&gt;""),"记录齐全","待补实测记录")))))))))))</x:f>
        <x:v>待展开路径</x:v>
      </x:c>
    </x:row>
    <x:row r="76" ht="43.5" customHeight="1">
      <x:c r="A76" s="20" t="str">
        <x:v>REC-00067</x:v>
      </x:c>
      <x:c r="B76" s="20" t="str">
        <x:v>P1-B1-01</x:v>
      </x:c>
      <x:c r="C76" s="30" t="str">
        <x:f>IF(B76="","",IF(COUNTIFS(Equipment[组合编号],B76)&lt;&gt;1,"组合编号无效",INDEX(Equipment[PLC组],MATCH(B76,Equipment[组合编号],0))))</x:f>
        <x:v>汇川小型</x:v>
      </x:c>
      <x:c r="D76" s="30" t="str">
        <x:f>IF(B76="","",IF(COUNTIFS(Equipment[组合编号],B76)&lt;&gt;1,"组合编号无效",INDEX(Equipment[驱动品牌],MATCH(B76,Equipment[组合编号],0))))</x:f>
        <x:v>CDHD</x:v>
      </x:c>
      <x:c r="E76" s="20" t="str">
        <x:v>P07</x:v>
      </x:c>
      <x:c r="F76" s="20"/>
      <x:c r="G76" s="20"/>
      <x:c r="H76" s="20" t="str">
        <x:v>待判定</x:v>
      </x:c>
      <x:c r="I76" s="20"/>
      <x:c r="J76" s="20" t="str">
        <x:v>未测试</x:v>
      </x:c>
      <x:c r="K76" s="20"/>
      <x:c r="L76" s="20"/>
      <x:c r="M76" s="20"/>
      <x:c r="N76" s="20"/>
      <x:c r="O76" s="31"/>
      <x:c r="P76" s="20"/>
      <x:c r="Q76" s="20"/>
      <x:c r="R76" s="20" t="str">
        <x:v>待展开</x:v>
      </x:c>
      <x:c r="S76" s="20"/>
      <x:c r="T76" s="31"/>
      <x:c r="U76" s="30" t="str">
        <x:f>IF(A76="","缺记录编号",IF(COUNTIFS(PathRecords[记录编号],A76)&lt;&gt;1,"记录编号重复",IF(OR(B76="",E76=""),"缺组合/功能",IF(COUNTIFS(Equipment[组合编号],B76)&lt;&gt;1,"组合编号无效",IF(COUNTIFS(FunctionMatrix[编号],E76)=0,"功能编号无效",IF(H76="不适用",IF(J76="已实测","适用性冲突",IF(I76="","待补不适用依据","不适用（非实测）")),IF(J76="阻塞",IF(I76="","待补阻塞原因","阻塞（非实测）"),IF(J76&lt;&gt;"已实测",IF(F76="","待展开路径","未实测"),IF(H76&lt;&gt;"适用","待确认适用性",IF(INDEX(Equipment[登记状态（自动）],MATCH(B76,Equipment[组合编号],0))&lt;&gt;"已登记","待补设备组合",IF(AND(F76&lt;&gt;"",G76&lt;&gt;"",K76&lt;&gt;"",L76&lt;&gt;"",M76&lt;&gt;"",N76&lt;&gt;"",ISNUMBER(O76),O76&gt;0,P76&lt;&gt;""),"记录齐全","待补实测记录")))))))))))</x:f>
        <x:v>待展开路径</x:v>
      </x:c>
    </x:row>
    <x:row r="77" ht="43.5" customHeight="1">
      <x:c r="A77" s="20" t="str">
        <x:v>REC-00068</x:v>
      </x:c>
      <x:c r="B77" s="20" t="str">
        <x:v>P1-B1-01</x:v>
      </x:c>
      <x:c r="C77" s="30" t="str">
        <x:f>IF(B77="","",IF(COUNTIFS(Equipment[组合编号],B77)&lt;&gt;1,"组合编号无效",INDEX(Equipment[PLC组],MATCH(B77,Equipment[组合编号],0))))</x:f>
        <x:v>汇川小型</x:v>
      </x:c>
      <x:c r="D77" s="30" t="str">
        <x:f>IF(B77="","",IF(COUNTIFS(Equipment[组合编号],B77)&lt;&gt;1,"组合编号无效",INDEX(Equipment[驱动品牌],MATCH(B77,Equipment[组合编号],0))))</x:f>
        <x:v>CDHD</x:v>
      </x:c>
      <x:c r="E77" s="20" t="str">
        <x:v>P08</x:v>
      </x:c>
      <x:c r="F77" s="20"/>
      <x:c r="G77" s="20"/>
      <x:c r="H77" s="20" t="str">
        <x:v>待判定</x:v>
      </x:c>
      <x:c r="I77" s="20"/>
      <x:c r="J77" s="20" t="str">
        <x:v>未测试</x:v>
      </x:c>
      <x:c r="K77" s="20"/>
      <x:c r="L77" s="20"/>
      <x:c r="M77" s="20"/>
      <x:c r="N77" s="20"/>
      <x:c r="O77" s="31"/>
      <x:c r="P77" s="20"/>
      <x:c r="Q77" s="20"/>
      <x:c r="R77" s="20" t="str">
        <x:v>待展开</x:v>
      </x:c>
      <x:c r="S77" s="20"/>
      <x:c r="T77" s="31"/>
      <x:c r="U77" s="30" t="str">
        <x:f>IF(A77="","缺记录编号",IF(COUNTIFS(PathRecords[记录编号],A77)&lt;&gt;1,"记录编号重复",IF(OR(B77="",E77=""),"缺组合/功能",IF(COUNTIFS(Equipment[组合编号],B77)&lt;&gt;1,"组合编号无效",IF(COUNTIFS(FunctionMatrix[编号],E77)=0,"功能编号无效",IF(H77="不适用",IF(J77="已实测","适用性冲突",IF(I77="","待补不适用依据","不适用（非实测）")),IF(J77="阻塞",IF(I77="","待补阻塞原因","阻塞（非实测）"),IF(J77&lt;&gt;"已实测",IF(F77="","待展开路径","未实测"),IF(H77&lt;&gt;"适用","待确认适用性",IF(INDEX(Equipment[登记状态（自动）],MATCH(B77,Equipment[组合编号],0))&lt;&gt;"已登记","待补设备组合",IF(AND(F77&lt;&gt;"",G77&lt;&gt;"",K77&lt;&gt;"",L77&lt;&gt;"",M77&lt;&gt;"",N77&lt;&gt;"",ISNUMBER(O77),O77&gt;0,P77&lt;&gt;""),"记录齐全","待补实测记录")))))))))))</x:f>
        <x:v>待展开路径</x:v>
      </x:c>
    </x:row>
    <x:row r="78" ht="43.5" customHeight="1">
      <x:c r="A78" s="20" t="str">
        <x:v>REC-00069</x:v>
      </x:c>
      <x:c r="B78" s="20" t="str">
        <x:v>P1-B1-01</x:v>
      </x:c>
      <x:c r="C78" s="30" t="str">
        <x:f>IF(B78="","",IF(COUNTIFS(Equipment[组合编号],B78)&lt;&gt;1,"组合编号无效",INDEX(Equipment[PLC组],MATCH(B78,Equipment[组合编号],0))))</x:f>
        <x:v>汇川小型</x:v>
      </x:c>
      <x:c r="D78" s="30" t="str">
        <x:f>IF(B78="","",IF(COUNTIFS(Equipment[组合编号],B78)&lt;&gt;1,"组合编号无效",INDEX(Equipment[驱动品牌],MATCH(B78,Equipment[组合编号],0))))</x:f>
        <x:v>CDHD</x:v>
      </x:c>
      <x:c r="E78" s="20" t="str">
        <x:v>P09</x:v>
      </x:c>
      <x:c r="F78" s="20"/>
      <x:c r="G78" s="20"/>
      <x:c r="H78" s="20" t="str">
        <x:v>待判定</x:v>
      </x:c>
      <x:c r="I78" s="20"/>
      <x:c r="J78" s="20" t="str">
        <x:v>未测试</x:v>
      </x:c>
      <x:c r="K78" s="20"/>
      <x:c r="L78" s="20"/>
      <x:c r="M78" s="20"/>
      <x:c r="N78" s="20"/>
      <x:c r="O78" s="31"/>
      <x:c r="P78" s="20"/>
      <x:c r="Q78" s="20"/>
      <x:c r="R78" s="20" t="str">
        <x:v>待展开</x:v>
      </x:c>
      <x:c r="S78" s="20"/>
      <x:c r="T78" s="31"/>
      <x:c r="U78" s="30" t="str">
        <x:f>IF(A78="","缺记录编号",IF(COUNTIFS(PathRecords[记录编号],A78)&lt;&gt;1,"记录编号重复",IF(OR(B78="",E78=""),"缺组合/功能",IF(COUNTIFS(Equipment[组合编号],B78)&lt;&gt;1,"组合编号无效",IF(COUNTIFS(FunctionMatrix[编号],E78)=0,"功能编号无效",IF(H78="不适用",IF(J78="已实测","适用性冲突",IF(I78="","待补不适用依据","不适用（非实测）")),IF(J78="阻塞",IF(I78="","待补阻塞原因","阻塞（非实测）"),IF(J78&lt;&gt;"已实测",IF(F78="","待展开路径","未实测"),IF(H78&lt;&gt;"适用","待确认适用性",IF(INDEX(Equipment[登记状态（自动）],MATCH(B78,Equipment[组合编号],0))&lt;&gt;"已登记","待补设备组合",IF(AND(F78&lt;&gt;"",G78&lt;&gt;"",K78&lt;&gt;"",L78&lt;&gt;"",M78&lt;&gt;"",N78&lt;&gt;"",ISNUMBER(O78),O78&gt;0,P78&lt;&gt;""),"记录齐全","待补实测记录")))))))))))</x:f>
        <x:v>待展开路径</x:v>
      </x:c>
    </x:row>
    <x:row r="79" ht="43.5" customHeight="1">
      <x:c r="A79" s="20" t="str">
        <x:v>REC-00070</x:v>
      </x:c>
      <x:c r="B79" s="20" t="str">
        <x:v>P1-B1-01</x:v>
      </x:c>
      <x:c r="C79" s="30" t="str">
        <x:f>IF(B79="","",IF(COUNTIFS(Equipment[组合编号],B79)&lt;&gt;1,"组合编号无效",INDEX(Equipment[PLC组],MATCH(B79,Equipment[组合编号],0))))</x:f>
        <x:v>汇川小型</x:v>
      </x:c>
      <x:c r="D79" s="30" t="str">
        <x:f>IF(B79="","",IF(COUNTIFS(Equipment[组合编号],B79)&lt;&gt;1,"组合编号无效",INDEX(Equipment[驱动品牌],MATCH(B79,Equipment[组合编号],0))))</x:f>
        <x:v>CDHD</x:v>
      </x:c>
      <x:c r="E79" s="20" t="str">
        <x:v>P10</x:v>
      </x:c>
      <x:c r="F79" s="20"/>
      <x:c r="G79" s="20"/>
      <x:c r="H79" s="20" t="str">
        <x:v>待判定</x:v>
      </x:c>
      <x:c r="I79" s="20"/>
      <x:c r="J79" s="20" t="str">
        <x:v>未测试</x:v>
      </x:c>
      <x:c r="K79" s="20"/>
      <x:c r="L79" s="20"/>
      <x:c r="M79" s="20"/>
      <x:c r="N79" s="20"/>
      <x:c r="O79" s="31"/>
      <x:c r="P79" s="20"/>
      <x:c r="Q79" s="20"/>
      <x:c r="R79" s="20" t="str">
        <x:v>待展开</x:v>
      </x:c>
      <x:c r="S79" s="20"/>
      <x:c r="T79" s="31"/>
      <x:c r="U79" s="30" t="str">
        <x:f>IF(A79="","缺记录编号",IF(COUNTIFS(PathRecords[记录编号],A79)&lt;&gt;1,"记录编号重复",IF(OR(B79="",E79=""),"缺组合/功能",IF(COUNTIFS(Equipment[组合编号],B79)&lt;&gt;1,"组合编号无效",IF(COUNTIFS(FunctionMatrix[编号],E79)=0,"功能编号无效",IF(H79="不适用",IF(J79="已实测","适用性冲突",IF(I79="","待补不适用依据","不适用（非实测）")),IF(J79="阻塞",IF(I79="","待补阻塞原因","阻塞（非实测）"),IF(J79&lt;&gt;"已实测",IF(F79="","待展开路径","未实测"),IF(H79&lt;&gt;"适用","待确认适用性",IF(INDEX(Equipment[登记状态（自动）],MATCH(B79,Equipment[组合编号],0))&lt;&gt;"已登记","待补设备组合",IF(AND(F79&lt;&gt;"",G79&lt;&gt;"",K79&lt;&gt;"",L79&lt;&gt;"",M79&lt;&gt;"",N79&lt;&gt;"",ISNUMBER(O79),O79&gt;0,P79&lt;&gt;""),"记录齐全","待补实测记录")))))))))))</x:f>
        <x:v>待展开路径</x:v>
      </x:c>
    </x:row>
    <x:row r="80" ht="43.5" customHeight="1">
      <x:c r="A80" s="20" t="str">
        <x:v>REC-00071</x:v>
      </x:c>
      <x:c r="B80" s="20" t="str">
        <x:v>P1-B1-01</x:v>
      </x:c>
      <x:c r="C80" s="30" t="str">
        <x:f>IF(B80="","",IF(COUNTIFS(Equipment[组合编号],B80)&lt;&gt;1,"组合编号无效",INDEX(Equipment[PLC组],MATCH(B80,Equipment[组合编号],0))))</x:f>
        <x:v>汇川小型</x:v>
      </x:c>
      <x:c r="D80" s="30" t="str">
        <x:f>IF(B80="","",IF(COUNTIFS(Equipment[组合编号],B80)&lt;&gt;1,"组合编号无效",INDEX(Equipment[驱动品牌],MATCH(B80,Equipment[组合编号],0))))</x:f>
        <x:v>CDHD</x:v>
      </x:c>
      <x:c r="E80" s="20" t="str">
        <x:v>A01</x:v>
      </x:c>
      <x:c r="F80" s="20"/>
      <x:c r="G80" s="20"/>
      <x:c r="H80" s="20" t="str">
        <x:v>待判定</x:v>
      </x:c>
      <x:c r="I80" s="20"/>
      <x:c r="J80" s="20" t="str">
        <x:v>未测试</x:v>
      </x:c>
      <x:c r="K80" s="20"/>
      <x:c r="L80" s="20"/>
      <x:c r="M80" s="20"/>
      <x:c r="N80" s="20"/>
      <x:c r="O80" s="31"/>
      <x:c r="P80" s="20"/>
      <x:c r="Q80" s="20"/>
      <x:c r="R80" s="20" t="str">
        <x:v>待展开</x:v>
      </x:c>
      <x:c r="S80" s="20"/>
      <x:c r="T80" s="31"/>
      <x:c r="U80" s="30" t="str">
        <x:f>IF(A80="","缺记录编号",IF(COUNTIFS(PathRecords[记录编号],A80)&lt;&gt;1,"记录编号重复",IF(OR(B80="",E80=""),"缺组合/功能",IF(COUNTIFS(Equipment[组合编号],B80)&lt;&gt;1,"组合编号无效",IF(COUNTIFS(FunctionMatrix[编号],E80)=0,"功能编号无效",IF(H80="不适用",IF(J80="已实测","适用性冲突",IF(I80="","待补不适用依据","不适用（非实测）")),IF(J80="阻塞",IF(I80="","待补阻塞原因","阻塞（非实测）"),IF(J80&lt;&gt;"已实测",IF(F80="","待展开路径","未实测"),IF(H80&lt;&gt;"适用","待确认适用性",IF(INDEX(Equipment[登记状态（自动）],MATCH(B80,Equipment[组合编号],0))&lt;&gt;"已登记","待补设备组合",IF(AND(F80&lt;&gt;"",G80&lt;&gt;"",K80&lt;&gt;"",L80&lt;&gt;"",M80&lt;&gt;"",N80&lt;&gt;"",ISNUMBER(O80),O80&gt;0,P80&lt;&gt;""),"记录齐全","待补实测记录")))))))))))</x:f>
        <x:v>待展开路径</x:v>
      </x:c>
    </x:row>
    <x:row r="81" ht="43.5" customHeight="1">
      <x:c r="A81" s="20" t="str">
        <x:v>REC-00072</x:v>
      </x:c>
      <x:c r="B81" s="20" t="str">
        <x:v>P1-B1-01</x:v>
      </x:c>
      <x:c r="C81" s="30" t="str">
        <x:f>IF(B81="","",IF(COUNTIFS(Equipment[组合编号],B81)&lt;&gt;1,"组合编号无效",INDEX(Equipment[PLC组],MATCH(B81,Equipment[组合编号],0))))</x:f>
        <x:v>汇川小型</x:v>
      </x:c>
      <x:c r="D81" s="30" t="str">
        <x:f>IF(B81="","",IF(COUNTIFS(Equipment[组合编号],B81)&lt;&gt;1,"组合编号无效",INDEX(Equipment[驱动品牌],MATCH(B81,Equipment[组合编号],0))))</x:f>
        <x:v>CDHD</x:v>
      </x:c>
      <x:c r="E81" s="20" t="str">
        <x:v>A02</x:v>
      </x:c>
      <x:c r="F81" s="20"/>
      <x:c r="G81" s="20"/>
      <x:c r="H81" s="20" t="str">
        <x:v>待判定</x:v>
      </x:c>
      <x:c r="I81" s="20"/>
      <x:c r="J81" s="20" t="str">
        <x:v>未测试</x:v>
      </x:c>
      <x:c r="K81" s="20"/>
      <x:c r="L81" s="20"/>
      <x:c r="M81" s="20"/>
      <x:c r="N81" s="20"/>
      <x:c r="O81" s="31"/>
      <x:c r="P81" s="20"/>
      <x:c r="Q81" s="20"/>
      <x:c r="R81" s="20" t="str">
        <x:v>待展开</x:v>
      </x:c>
      <x:c r="S81" s="20"/>
      <x:c r="T81" s="31"/>
      <x:c r="U81" s="30" t="str">
        <x:f>IF(A81="","缺记录编号",IF(COUNTIFS(PathRecords[记录编号],A81)&lt;&gt;1,"记录编号重复",IF(OR(B81="",E81=""),"缺组合/功能",IF(COUNTIFS(Equipment[组合编号],B81)&lt;&gt;1,"组合编号无效",IF(COUNTIFS(FunctionMatrix[编号],E81)=0,"功能编号无效",IF(H81="不适用",IF(J81="已实测","适用性冲突",IF(I81="","待补不适用依据","不适用（非实测）")),IF(J81="阻塞",IF(I81="","待补阻塞原因","阻塞（非实测）"),IF(J81&lt;&gt;"已实测",IF(F81="","待展开路径","未实测"),IF(H81&lt;&gt;"适用","待确认适用性",IF(INDEX(Equipment[登记状态（自动）],MATCH(B81,Equipment[组合编号],0))&lt;&gt;"已登记","待补设备组合",IF(AND(F81&lt;&gt;"",G81&lt;&gt;"",K81&lt;&gt;"",L81&lt;&gt;"",M81&lt;&gt;"",N81&lt;&gt;"",ISNUMBER(O81),O81&gt;0,P81&lt;&gt;""),"记录齐全","待补实测记录")))))))))))</x:f>
        <x:v>待展开路径</x:v>
      </x:c>
    </x:row>
    <x:row r="82" ht="43.5" customHeight="1">
      <x:c r="A82" s="20" t="str">
        <x:v>REC-00073</x:v>
      </x:c>
      <x:c r="B82" s="20" t="str">
        <x:v>P1-B1-01</x:v>
      </x:c>
      <x:c r="C82" s="30" t="str">
        <x:f>IF(B82="","",IF(COUNTIFS(Equipment[组合编号],B82)&lt;&gt;1,"组合编号无效",INDEX(Equipment[PLC组],MATCH(B82,Equipment[组合编号],0))))</x:f>
        <x:v>汇川小型</x:v>
      </x:c>
      <x:c r="D82" s="30" t="str">
        <x:f>IF(B82="","",IF(COUNTIFS(Equipment[组合编号],B82)&lt;&gt;1,"组合编号无效",INDEX(Equipment[驱动品牌],MATCH(B82,Equipment[组合编号],0))))</x:f>
        <x:v>CDHD</x:v>
      </x:c>
      <x:c r="E82" s="20" t="str">
        <x:v>A03</x:v>
      </x:c>
      <x:c r="F82" s="20"/>
      <x:c r="G82" s="20"/>
      <x:c r="H82" s="20" t="str">
        <x:v>待判定</x:v>
      </x:c>
      <x:c r="I82" s="20"/>
      <x:c r="J82" s="20" t="str">
        <x:v>未测试</x:v>
      </x:c>
      <x:c r="K82" s="20"/>
      <x:c r="L82" s="20"/>
      <x:c r="M82" s="20"/>
      <x:c r="N82" s="20"/>
      <x:c r="O82" s="31"/>
      <x:c r="P82" s="20"/>
      <x:c r="Q82" s="20"/>
      <x:c r="R82" s="20" t="str">
        <x:v>待展开</x:v>
      </x:c>
      <x:c r="S82" s="20"/>
      <x:c r="T82" s="31"/>
      <x:c r="U82" s="30" t="str">
        <x:f>IF(A82="","缺记录编号",IF(COUNTIFS(PathRecords[记录编号],A82)&lt;&gt;1,"记录编号重复",IF(OR(B82="",E82=""),"缺组合/功能",IF(COUNTIFS(Equipment[组合编号],B82)&lt;&gt;1,"组合编号无效",IF(COUNTIFS(FunctionMatrix[编号],E82)=0,"功能编号无效",IF(H82="不适用",IF(J82="已实测","适用性冲突",IF(I82="","待补不适用依据","不适用（非实测）")),IF(J82="阻塞",IF(I82="","待补阻塞原因","阻塞（非实测）"),IF(J82&lt;&gt;"已实测",IF(F82="","待展开路径","未实测"),IF(H82&lt;&gt;"适用","待确认适用性",IF(INDEX(Equipment[登记状态（自动）],MATCH(B82,Equipment[组合编号],0))&lt;&gt;"已登记","待补设备组合",IF(AND(F82&lt;&gt;"",G82&lt;&gt;"",K82&lt;&gt;"",L82&lt;&gt;"",M82&lt;&gt;"",N82&lt;&gt;"",ISNUMBER(O82),O82&gt;0,P82&lt;&gt;""),"记录齐全","待补实测记录")))))))))))</x:f>
        <x:v>待展开路径</x:v>
      </x:c>
    </x:row>
    <x:row r="83" ht="43.5" customHeight="1">
      <x:c r="A83" s="20" t="str">
        <x:v>REC-00074</x:v>
      </x:c>
      <x:c r="B83" s="20" t="str">
        <x:v>P1-B1-01</x:v>
      </x:c>
      <x:c r="C83" s="30" t="str">
        <x:f>IF(B83="","",IF(COUNTIFS(Equipment[组合编号],B83)&lt;&gt;1,"组合编号无效",INDEX(Equipment[PLC组],MATCH(B83,Equipment[组合编号],0))))</x:f>
        <x:v>汇川小型</x:v>
      </x:c>
      <x:c r="D83" s="30" t="str">
        <x:f>IF(B83="","",IF(COUNTIFS(Equipment[组合编号],B83)&lt;&gt;1,"组合编号无效",INDEX(Equipment[驱动品牌],MATCH(B83,Equipment[组合编号],0))))</x:f>
        <x:v>CDHD</x:v>
      </x:c>
      <x:c r="E83" s="20" t="str">
        <x:v>A04</x:v>
      </x:c>
      <x:c r="F83" s="20"/>
      <x:c r="G83" s="20"/>
      <x:c r="H83" s="20" t="str">
        <x:v>待判定</x:v>
      </x:c>
      <x:c r="I83" s="20"/>
      <x:c r="J83" s="20" t="str">
        <x:v>未测试</x:v>
      </x:c>
      <x:c r="K83" s="20"/>
      <x:c r="L83" s="20"/>
      <x:c r="M83" s="20"/>
      <x:c r="N83" s="20"/>
      <x:c r="O83" s="31"/>
      <x:c r="P83" s="20"/>
      <x:c r="Q83" s="20"/>
      <x:c r="R83" s="20" t="str">
        <x:v>待展开</x:v>
      </x:c>
      <x:c r="S83" s="20"/>
      <x:c r="T83" s="31"/>
      <x:c r="U83" s="30" t="str">
        <x:f>IF(A83="","缺记录编号",IF(COUNTIFS(PathRecords[记录编号],A83)&lt;&gt;1,"记录编号重复",IF(OR(B83="",E83=""),"缺组合/功能",IF(COUNTIFS(Equipment[组合编号],B83)&lt;&gt;1,"组合编号无效",IF(COUNTIFS(FunctionMatrix[编号],E83)=0,"功能编号无效",IF(H83="不适用",IF(J83="已实测","适用性冲突",IF(I83="","待补不适用依据","不适用（非实测）")),IF(J83="阻塞",IF(I83="","待补阻塞原因","阻塞（非实测）"),IF(J83&lt;&gt;"已实测",IF(F83="","待展开路径","未实测"),IF(H83&lt;&gt;"适用","待确认适用性",IF(INDEX(Equipment[登记状态（自动）],MATCH(B83,Equipment[组合编号],0))&lt;&gt;"已登记","待补设备组合",IF(AND(F83&lt;&gt;"",G83&lt;&gt;"",K83&lt;&gt;"",L83&lt;&gt;"",M83&lt;&gt;"",N83&lt;&gt;"",ISNUMBER(O83),O83&gt;0,P83&lt;&gt;""),"记录齐全","待补实测记录")))))))))))</x:f>
        <x:v>待展开路径</x:v>
      </x:c>
    </x:row>
    <x:row r="84" ht="43.5" customHeight="1">
      <x:c r="A84" s="20" t="str">
        <x:v>REC-00075</x:v>
      </x:c>
      <x:c r="B84" s="20" t="str">
        <x:v>P1-B1-01</x:v>
      </x:c>
      <x:c r="C84" s="30" t="str">
        <x:f>IF(B84="","",IF(COUNTIFS(Equipment[组合编号],B84)&lt;&gt;1,"组合编号无效",INDEX(Equipment[PLC组],MATCH(B84,Equipment[组合编号],0))))</x:f>
        <x:v>汇川小型</x:v>
      </x:c>
      <x:c r="D84" s="30" t="str">
        <x:f>IF(B84="","",IF(COUNTIFS(Equipment[组合编号],B84)&lt;&gt;1,"组合编号无效",INDEX(Equipment[驱动品牌],MATCH(B84,Equipment[组合编号],0))))</x:f>
        <x:v>CDHD</x:v>
      </x:c>
      <x:c r="E84" s="20" t="str">
        <x:v>A05</x:v>
      </x:c>
      <x:c r="F84" s="20"/>
      <x:c r="G84" s="20"/>
      <x:c r="H84" s="20" t="str">
        <x:v>待判定</x:v>
      </x:c>
      <x:c r="I84" s="20"/>
      <x:c r="J84" s="20" t="str">
        <x:v>未测试</x:v>
      </x:c>
      <x:c r="K84" s="20"/>
      <x:c r="L84" s="20"/>
      <x:c r="M84" s="20"/>
      <x:c r="N84" s="20"/>
      <x:c r="O84" s="31"/>
      <x:c r="P84" s="20"/>
      <x:c r="Q84" s="20"/>
      <x:c r="R84" s="20" t="str">
        <x:v>待展开</x:v>
      </x:c>
      <x:c r="S84" s="20"/>
      <x:c r="T84" s="31"/>
      <x:c r="U84" s="30" t="str">
        <x:f>IF(A84="","缺记录编号",IF(COUNTIFS(PathRecords[记录编号],A84)&lt;&gt;1,"记录编号重复",IF(OR(B84="",E84=""),"缺组合/功能",IF(COUNTIFS(Equipment[组合编号],B84)&lt;&gt;1,"组合编号无效",IF(COUNTIFS(FunctionMatrix[编号],E84)=0,"功能编号无效",IF(H84="不适用",IF(J84="已实测","适用性冲突",IF(I84="","待补不适用依据","不适用（非实测）")),IF(J84="阻塞",IF(I84="","待补阻塞原因","阻塞（非实测）"),IF(J84&lt;&gt;"已实测",IF(F84="","待展开路径","未实测"),IF(H84&lt;&gt;"适用","待确认适用性",IF(INDEX(Equipment[登记状态（自动）],MATCH(B84,Equipment[组合编号],0))&lt;&gt;"已登记","待补设备组合",IF(AND(F84&lt;&gt;"",G84&lt;&gt;"",K84&lt;&gt;"",L84&lt;&gt;"",M84&lt;&gt;"",N84&lt;&gt;"",ISNUMBER(O84),O84&gt;0,P84&lt;&gt;""),"记录齐全","待补实测记录")))))))))))</x:f>
        <x:v>待展开路径</x:v>
      </x:c>
    </x:row>
    <x:row r="85" ht="43.5" customHeight="1">
      <x:c r="A85" s="20" t="str">
        <x:v>REC-00076</x:v>
      </x:c>
      <x:c r="B85" s="20" t="str">
        <x:v>P1-B1-01</x:v>
      </x:c>
      <x:c r="C85" s="30" t="str">
        <x:f>IF(B85="","",IF(COUNTIFS(Equipment[组合编号],B85)&lt;&gt;1,"组合编号无效",INDEX(Equipment[PLC组],MATCH(B85,Equipment[组合编号],0))))</x:f>
        <x:v>汇川小型</x:v>
      </x:c>
      <x:c r="D85" s="30" t="str">
        <x:f>IF(B85="","",IF(COUNTIFS(Equipment[组合编号],B85)&lt;&gt;1,"组合编号无效",INDEX(Equipment[驱动品牌],MATCH(B85,Equipment[组合编号],0))))</x:f>
        <x:v>CDHD</x:v>
      </x:c>
      <x:c r="E85" s="20" t="str">
        <x:v>A06</x:v>
      </x:c>
      <x:c r="F85" s="20"/>
      <x:c r="G85" s="20"/>
      <x:c r="H85" s="20" t="str">
        <x:v>待判定</x:v>
      </x:c>
      <x:c r="I85" s="20"/>
      <x:c r="J85" s="20" t="str">
        <x:v>未测试</x:v>
      </x:c>
      <x:c r="K85" s="20"/>
      <x:c r="L85" s="20"/>
      <x:c r="M85" s="20"/>
      <x:c r="N85" s="20"/>
      <x:c r="O85" s="31"/>
      <x:c r="P85" s="20"/>
      <x:c r="Q85" s="20"/>
      <x:c r="R85" s="20" t="str">
        <x:v>待展开</x:v>
      </x:c>
      <x:c r="S85" s="20"/>
      <x:c r="T85" s="31"/>
      <x:c r="U85" s="30" t="str">
        <x:f>IF(A85="","缺记录编号",IF(COUNTIFS(PathRecords[记录编号],A85)&lt;&gt;1,"记录编号重复",IF(OR(B85="",E85=""),"缺组合/功能",IF(COUNTIFS(Equipment[组合编号],B85)&lt;&gt;1,"组合编号无效",IF(COUNTIFS(FunctionMatrix[编号],E85)=0,"功能编号无效",IF(H85="不适用",IF(J85="已实测","适用性冲突",IF(I85="","待补不适用依据","不适用（非实测）")),IF(J85="阻塞",IF(I85="","待补阻塞原因","阻塞（非实测）"),IF(J85&lt;&gt;"已实测",IF(F85="","待展开路径","未实测"),IF(H85&lt;&gt;"适用","待确认适用性",IF(INDEX(Equipment[登记状态（自动）],MATCH(B85,Equipment[组合编号],0))&lt;&gt;"已登记","待补设备组合",IF(AND(F85&lt;&gt;"",G85&lt;&gt;"",K85&lt;&gt;"",L85&lt;&gt;"",M85&lt;&gt;"",N85&lt;&gt;"",ISNUMBER(O85),O85&gt;0,P85&lt;&gt;""),"记录齐全","待补实测记录")))))))))))</x:f>
        <x:v>待展开路径</x:v>
      </x:c>
    </x:row>
    <x:row r="86" ht="43.5" customHeight="1">
      <x:c r="A86" s="20" t="str">
        <x:v>REC-00077</x:v>
      </x:c>
      <x:c r="B86" s="20" t="str">
        <x:v>P1-B1-01</x:v>
      </x:c>
      <x:c r="C86" s="30" t="str">
        <x:f>IF(B86="","",IF(COUNTIFS(Equipment[组合编号],B86)&lt;&gt;1,"组合编号无效",INDEX(Equipment[PLC组],MATCH(B86,Equipment[组合编号],0))))</x:f>
        <x:v>汇川小型</x:v>
      </x:c>
      <x:c r="D86" s="30" t="str">
        <x:f>IF(B86="","",IF(COUNTIFS(Equipment[组合编号],B86)&lt;&gt;1,"组合编号无效",INDEX(Equipment[驱动品牌],MATCH(B86,Equipment[组合编号],0))))</x:f>
        <x:v>CDHD</x:v>
      </x:c>
      <x:c r="E86" s="20" t="str">
        <x:v>A07</x:v>
      </x:c>
      <x:c r="F86" s="20"/>
      <x:c r="G86" s="20"/>
      <x:c r="H86" s="20" t="str">
        <x:v>待判定</x:v>
      </x:c>
      <x:c r="I86" s="20"/>
      <x:c r="J86" s="20" t="str">
        <x:v>未测试</x:v>
      </x:c>
      <x:c r="K86" s="20"/>
      <x:c r="L86" s="20"/>
      <x:c r="M86" s="20"/>
      <x:c r="N86" s="20"/>
      <x:c r="O86" s="31"/>
      <x:c r="P86" s="20"/>
      <x:c r="Q86" s="20"/>
      <x:c r="R86" s="20" t="str">
        <x:v>待展开</x:v>
      </x:c>
      <x:c r="S86" s="20"/>
      <x:c r="T86" s="31"/>
      <x:c r="U86" s="30" t="str">
        <x:f>IF(A86="","缺记录编号",IF(COUNTIFS(PathRecords[记录编号],A86)&lt;&gt;1,"记录编号重复",IF(OR(B86="",E86=""),"缺组合/功能",IF(COUNTIFS(Equipment[组合编号],B86)&lt;&gt;1,"组合编号无效",IF(COUNTIFS(FunctionMatrix[编号],E86)=0,"功能编号无效",IF(H86="不适用",IF(J86="已实测","适用性冲突",IF(I86="","待补不适用依据","不适用（非实测）")),IF(J86="阻塞",IF(I86="","待补阻塞原因","阻塞（非实测）"),IF(J86&lt;&gt;"已实测",IF(F86="","待展开路径","未实测"),IF(H86&lt;&gt;"适用","待确认适用性",IF(INDEX(Equipment[登记状态（自动）],MATCH(B86,Equipment[组合编号],0))&lt;&gt;"已登记","待补设备组合",IF(AND(F86&lt;&gt;"",G86&lt;&gt;"",K86&lt;&gt;"",L86&lt;&gt;"",M86&lt;&gt;"",N86&lt;&gt;"",ISNUMBER(O86),O86&gt;0,P86&lt;&gt;""),"记录齐全","待补实测记录")))))))))))</x:f>
        <x:v>待展开路径</x:v>
      </x:c>
    </x:row>
    <x:row r="87" ht="43.5" customHeight="1">
      <x:c r="A87" s="20" t="str">
        <x:v>REC-00078</x:v>
      </x:c>
      <x:c r="B87" s="20" t="str">
        <x:v>P1-B1-01</x:v>
      </x:c>
      <x:c r="C87" s="30" t="str">
        <x:f>IF(B87="","",IF(COUNTIFS(Equipment[组合编号],B87)&lt;&gt;1,"组合编号无效",INDEX(Equipment[PLC组],MATCH(B87,Equipment[组合编号],0))))</x:f>
        <x:v>汇川小型</x:v>
      </x:c>
      <x:c r="D87" s="30" t="str">
        <x:f>IF(B87="","",IF(COUNTIFS(Equipment[组合编号],B87)&lt;&gt;1,"组合编号无效",INDEX(Equipment[驱动品牌],MATCH(B87,Equipment[组合编号],0))))</x:f>
        <x:v>CDHD</x:v>
      </x:c>
      <x:c r="E87" s="20" t="str">
        <x:v>A08</x:v>
      </x:c>
      <x:c r="F87" s="20"/>
      <x:c r="G87" s="20"/>
      <x:c r="H87" s="20" t="str">
        <x:v>待判定</x:v>
      </x:c>
      <x:c r="I87" s="20"/>
      <x:c r="J87" s="20" t="str">
        <x:v>未测试</x:v>
      </x:c>
      <x:c r="K87" s="20"/>
      <x:c r="L87" s="20"/>
      <x:c r="M87" s="20"/>
      <x:c r="N87" s="20"/>
      <x:c r="O87" s="31"/>
      <x:c r="P87" s="20"/>
      <x:c r="Q87" s="20"/>
      <x:c r="R87" s="20" t="str">
        <x:v>待展开</x:v>
      </x:c>
      <x:c r="S87" s="20"/>
      <x:c r="T87" s="31"/>
      <x:c r="U87" s="30" t="str">
        <x:f>IF(A87="","缺记录编号",IF(COUNTIFS(PathRecords[记录编号],A87)&lt;&gt;1,"记录编号重复",IF(OR(B87="",E87=""),"缺组合/功能",IF(COUNTIFS(Equipment[组合编号],B87)&lt;&gt;1,"组合编号无效",IF(COUNTIFS(FunctionMatrix[编号],E87)=0,"功能编号无效",IF(H87="不适用",IF(J87="已实测","适用性冲突",IF(I87="","待补不适用依据","不适用（非实测）")),IF(J87="阻塞",IF(I87="","待补阻塞原因","阻塞（非实测）"),IF(J87&lt;&gt;"已实测",IF(F87="","待展开路径","未实测"),IF(H87&lt;&gt;"适用","待确认适用性",IF(INDEX(Equipment[登记状态（自动）],MATCH(B87,Equipment[组合编号],0))&lt;&gt;"已登记","待补设备组合",IF(AND(F87&lt;&gt;"",G87&lt;&gt;"",K87&lt;&gt;"",L87&lt;&gt;"",M87&lt;&gt;"",N87&lt;&gt;"",ISNUMBER(O87),O87&gt;0,P87&lt;&gt;""),"记录齐全","待补实测记录")))))))))))</x:f>
        <x:v>待展开路径</x:v>
      </x:c>
    </x:row>
    <x:row r="88" ht="43.5" customHeight="1">
      <x:c r="A88" s="20" t="str">
        <x:v>REC-00079</x:v>
      </x:c>
      <x:c r="B88" s="20" t="str">
        <x:v>P1-B1-01</x:v>
      </x:c>
      <x:c r="C88" s="30" t="str">
        <x:f>IF(B88="","",IF(COUNTIFS(Equipment[组合编号],B88)&lt;&gt;1,"组合编号无效",INDEX(Equipment[PLC组],MATCH(B88,Equipment[组合编号],0))))</x:f>
        <x:v>汇川小型</x:v>
      </x:c>
      <x:c r="D88" s="30" t="str">
        <x:f>IF(B88="","",IF(COUNTIFS(Equipment[组合编号],B88)&lt;&gt;1,"组合编号无效",INDEX(Equipment[驱动品牌],MATCH(B88,Equipment[组合编号],0))))</x:f>
        <x:v>CDHD</x:v>
      </x:c>
      <x:c r="E88" s="20" t="str">
        <x:v>A09</x:v>
      </x:c>
      <x:c r="F88" s="20"/>
      <x:c r="G88" s="20"/>
      <x:c r="H88" s="20" t="str">
        <x:v>待判定</x:v>
      </x:c>
      <x:c r="I88" s="20"/>
      <x:c r="J88" s="20" t="str">
        <x:v>未测试</x:v>
      </x:c>
      <x:c r="K88" s="20"/>
      <x:c r="L88" s="20"/>
      <x:c r="M88" s="20"/>
      <x:c r="N88" s="20"/>
      <x:c r="O88" s="31"/>
      <x:c r="P88" s="20"/>
      <x:c r="Q88" s="20"/>
      <x:c r="R88" s="20" t="str">
        <x:v>待展开</x:v>
      </x:c>
      <x:c r="S88" s="20"/>
      <x:c r="T88" s="31"/>
      <x:c r="U88" s="30" t="str">
        <x:f>IF(A88="","缺记录编号",IF(COUNTIFS(PathRecords[记录编号],A88)&lt;&gt;1,"记录编号重复",IF(OR(B88="",E88=""),"缺组合/功能",IF(COUNTIFS(Equipment[组合编号],B88)&lt;&gt;1,"组合编号无效",IF(COUNTIFS(FunctionMatrix[编号],E88)=0,"功能编号无效",IF(H88="不适用",IF(J88="已实测","适用性冲突",IF(I88="","待补不适用依据","不适用（非实测）")),IF(J88="阻塞",IF(I88="","待补阻塞原因","阻塞（非实测）"),IF(J88&lt;&gt;"已实测",IF(F88="","待展开路径","未实测"),IF(H88&lt;&gt;"适用","待确认适用性",IF(INDEX(Equipment[登记状态（自动）],MATCH(B88,Equipment[组合编号],0))&lt;&gt;"已登记","待补设备组合",IF(AND(F88&lt;&gt;"",G88&lt;&gt;"",K88&lt;&gt;"",L88&lt;&gt;"",M88&lt;&gt;"",N88&lt;&gt;"",ISNUMBER(O88),O88&gt;0,P88&lt;&gt;""),"记录齐全","待补实测记录")))))))))))</x:f>
        <x:v>待展开路径</x:v>
      </x:c>
    </x:row>
    <x:row r="89" ht="43.5" customHeight="1">
      <x:c r="A89" s="20" t="str">
        <x:v>REC-00080</x:v>
      </x:c>
      <x:c r="B89" s="20" t="str">
        <x:v>P1-B1-01</x:v>
      </x:c>
      <x:c r="C89" s="30" t="str">
        <x:f>IF(B89="","",IF(COUNTIFS(Equipment[组合编号],B89)&lt;&gt;1,"组合编号无效",INDEX(Equipment[PLC组],MATCH(B89,Equipment[组合编号],0))))</x:f>
        <x:v>汇川小型</x:v>
      </x:c>
      <x:c r="D89" s="30" t="str">
        <x:f>IF(B89="","",IF(COUNTIFS(Equipment[组合编号],B89)&lt;&gt;1,"组合编号无效",INDEX(Equipment[驱动品牌],MATCH(B89,Equipment[组合编号],0))))</x:f>
        <x:v>CDHD</x:v>
      </x:c>
      <x:c r="E89" s="20" t="str">
        <x:v>C01</x:v>
      </x:c>
      <x:c r="F89" s="20"/>
      <x:c r="G89" s="20"/>
      <x:c r="H89" s="20" t="str">
        <x:v>待判定</x:v>
      </x:c>
      <x:c r="I89" s="20"/>
      <x:c r="J89" s="20" t="str">
        <x:v>未测试</x:v>
      </x:c>
      <x:c r="K89" s="20"/>
      <x:c r="L89" s="20"/>
      <x:c r="M89" s="20"/>
      <x:c r="N89" s="20"/>
      <x:c r="O89" s="31"/>
      <x:c r="P89" s="20"/>
      <x:c r="Q89" s="20"/>
      <x:c r="R89" s="20" t="str">
        <x:v>待展开</x:v>
      </x:c>
      <x:c r="S89" s="20"/>
      <x:c r="T89" s="31"/>
      <x:c r="U89" s="30" t="str">
        <x:f>IF(A89="","缺记录编号",IF(COUNTIFS(PathRecords[记录编号],A89)&lt;&gt;1,"记录编号重复",IF(OR(B89="",E89=""),"缺组合/功能",IF(COUNTIFS(Equipment[组合编号],B89)&lt;&gt;1,"组合编号无效",IF(COUNTIFS(FunctionMatrix[编号],E89)=0,"功能编号无效",IF(H89="不适用",IF(J89="已实测","适用性冲突",IF(I89="","待补不适用依据","不适用（非实测）")),IF(J89="阻塞",IF(I89="","待补阻塞原因","阻塞（非实测）"),IF(J89&lt;&gt;"已实测",IF(F89="","待展开路径","未实测"),IF(H89&lt;&gt;"适用","待确认适用性",IF(INDEX(Equipment[登记状态（自动）],MATCH(B89,Equipment[组合编号],0))&lt;&gt;"已登记","待补设备组合",IF(AND(F89&lt;&gt;"",G89&lt;&gt;"",K89&lt;&gt;"",L89&lt;&gt;"",M89&lt;&gt;"",N89&lt;&gt;"",ISNUMBER(O89),O89&gt;0,P89&lt;&gt;""),"记录齐全","待补实测记录")))))))))))</x:f>
        <x:v>待展开路径</x:v>
      </x:c>
    </x:row>
    <x:row r="90" ht="43.5" customHeight="1">
      <x:c r="A90" s="20" t="str">
        <x:v>REC-00081</x:v>
      </x:c>
      <x:c r="B90" s="20" t="str">
        <x:v>P1-B1-01</x:v>
      </x:c>
      <x:c r="C90" s="30" t="str">
        <x:f>IF(B90="","",IF(COUNTIFS(Equipment[组合编号],B90)&lt;&gt;1,"组合编号无效",INDEX(Equipment[PLC组],MATCH(B90,Equipment[组合编号],0))))</x:f>
        <x:v>汇川小型</x:v>
      </x:c>
      <x:c r="D90" s="30" t="str">
        <x:f>IF(B90="","",IF(COUNTIFS(Equipment[组合编号],B90)&lt;&gt;1,"组合编号无效",INDEX(Equipment[驱动品牌],MATCH(B90,Equipment[组合编号],0))))</x:f>
        <x:v>CDHD</x:v>
      </x:c>
      <x:c r="E90" s="20" t="str">
        <x:v>C02</x:v>
      </x:c>
      <x:c r="F90" s="20"/>
      <x:c r="G90" s="20"/>
      <x:c r="H90" s="20" t="str">
        <x:v>待判定</x:v>
      </x:c>
      <x:c r="I90" s="20"/>
      <x:c r="J90" s="20" t="str">
        <x:v>未测试</x:v>
      </x:c>
      <x:c r="K90" s="20"/>
      <x:c r="L90" s="20"/>
      <x:c r="M90" s="20"/>
      <x:c r="N90" s="20"/>
      <x:c r="O90" s="31"/>
      <x:c r="P90" s="20"/>
      <x:c r="Q90" s="20"/>
      <x:c r="R90" s="20" t="str">
        <x:v>待展开</x:v>
      </x:c>
      <x:c r="S90" s="20"/>
      <x:c r="T90" s="31"/>
      <x:c r="U90" s="30" t="str">
        <x:f>IF(A90="","缺记录编号",IF(COUNTIFS(PathRecords[记录编号],A90)&lt;&gt;1,"记录编号重复",IF(OR(B90="",E90=""),"缺组合/功能",IF(COUNTIFS(Equipment[组合编号],B90)&lt;&gt;1,"组合编号无效",IF(COUNTIFS(FunctionMatrix[编号],E90)=0,"功能编号无效",IF(H90="不适用",IF(J90="已实测","适用性冲突",IF(I90="","待补不适用依据","不适用（非实测）")),IF(J90="阻塞",IF(I90="","待补阻塞原因","阻塞（非实测）"),IF(J90&lt;&gt;"已实测",IF(F90="","待展开路径","未实测"),IF(H90&lt;&gt;"适用","待确认适用性",IF(INDEX(Equipment[登记状态（自动）],MATCH(B90,Equipment[组合编号],0))&lt;&gt;"已登记","待补设备组合",IF(AND(F90&lt;&gt;"",G90&lt;&gt;"",K90&lt;&gt;"",L90&lt;&gt;"",M90&lt;&gt;"",N90&lt;&gt;"",ISNUMBER(O90),O90&gt;0,P90&lt;&gt;""),"记录齐全","待补实测记录")))))))))))</x:f>
        <x:v>待展开路径</x:v>
      </x:c>
    </x:row>
    <x:row r="91" ht="43.5" customHeight="1">
      <x:c r="A91" s="20" t="str">
        <x:v>REC-00082</x:v>
      </x:c>
      <x:c r="B91" s="20" t="str">
        <x:v>P1-B1-01</x:v>
      </x:c>
      <x:c r="C91" s="30" t="str">
        <x:f>IF(B91="","",IF(COUNTIFS(Equipment[组合编号],B91)&lt;&gt;1,"组合编号无效",INDEX(Equipment[PLC组],MATCH(B91,Equipment[组合编号],0))))</x:f>
        <x:v>汇川小型</x:v>
      </x:c>
      <x:c r="D91" s="30" t="str">
        <x:f>IF(B91="","",IF(COUNTIFS(Equipment[组合编号],B91)&lt;&gt;1,"组合编号无效",INDEX(Equipment[驱动品牌],MATCH(B91,Equipment[组合编号],0))))</x:f>
        <x:v>CDHD</x:v>
      </x:c>
      <x:c r="E91" s="20" t="str">
        <x:v>C03</x:v>
      </x:c>
      <x:c r="F91" s="20"/>
      <x:c r="G91" s="20"/>
      <x:c r="H91" s="20" t="str">
        <x:v>待判定</x:v>
      </x:c>
      <x:c r="I91" s="20"/>
      <x:c r="J91" s="20" t="str">
        <x:v>未测试</x:v>
      </x:c>
      <x:c r="K91" s="20"/>
      <x:c r="L91" s="20"/>
      <x:c r="M91" s="20"/>
      <x:c r="N91" s="20"/>
      <x:c r="O91" s="31"/>
      <x:c r="P91" s="20"/>
      <x:c r="Q91" s="20"/>
      <x:c r="R91" s="20" t="str">
        <x:v>待展开</x:v>
      </x:c>
      <x:c r="S91" s="20"/>
      <x:c r="T91" s="31"/>
      <x:c r="U91" s="30" t="str">
        <x:f>IF(A91="","缺记录编号",IF(COUNTIFS(PathRecords[记录编号],A91)&lt;&gt;1,"记录编号重复",IF(OR(B91="",E91=""),"缺组合/功能",IF(COUNTIFS(Equipment[组合编号],B91)&lt;&gt;1,"组合编号无效",IF(COUNTIFS(FunctionMatrix[编号],E91)=0,"功能编号无效",IF(H91="不适用",IF(J91="已实测","适用性冲突",IF(I91="","待补不适用依据","不适用（非实测）")),IF(J91="阻塞",IF(I91="","待补阻塞原因","阻塞（非实测）"),IF(J91&lt;&gt;"已实测",IF(F91="","待展开路径","未实测"),IF(H91&lt;&gt;"适用","待确认适用性",IF(INDEX(Equipment[登记状态（自动）],MATCH(B91,Equipment[组合编号],0))&lt;&gt;"已登记","待补设备组合",IF(AND(F91&lt;&gt;"",G91&lt;&gt;"",K91&lt;&gt;"",L91&lt;&gt;"",M91&lt;&gt;"",N91&lt;&gt;"",ISNUMBER(O91),O91&gt;0,P91&lt;&gt;""),"记录齐全","待补实测记录")))))))))))</x:f>
        <x:v>待展开路径</x:v>
      </x:c>
    </x:row>
    <x:row r="92" ht="43.5" customHeight="1">
      <x:c r="A92" s="20" t="str">
        <x:v>REC-00083</x:v>
      </x:c>
      <x:c r="B92" s="20" t="str">
        <x:v>P1-B1-01</x:v>
      </x:c>
      <x:c r="C92" s="30" t="str">
        <x:f>IF(B92="","",IF(COUNTIFS(Equipment[组合编号],B92)&lt;&gt;1,"组合编号无效",INDEX(Equipment[PLC组],MATCH(B92,Equipment[组合编号],0))))</x:f>
        <x:v>汇川小型</x:v>
      </x:c>
      <x:c r="D92" s="30" t="str">
        <x:f>IF(B92="","",IF(COUNTIFS(Equipment[组合编号],B92)&lt;&gt;1,"组合编号无效",INDEX(Equipment[驱动品牌],MATCH(B92,Equipment[组合编号],0))))</x:f>
        <x:v>CDHD</x:v>
      </x:c>
      <x:c r="E92" s="20" t="str">
        <x:v>C04</x:v>
      </x:c>
      <x:c r="F92" s="20"/>
      <x:c r="G92" s="20"/>
      <x:c r="H92" s="20" t="str">
        <x:v>待判定</x:v>
      </x:c>
      <x:c r="I92" s="20"/>
      <x:c r="J92" s="20" t="str">
        <x:v>未测试</x:v>
      </x:c>
      <x:c r="K92" s="20"/>
      <x:c r="L92" s="20"/>
      <x:c r="M92" s="20"/>
      <x:c r="N92" s="20"/>
      <x:c r="O92" s="31"/>
      <x:c r="P92" s="20"/>
      <x:c r="Q92" s="20"/>
      <x:c r="R92" s="20" t="str">
        <x:v>待展开</x:v>
      </x:c>
      <x:c r="S92" s="20"/>
      <x:c r="T92" s="31"/>
      <x:c r="U92" s="30" t="str">
        <x:f>IF(A92="","缺记录编号",IF(COUNTIFS(PathRecords[记录编号],A92)&lt;&gt;1,"记录编号重复",IF(OR(B92="",E92=""),"缺组合/功能",IF(COUNTIFS(Equipment[组合编号],B92)&lt;&gt;1,"组合编号无效",IF(COUNTIFS(FunctionMatrix[编号],E92)=0,"功能编号无效",IF(H92="不适用",IF(J92="已实测","适用性冲突",IF(I92="","待补不适用依据","不适用（非实测）")),IF(J92="阻塞",IF(I92="","待补阻塞原因","阻塞（非实测）"),IF(J92&lt;&gt;"已实测",IF(F92="","待展开路径","未实测"),IF(H92&lt;&gt;"适用","待确认适用性",IF(INDEX(Equipment[登记状态（自动）],MATCH(B92,Equipment[组合编号],0))&lt;&gt;"已登记","待补设备组合",IF(AND(F92&lt;&gt;"",G92&lt;&gt;"",K92&lt;&gt;"",L92&lt;&gt;"",M92&lt;&gt;"",N92&lt;&gt;"",ISNUMBER(O92),O92&gt;0,P92&lt;&gt;""),"记录齐全","待补实测记录")))))))))))</x:f>
        <x:v>待展开路径</x:v>
      </x:c>
    </x:row>
    <x:row r="93" ht="43.5" customHeight="1">
      <x:c r="A93" s="20" t="str">
        <x:v>REC-00084</x:v>
      </x:c>
      <x:c r="B93" s="20" t="str">
        <x:v>P1-B1-01</x:v>
      </x:c>
      <x:c r="C93" s="30" t="str">
        <x:f>IF(B93="","",IF(COUNTIFS(Equipment[组合编号],B93)&lt;&gt;1,"组合编号无效",INDEX(Equipment[PLC组],MATCH(B93,Equipment[组合编号],0))))</x:f>
        <x:v>汇川小型</x:v>
      </x:c>
      <x:c r="D93" s="30" t="str">
        <x:f>IF(B93="","",IF(COUNTIFS(Equipment[组合编号],B93)&lt;&gt;1,"组合编号无效",INDEX(Equipment[驱动品牌],MATCH(B93,Equipment[组合编号],0))))</x:f>
        <x:v>CDHD</x:v>
      </x:c>
      <x:c r="E93" s="20" t="str">
        <x:v>C05</x:v>
      </x:c>
      <x:c r="F93" s="20"/>
      <x:c r="G93" s="20"/>
      <x:c r="H93" s="20" t="str">
        <x:v>待判定</x:v>
      </x:c>
      <x:c r="I93" s="20"/>
      <x:c r="J93" s="20" t="str">
        <x:v>未测试</x:v>
      </x:c>
      <x:c r="K93" s="20"/>
      <x:c r="L93" s="20"/>
      <x:c r="M93" s="20"/>
      <x:c r="N93" s="20"/>
      <x:c r="O93" s="31"/>
      <x:c r="P93" s="20"/>
      <x:c r="Q93" s="20"/>
      <x:c r="R93" s="20" t="str">
        <x:v>待展开</x:v>
      </x:c>
      <x:c r="S93" s="20"/>
      <x:c r="T93" s="31"/>
      <x:c r="U93" s="30" t="str">
        <x:f>IF(A93="","缺记录编号",IF(COUNTIFS(PathRecords[记录编号],A93)&lt;&gt;1,"记录编号重复",IF(OR(B93="",E93=""),"缺组合/功能",IF(COUNTIFS(Equipment[组合编号],B93)&lt;&gt;1,"组合编号无效",IF(COUNTIFS(FunctionMatrix[编号],E93)=0,"功能编号无效",IF(H93="不适用",IF(J93="已实测","适用性冲突",IF(I93="","待补不适用依据","不适用（非实测）")),IF(J93="阻塞",IF(I93="","待补阻塞原因","阻塞（非实测）"),IF(J93&lt;&gt;"已实测",IF(F93="","待展开路径","未实测"),IF(H93&lt;&gt;"适用","待确认适用性",IF(INDEX(Equipment[登记状态（自动）],MATCH(B93,Equipment[组合编号],0))&lt;&gt;"已登记","待补设备组合",IF(AND(F93&lt;&gt;"",G93&lt;&gt;"",K93&lt;&gt;"",L93&lt;&gt;"",M93&lt;&gt;"",N93&lt;&gt;"",ISNUMBER(O93),O93&gt;0,P93&lt;&gt;""),"记录齐全","待补实测记录")))))))))))</x:f>
        <x:v>待展开路径</x:v>
      </x:c>
    </x:row>
    <x:row r="94" ht="43.5" customHeight="1">
      <x:c r="A94" s="20" t="str">
        <x:v>REC-00085</x:v>
      </x:c>
      <x:c r="B94" s="20" t="str">
        <x:v>P1-B1-01</x:v>
      </x:c>
      <x:c r="C94" s="30" t="str">
        <x:f>IF(B94="","",IF(COUNTIFS(Equipment[组合编号],B94)&lt;&gt;1,"组合编号无效",INDEX(Equipment[PLC组],MATCH(B94,Equipment[组合编号],0))))</x:f>
        <x:v>汇川小型</x:v>
      </x:c>
      <x:c r="D94" s="30" t="str">
        <x:f>IF(B94="","",IF(COUNTIFS(Equipment[组合编号],B94)&lt;&gt;1,"组合编号无效",INDEX(Equipment[驱动品牌],MATCH(B94,Equipment[组合编号],0))))</x:f>
        <x:v>CDHD</x:v>
      </x:c>
      <x:c r="E94" s="20" t="str">
        <x:v>C06</x:v>
      </x:c>
      <x:c r="F94" s="20"/>
      <x:c r="G94" s="20"/>
      <x:c r="H94" s="20" t="str">
        <x:v>待判定</x:v>
      </x:c>
      <x:c r="I94" s="20"/>
      <x:c r="J94" s="20" t="str">
        <x:v>未测试</x:v>
      </x:c>
      <x:c r="K94" s="20"/>
      <x:c r="L94" s="20"/>
      <x:c r="M94" s="20"/>
      <x:c r="N94" s="20"/>
      <x:c r="O94" s="31"/>
      <x:c r="P94" s="20"/>
      <x:c r="Q94" s="20"/>
      <x:c r="R94" s="20" t="str">
        <x:v>待展开</x:v>
      </x:c>
      <x:c r="S94" s="20"/>
      <x:c r="T94" s="31"/>
      <x:c r="U94" s="30" t="str">
        <x:f>IF(A94="","缺记录编号",IF(COUNTIFS(PathRecords[记录编号],A94)&lt;&gt;1,"记录编号重复",IF(OR(B94="",E94=""),"缺组合/功能",IF(COUNTIFS(Equipment[组合编号],B94)&lt;&gt;1,"组合编号无效",IF(COUNTIFS(FunctionMatrix[编号],E94)=0,"功能编号无效",IF(H94="不适用",IF(J94="已实测","适用性冲突",IF(I94="","待补不适用依据","不适用（非实测）")),IF(J94="阻塞",IF(I94="","待补阻塞原因","阻塞（非实测）"),IF(J94&lt;&gt;"已实测",IF(F94="","待展开路径","未实测"),IF(H94&lt;&gt;"适用","待确认适用性",IF(INDEX(Equipment[登记状态（自动）],MATCH(B94,Equipment[组合编号],0))&lt;&gt;"已登记","待补设备组合",IF(AND(F94&lt;&gt;"",G94&lt;&gt;"",K94&lt;&gt;"",L94&lt;&gt;"",M94&lt;&gt;"",N94&lt;&gt;"",ISNUMBER(O94),O94&gt;0,P94&lt;&gt;""),"记录齐全","待补实测记录")))))))))))</x:f>
        <x:v>待展开路径</x:v>
      </x:c>
    </x:row>
    <x:row r="95" ht="43.5" customHeight="1">
      <x:c r="A95" s="20" t="str">
        <x:v>REC-00086</x:v>
      </x:c>
      <x:c r="B95" s="20" t="str">
        <x:v>P1-B1-01</x:v>
      </x:c>
      <x:c r="C95" s="30" t="str">
        <x:f>IF(B95="","",IF(COUNTIFS(Equipment[组合编号],B95)&lt;&gt;1,"组合编号无效",INDEX(Equipment[PLC组],MATCH(B95,Equipment[组合编号],0))))</x:f>
        <x:v>汇川小型</x:v>
      </x:c>
      <x:c r="D95" s="30" t="str">
        <x:f>IF(B95="","",IF(COUNTIFS(Equipment[组合编号],B95)&lt;&gt;1,"组合编号无效",INDEX(Equipment[驱动品牌],MATCH(B95,Equipment[组合编号],0))))</x:f>
        <x:v>CDHD</x:v>
      </x:c>
      <x:c r="E95" s="20" t="str">
        <x:v>C07</x:v>
      </x:c>
      <x:c r="F95" s="20"/>
      <x:c r="G95" s="20"/>
      <x:c r="H95" s="20" t="str">
        <x:v>待判定</x:v>
      </x:c>
      <x:c r="I95" s="20"/>
      <x:c r="J95" s="20" t="str">
        <x:v>未测试</x:v>
      </x:c>
      <x:c r="K95" s="20"/>
      <x:c r="L95" s="20"/>
      <x:c r="M95" s="20"/>
      <x:c r="N95" s="20"/>
      <x:c r="O95" s="31"/>
      <x:c r="P95" s="20"/>
      <x:c r="Q95" s="20"/>
      <x:c r="R95" s="20" t="str">
        <x:v>待展开</x:v>
      </x:c>
      <x:c r="S95" s="20"/>
      <x:c r="T95" s="31"/>
      <x:c r="U95" s="30" t="str">
        <x:f>IF(A95="","缺记录编号",IF(COUNTIFS(PathRecords[记录编号],A95)&lt;&gt;1,"记录编号重复",IF(OR(B95="",E95=""),"缺组合/功能",IF(COUNTIFS(Equipment[组合编号],B95)&lt;&gt;1,"组合编号无效",IF(COUNTIFS(FunctionMatrix[编号],E95)=0,"功能编号无效",IF(H95="不适用",IF(J95="已实测","适用性冲突",IF(I95="","待补不适用依据","不适用（非实测）")),IF(J95="阻塞",IF(I95="","待补阻塞原因","阻塞（非实测）"),IF(J95&lt;&gt;"已实测",IF(F95="","待展开路径","未实测"),IF(H95&lt;&gt;"适用","待确认适用性",IF(INDEX(Equipment[登记状态（自动）],MATCH(B95,Equipment[组合编号],0))&lt;&gt;"已登记","待补设备组合",IF(AND(F95&lt;&gt;"",G95&lt;&gt;"",K95&lt;&gt;"",L95&lt;&gt;"",M95&lt;&gt;"",N95&lt;&gt;"",ISNUMBER(O95),O95&gt;0,P95&lt;&gt;""),"记录齐全","待补实测记录")))))))))))</x:f>
        <x:v>待展开路径</x:v>
      </x:c>
    </x:row>
    <x:row r="96" ht="43.5" customHeight="1">
      <x:c r="A96" s="20" t="str">
        <x:v>REC-00087</x:v>
      </x:c>
      <x:c r="B96" s="20" t="str">
        <x:v>P1-B1-01</x:v>
      </x:c>
      <x:c r="C96" s="30" t="str">
        <x:f>IF(B96="","",IF(COUNTIFS(Equipment[组合编号],B96)&lt;&gt;1,"组合编号无效",INDEX(Equipment[PLC组],MATCH(B96,Equipment[组合编号],0))))</x:f>
        <x:v>汇川小型</x:v>
      </x:c>
      <x:c r="D96" s="30" t="str">
        <x:f>IF(B96="","",IF(COUNTIFS(Equipment[组合编号],B96)&lt;&gt;1,"组合编号无效",INDEX(Equipment[驱动品牌],MATCH(B96,Equipment[组合编号],0))))</x:f>
        <x:v>CDHD</x:v>
      </x:c>
      <x:c r="E96" s="20" t="str">
        <x:v>C08</x:v>
      </x:c>
      <x:c r="F96" s="20"/>
      <x:c r="G96" s="20"/>
      <x:c r="H96" s="20" t="str">
        <x:v>待判定</x:v>
      </x:c>
      <x:c r="I96" s="20"/>
      <x:c r="J96" s="20" t="str">
        <x:v>未测试</x:v>
      </x:c>
      <x:c r="K96" s="20"/>
      <x:c r="L96" s="20"/>
      <x:c r="M96" s="20"/>
      <x:c r="N96" s="20"/>
      <x:c r="O96" s="31"/>
      <x:c r="P96" s="20"/>
      <x:c r="Q96" s="20"/>
      <x:c r="R96" s="20" t="str">
        <x:v>待展开</x:v>
      </x:c>
      <x:c r="S96" s="20"/>
      <x:c r="T96" s="31"/>
      <x:c r="U96" s="30" t="str">
        <x:f>IF(A96="","缺记录编号",IF(COUNTIFS(PathRecords[记录编号],A96)&lt;&gt;1,"记录编号重复",IF(OR(B96="",E96=""),"缺组合/功能",IF(COUNTIFS(Equipment[组合编号],B96)&lt;&gt;1,"组合编号无效",IF(COUNTIFS(FunctionMatrix[编号],E96)=0,"功能编号无效",IF(H96="不适用",IF(J96="已实测","适用性冲突",IF(I96="","待补不适用依据","不适用（非实测）")),IF(J96="阻塞",IF(I96="","待补阻塞原因","阻塞（非实测）"),IF(J96&lt;&gt;"已实测",IF(F96="","待展开路径","未实测"),IF(H96&lt;&gt;"适用","待确认适用性",IF(INDEX(Equipment[登记状态（自动）],MATCH(B96,Equipment[组合编号],0))&lt;&gt;"已登记","待补设备组合",IF(AND(F96&lt;&gt;"",G96&lt;&gt;"",K96&lt;&gt;"",L96&lt;&gt;"",M96&lt;&gt;"",N96&lt;&gt;"",ISNUMBER(O96),O96&gt;0,P96&lt;&gt;""),"记录齐全","待补实测记录")))))))))))</x:f>
        <x:v>待展开路径</x:v>
      </x:c>
    </x:row>
    <x:row r="97" ht="43.5" customHeight="1">
      <x:c r="A97" s="20" t="str">
        <x:v>REC-00088</x:v>
      </x:c>
      <x:c r="B97" s="20" t="str">
        <x:v>P1-B1-01</x:v>
      </x:c>
      <x:c r="C97" s="30" t="str">
        <x:f>IF(B97="","",IF(COUNTIFS(Equipment[组合编号],B97)&lt;&gt;1,"组合编号无效",INDEX(Equipment[PLC组],MATCH(B97,Equipment[组合编号],0))))</x:f>
        <x:v>汇川小型</x:v>
      </x:c>
      <x:c r="D97" s="30" t="str">
        <x:f>IF(B97="","",IF(COUNTIFS(Equipment[组合编号],B97)&lt;&gt;1,"组合编号无效",INDEX(Equipment[驱动品牌],MATCH(B97,Equipment[组合编号],0))))</x:f>
        <x:v>CDHD</x:v>
      </x:c>
      <x:c r="E97" s="20" t="str">
        <x:v>C09</x:v>
      </x:c>
      <x:c r="F97" s="20"/>
      <x:c r="G97" s="20"/>
      <x:c r="H97" s="20" t="str">
        <x:v>待判定</x:v>
      </x:c>
      <x:c r="I97" s="20"/>
      <x:c r="J97" s="20" t="str">
        <x:v>未测试</x:v>
      </x:c>
      <x:c r="K97" s="20"/>
      <x:c r="L97" s="20"/>
      <x:c r="M97" s="20"/>
      <x:c r="N97" s="20"/>
      <x:c r="O97" s="31"/>
      <x:c r="P97" s="20"/>
      <x:c r="Q97" s="20"/>
      <x:c r="R97" s="20" t="str">
        <x:v>待展开</x:v>
      </x:c>
      <x:c r="S97" s="20"/>
      <x:c r="T97" s="31"/>
      <x:c r="U97" s="30" t="str">
        <x:f>IF(A97="","缺记录编号",IF(COUNTIFS(PathRecords[记录编号],A97)&lt;&gt;1,"记录编号重复",IF(OR(B97="",E97=""),"缺组合/功能",IF(COUNTIFS(Equipment[组合编号],B97)&lt;&gt;1,"组合编号无效",IF(COUNTIFS(FunctionMatrix[编号],E97)=0,"功能编号无效",IF(H97="不适用",IF(J97="已实测","适用性冲突",IF(I97="","待补不适用依据","不适用（非实测）")),IF(J97="阻塞",IF(I97="","待补阻塞原因","阻塞（非实测）"),IF(J97&lt;&gt;"已实测",IF(F97="","待展开路径","未实测"),IF(H97&lt;&gt;"适用","待确认适用性",IF(INDEX(Equipment[登记状态（自动）],MATCH(B97,Equipment[组合编号],0))&lt;&gt;"已登记","待补设备组合",IF(AND(F97&lt;&gt;"",G97&lt;&gt;"",K97&lt;&gt;"",L97&lt;&gt;"",M97&lt;&gt;"",N97&lt;&gt;"",ISNUMBER(O97),O97&gt;0,P97&lt;&gt;""),"记录齐全","待补实测记录")))))))))))</x:f>
        <x:v>待展开路径</x:v>
      </x:c>
    </x:row>
    <x:row r="98" ht="43.5" customHeight="1">
      <x:c r="A98" s="20" t="str">
        <x:v>REC-00089</x:v>
      </x:c>
      <x:c r="B98" s="20" t="str">
        <x:v>P1-B1-01</x:v>
      </x:c>
      <x:c r="C98" s="30" t="str">
        <x:f>IF(B98="","",IF(COUNTIFS(Equipment[组合编号],B98)&lt;&gt;1,"组合编号无效",INDEX(Equipment[PLC组],MATCH(B98,Equipment[组合编号],0))))</x:f>
        <x:v>汇川小型</x:v>
      </x:c>
      <x:c r="D98" s="30" t="str">
        <x:f>IF(B98="","",IF(COUNTIFS(Equipment[组合编号],B98)&lt;&gt;1,"组合编号无效",INDEX(Equipment[驱动品牌],MATCH(B98,Equipment[组合编号],0))))</x:f>
        <x:v>CDHD</x:v>
      </x:c>
      <x:c r="E98" s="20" t="str">
        <x:v>C10</x:v>
      </x:c>
      <x:c r="F98" s="20"/>
      <x:c r="G98" s="20"/>
      <x:c r="H98" s="20" t="str">
        <x:v>待判定</x:v>
      </x:c>
      <x:c r="I98" s="20"/>
      <x:c r="J98" s="20" t="str">
        <x:v>未测试</x:v>
      </x:c>
      <x:c r="K98" s="20"/>
      <x:c r="L98" s="20"/>
      <x:c r="M98" s="20"/>
      <x:c r="N98" s="20"/>
      <x:c r="O98" s="31"/>
      <x:c r="P98" s="20"/>
      <x:c r="Q98" s="20"/>
      <x:c r="R98" s="20" t="str">
        <x:v>待展开</x:v>
      </x:c>
      <x:c r="S98" s="20"/>
      <x:c r="T98" s="31"/>
      <x:c r="U98" s="30" t="str">
        <x:f>IF(A98="","缺记录编号",IF(COUNTIFS(PathRecords[记录编号],A98)&lt;&gt;1,"记录编号重复",IF(OR(B98="",E98=""),"缺组合/功能",IF(COUNTIFS(Equipment[组合编号],B98)&lt;&gt;1,"组合编号无效",IF(COUNTIFS(FunctionMatrix[编号],E98)=0,"功能编号无效",IF(H98="不适用",IF(J98="已实测","适用性冲突",IF(I98="","待补不适用依据","不适用（非实测）")),IF(J98="阻塞",IF(I98="","待补阻塞原因","阻塞（非实测）"),IF(J98&lt;&gt;"已实测",IF(F98="","待展开路径","未实测"),IF(H98&lt;&gt;"适用","待确认适用性",IF(INDEX(Equipment[登记状态（自动）],MATCH(B98,Equipment[组合编号],0))&lt;&gt;"已登记","待补设备组合",IF(AND(F98&lt;&gt;"",G98&lt;&gt;"",K98&lt;&gt;"",L98&lt;&gt;"",M98&lt;&gt;"",N98&lt;&gt;"",ISNUMBER(O98),O98&gt;0,P98&lt;&gt;""),"记录齐全","待补实测记录")))))))))))</x:f>
        <x:v>待展开路径</x:v>
      </x:c>
    </x:row>
    <x:row r="99" ht="43.5" customHeight="1">
      <x:c r="A99" s="20" t="str">
        <x:v>REC-00090</x:v>
      </x:c>
      <x:c r="B99" s="20" t="str">
        <x:v>P1-B1-01</x:v>
      </x:c>
      <x:c r="C99" s="30" t="str">
        <x:f>IF(B99="","",IF(COUNTIFS(Equipment[组合编号],B99)&lt;&gt;1,"组合编号无效",INDEX(Equipment[PLC组],MATCH(B99,Equipment[组合编号],0))))</x:f>
        <x:v>汇川小型</x:v>
      </x:c>
      <x:c r="D99" s="30" t="str">
        <x:f>IF(B99="","",IF(COUNTIFS(Equipment[组合编号],B99)&lt;&gt;1,"组合编号无效",INDEX(Equipment[驱动品牌],MATCH(B99,Equipment[组合编号],0))))</x:f>
        <x:v>CDHD</x:v>
      </x:c>
      <x:c r="E99" s="20" t="str">
        <x:v>T01</x:v>
      </x:c>
      <x:c r="F99" s="20"/>
      <x:c r="G99" s="20"/>
      <x:c r="H99" s="20" t="str">
        <x:v>待判定</x:v>
      </x:c>
      <x:c r="I99" s="20"/>
      <x:c r="J99" s="20" t="str">
        <x:v>未测试</x:v>
      </x:c>
      <x:c r="K99" s="20"/>
      <x:c r="L99" s="20"/>
      <x:c r="M99" s="20"/>
      <x:c r="N99" s="20"/>
      <x:c r="O99" s="31"/>
      <x:c r="P99" s="20"/>
      <x:c r="Q99" s="20"/>
      <x:c r="R99" s="20" t="str">
        <x:v>待展开</x:v>
      </x:c>
      <x:c r="S99" s="20"/>
      <x:c r="T99" s="31"/>
      <x:c r="U99" s="30" t="str">
        <x:f>IF(A99="","缺记录编号",IF(COUNTIFS(PathRecords[记录编号],A99)&lt;&gt;1,"记录编号重复",IF(OR(B99="",E99=""),"缺组合/功能",IF(COUNTIFS(Equipment[组合编号],B99)&lt;&gt;1,"组合编号无效",IF(COUNTIFS(FunctionMatrix[编号],E99)=0,"功能编号无效",IF(H99="不适用",IF(J99="已实测","适用性冲突",IF(I99="","待补不适用依据","不适用（非实测）")),IF(J99="阻塞",IF(I99="","待补阻塞原因","阻塞（非实测）"),IF(J99&lt;&gt;"已实测",IF(F99="","待展开路径","未实测"),IF(H99&lt;&gt;"适用","待确认适用性",IF(INDEX(Equipment[登记状态（自动）],MATCH(B99,Equipment[组合编号],0))&lt;&gt;"已登记","待补设备组合",IF(AND(F99&lt;&gt;"",G99&lt;&gt;"",K99&lt;&gt;"",L99&lt;&gt;"",M99&lt;&gt;"",N99&lt;&gt;"",ISNUMBER(O99),O99&gt;0,P99&lt;&gt;""),"记录齐全","待补实测记录")))))))))))</x:f>
        <x:v>待展开路径</x:v>
      </x:c>
    </x:row>
    <x:row r="100" ht="43.5" customHeight="1">
      <x:c r="A100" s="20" t="str">
        <x:v>REC-00091</x:v>
      </x:c>
      <x:c r="B100" s="20" t="str">
        <x:v>P1-B1-01</x:v>
      </x:c>
      <x:c r="C100" s="30" t="str">
        <x:f>IF(B100="","",IF(COUNTIFS(Equipment[组合编号],B100)&lt;&gt;1,"组合编号无效",INDEX(Equipment[PLC组],MATCH(B100,Equipment[组合编号],0))))</x:f>
        <x:v>汇川小型</x:v>
      </x:c>
      <x:c r="D100" s="30" t="str">
        <x:f>IF(B100="","",IF(COUNTIFS(Equipment[组合编号],B100)&lt;&gt;1,"组合编号无效",INDEX(Equipment[驱动品牌],MATCH(B100,Equipment[组合编号],0))))</x:f>
        <x:v>CDHD</x:v>
      </x:c>
      <x:c r="E100" s="20" t="str">
        <x:v>T02</x:v>
      </x:c>
      <x:c r="F100" s="20"/>
      <x:c r="G100" s="20"/>
      <x:c r="H100" s="20" t="str">
        <x:v>待判定</x:v>
      </x:c>
      <x:c r="I100" s="20"/>
      <x:c r="J100" s="20" t="str">
        <x:v>未测试</x:v>
      </x:c>
      <x:c r="K100" s="20"/>
      <x:c r="L100" s="20"/>
      <x:c r="M100" s="20"/>
      <x:c r="N100" s="20"/>
      <x:c r="O100" s="31"/>
      <x:c r="P100" s="20"/>
      <x:c r="Q100" s="20"/>
      <x:c r="R100" s="20" t="str">
        <x:v>待展开</x:v>
      </x:c>
      <x:c r="S100" s="20"/>
      <x:c r="T100" s="31"/>
      <x:c r="U100" s="30" t="str">
        <x:f>IF(A100="","缺记录编号",IF(COUNTIFS(PathRecords[记录编号],A100)&lt;&gt;1,"记录编号重复",IF(OR(B100="",E100=""),"缺组合/功能",IF(COUNTIFS(Equipment[组合编号],B100)&lt;&gt;1,"组合编号无效",IF(COUNTIFS(FunctionMatrix[编号],E100)=0,"功能编号无效",IF(H100="不适用",IF(J100="已实测","适用性冲突",IF(I100="","待补不适用依据","不适用（非实测）")),IF(J100="阻塞",IF(I100="","待补阻塞原因","阻塞（非实测）"),IF(J100&lt;&gt;"已实测",IF(F100="","待展开路径","未实测"),IF(H100&lt;&gt;"适用","待确认适用性",IF(INDEX(Equipment[登记状态（自动）],MATCH(B100,Equipment[组合编号],0))&lt;&gt;"已登记","待补设备组合",IF(AND(F100&lt;&gt;"",G100&lt;&gt;"",K100&lt;&gt;"",L100&lt;&gt;"",M100&lt;&gt;"",N100&lt;&gt;"",ISNUMBER(O100),O100&gt;0,P100&lt;&gt;""),"记录齐全","待补实测记录")))))))))))</x:f>
        <x:v>待展开路径</x:v>
      </x:c>
    </x:row>
    <x:row r="101" ht="43.5" customHeight="1">
      <x:c r="A101" s="20" t="str">
        <x:v>REC-00092</x:v>
      </x:c>
      <x:c r="B101" s="20" t="str">
        <x:v>P1-B1-01</x:v>
      </x:c>
      <x:c r="C101" s="30" t="str">
        <x:f>IF(B101="","",IF(COUNTIFS(Equipment[组合编号],B101)&lt;&gt;1,"组合编号无效",INDEX(Equipment[PLC组],MATCH(B101,Equipment[组合编号],0))))</x:f>
        <x:v>汇川小型</x:v>
      </x:c>
      <x:c r="D101" s="30" t="str">
        <x:f>IF(B101="","",IF(COUNTIFS(Equipment[组合编号],B101)&lt;&gt;1,"组合编号无效",INDEX(Equipment[驱动品牌],MATCH(B101,Equipment[组合编号],0))))</x:f>
        <x:v>CDHD</x:v>
      </x:c>
      <x:c r="E101" s="20" t="str">
        <x:v>T03</x:v>
      </x:c>
      <x:c r="F101" s="20"/>
      <x:c r="G101" s="20"/>
      <x:c r="H101" s="20" t="str">
        <x:v>待判定</x:v>
      </x:c>
      <x:c r="I101" s="20"/>
      <x:c r="J101" s="20" t="str">
        <x:v>未测试</x:v>
      </x:c>
      <x:c r="K101" s="20"/>
      <x:c r="L101" s="20"/>
      <x:c r="M101" s="20"/>
      <x:c r="N101" s="20"/>
      <x:c r="O101" s="31"/>
      <x:c r="P101" s="20"/>
      <x:c r="Q101" s="20"/>
      <x:c r="R101" s="20" t="str">
        <x:v>待展开</x:v>
      </x:c>
      <x:c r="S101" s="20"/>
      <x:c r="T101" s="31"/>
      <x:c r="U101" s="30" t="str">
        <x:f>IF(A101="","缺记录编号",IF(COUNTIFS(PathRecords[记录编号],A101)&lt;&gt;1,"记录编号重复",IF(OR(B101="",E101=""),"缺组合/功能",IF(COUNTIFS(Equipment[组合编号],B101)&lt;&gt;1,"组合编号无效",IF(COUNTIFS(FunctionMatrix[编号],E101)=0,"功能编号无效",IF(H101="不适用",IF(J101="已实测","适用性冲突",IF(I101="","待补不适用依据","不适用（非实测）")),IF(J101="阻塞",IF(I101="","待补阻塞原因","阻塞（非实测）"),IF(J101&lt;&gt;"已实测",IF(F101="","待展开路径","未实测"),IF(H101&lt;&gt;"适用","待确认适用性",IF(INDEX(Equipment[登记状态（自动）],MATCH(B101,Equipment[组合编号],0))&lt;&gt;"已登记","待补设备组合",IF(AND(F101&lt;&gt;"",G101&lt;&gt;"",K101&lt;&gt;"",L101&lt;&gt;"",M101&lt;&gt;"",N101&lt;&gt;"",ISNUMBER(O101),O101&gt;0,P101&lt;&gt;""),"记录齐全","待补实测记录")))))))))))</x:f>
        <x:v>待展开路径</x:v>
      </x:c>
    </x:row>
    <x:row r="102" ht="43.5" customHeight="1">
      <x:c r="A102" s="20" t="str">
        <x:v>REC-00093</x:v>
      </x:c>
      <x:c r="B102" s="20" t="str">
        <x:v>P1-B1-01</x:v>
      </x:c>
      <x:c r="C102" s="30" t="str">
        <x:f>IF(B102="","",IF(COUNTIFS(Equipment[组合编号],B102)&lt;&gt;1,"组合编号无效",INDEX(Equipment[PLC组],MATCH(B102,Equipment[组合编号],0))))</x:f>
        <x:v>汇川小型</x:v>
      </x:c>
      <x:c r="D102" s="30" t="str">
        <x:f>IF(B102="","",IF(COUNTIFS(Equipment[组合编号],B102)&lt;&gt;1,"组合编号无效",INDEX(Equipment[驱动品牌],MATCH(B102,Equipment[组合编号],0))))</x:f>
        <x:v>CDHD</x:v>
      </x:c>
      <x:c r="E102" s="20" t="str">
        <x:v>T04</x:v>
      </x:c>
      <x:c r="F102" s="20"/>
      <x:c r="G102" s="20"/>
      <x:c r="H102" s="20" t="str">
        <x:v>待判定</x:v>
      </x:c>
      <x:c r="I102" s="20"/>
      <x:c r="J102" s="20" t="str">
        <x:v>未测试</x:v>
      </x:c>
      <x:c r="K102" s="20"/>
      <x:c r="L102" s="20"/>
      <x:c r="M102" s="20"/>
      <x:c r="N102" s="20"/>
      <x:c r="O102" s="31"/>
      <x:c r="P102" s="20"/>
      <x:c r="Q102" s="20"/>
      <x:c r="R102" s="20" t="str">
        <x:v>待展开</x:v>
      </x:c>
      <x:c r="S102" s="20"/>
      <x:c r="T102" s="31"/>
      <x:c r="U102" s="30" t="str">
        <x:f>IF(A102="","缺记录编号",IF(COUNTIFS(PathRecords[记录编号],A102)&lt;&gt;1,"记录编号重复",IF(OR(B102="",E102=""),"缺组合/功能",IF(COUNTIFS(Equipment[组合编号],B102)&lt;&gt;1,"组合编号无效",IF(COUNTIFS(FunctionMatrix[编号],E102)=0,"功能编号无效",IF(H102="不适用",IF(J102="已实测","适用性冲突",IF(I102="","待补不适用依据","不适用（非实测）")),IF(J102="阻塞",IF(I102="","待补阻塞原因","阻塞（非实测）"),IF(J102&lt;&gt;"已实测",IF(F102="","待展开路径","未实测"),IF(H102&lt;&gt;"适用","待确认适用性",IF(INDEX(Equipment[登记状态（自动）],MATCH(B102,Equipment[组合编号],0))&lt;&gt;"已登记","待补设备组合",IF(AND(F102&lt;&gt;"",G102&lt;&gt;"",K102&lt;&gt;"",L102&lt;&gt;"",M102&lt;&gt;"",N102&lt;&gt;"",ISNUMBER(O102),O102&gt;0,P102&lt;&gt;""),"记录齐全","待补实测记录")))))))))))</x:f>
        <x:v>待展开路径</x:v>
      </x:c>
    </x:row>
    <x:row r="103" ht="43.5" customHeight="1">
      <x:c r="A103" s="20" t="str">
        <x:v>REC-00094</x:v>
      </x:c>
      <x:c r="B103" s="20" t="str">
        <x:v>P1-B1-01</x:v>
      </x:c>
      <x:c r="C103" s="30" t="str">
        <x:f>IF(B103="","",IF(COUNTIFS(Equipment[组合编号],B103)&lt;&gt;1,"组合编号无效",INDEX(Equipment[PLC组],MATCH(B103,Equipment[组合编号],0))))</x:f>
        <x:v>汇川小型</x:v>
      </x:c>
      <x:c r="D103" s="30" t="str">
        <x:f>IF(B103="","",IF(COUNTIFS(Equipment[组合编号],B103)&lt;&gt;1,"组合编号无效",INDEX(Equipment[驱动品牌],MATCH(B103,Equipment[组合编号],0))))</x:f>
        <x:v>CDHD</x:v>
      </x:c>
      <x:c r="E103" s="20" t="str">
        <x:v>T05</x:v>
      </x:c>
      <x:c r="F103" s="20"/>
      <x:c r="G103" s="20"/>
      <x:c r="H103" s="20" t="str">
        <x:v>待判定</x:v>
      </x:c>
      <x:c r="I103" s="20"/>
      <x:c r="J103" s="20" t="str">
        <x:v>未测试</x:v>
      </x:c>
      <x:c r="K103" s="20"/>
      <x:c r="L103" s="20"/>
      <x:c r="M103" s="20"/>
      <x:c r="N103" s="20"/>
      <x:c r="O103" s="31"/>
      <x:c r="P103" s="20"/>
      <x:c r="Q103" s="20"/>
      <x:c r="R103" s="20" t="str">
        <x:v>待展开</x:v>
      </x:c>
      <x:c r="S103" s="20"/>
      <x:c r="T103" s="31"/>
      <x:c r="U103" s="30" t="str">
        <x:f>IF(A103="","缺记录编号",IF(COUNTIFS(PathRecords[记录编号],A103)&lt;&gt;1,"记录编号重复",IF(OR(B103="",E103=""),"缺组合/功能",IF(COUNTIFS(Equipment[组合编号],B103)&lt;&gt;1,"组合编号无效",IF(COUNTIFS(FunctionMatrix[编号],E103)=0,"功能编号无效",IF(H103="不适用",IF(J103="已实测","适用性冲突",IF(I103="","待补不适用依据","不适用（非实测）")),IF(J103="阻塞",IF(I103="","待补阻塞原因","阻塞（非实测）"),IF(J103&lt;&gt;"已实测",IF(F103="","待展开路径","未实测"),IF(H103&lt;&gt;"适用","待确认适用性",IF(INDEX(Equipment[登记状态（自动）],MATCH(B103,Equipment[组合编号],0))&lt;&gt;"已登记","待补设备组合",IF(AND(F103&lt;&gt;"",G103&lt;&gt;"",K103&lt;&gt;"",L103&lt;&gt;"",M103&lt;&gt;"",N103&lt;&gt;"",ISNUMBER(O103),O103&gt;0,P103&lt;&gt;""),"记录齐全","待补实测记录")))))))))))</x:f>
        <x:v>待展开路径</x:v>
      </x:c>
    </x:row>
    <x:row r="104" ht="43.5" customHeight="1">
      <x:c r="A104" s="20" t="str">
        <x:v>REC-00095</x:v>
      </x:c>
      <x:c r="B104" s="20" t="str">
        <x:v>P1-B1-01</x:v>
      </x:c>
      <x:c r="C104" s="30" t="str">
        <x:f>IF(B104="","",IF(COUNTIFS(Equipment[组合编号],B104)&lt;&gt;1,"组合编号无效",INDEX(Equipment[PLC组],MATCH(B104,Equipment[组合编号],0))))</x:f>
        <x:v>汇川小型</x:v>
      </x:c>
      <x:c r="D104" s="30" t="str">
        <x:f>IF(B104="","",IF(COUNTIFS(Equipment[组合编号],B104)&lt;&gt;1,"组合编号无效",INDEX(Equipment[驱动品牌],MATCH(B104,Equipment[组合编号],0))))</x:f>
        <x:v>CDHD</x:v>
      </x:c>
      <x:c r="E104" s="20" t="str">
        <x:v>T06</x:v>
      </x:c>
      <x:c r="F104" s="20"/>
      <x:c r="G104" s="20"/>
      <x:c r="H104" s="20" t="str">
        <x:v>待判定</x:v>
      </x:c>
      <x:c r="I104" s="20"/>
      <x:c r="J104" s="20" t="str">
        <x:v>未测试</x:v>
      </x:c>
      <x:c r="K104" s="20"/>
      <x:c r="L104" s="20"/>
      <x:c r="M104" s="20"/>
      <x:c r="N104" s="20"/>
      <x:c r="O104" s="31"/>
      <x:c r="P104" s="20"/>
      <x:c r="Q104" s="20"/>
      <x:c r="R104" s="20" t="str">
        <x:v>待展开</x:v>
      </x:c>
      <x:c r="S104" s="20"/>
      <x:c r="T104" s="31"/>
      <x:c r="U104" s="30" t="str">
        <x:f>IF(A104="","缺记录编号",IF(COUNTIFS(PathRecords[记录编号],A104)&lt;&gt;1,"记录编号重复",IF(OR(B104="",E104=""),"缺组合/功能",IF(COUNTIFS(Equipment[组合编号],B104)&lt;&gt;1,"组合编号无效",IF(COUNTIFS(FunctionMatrix[编号],E104)=0,"功能编号无效",IF(H104="不适用",IF(J104="已实测","适用性冲突",IF(I104="","待补不适用依据","不适用（非实测）")),IF(J104="阻塞",IF(I104="","待补阻塞原因","阻塞（非实测）"),IF(J104&lt;&gt;"已实测",IF(F104="","待展开路径","未实测"),IF(H104&lt;&gt;"适用","待确认适用性",IF(INDEX(Equipment[登记状态（自动）],MATCH(B104,Equipment[组合编号],0))&lt;&gt;"已登记","待补设备组合",IF(AND(F104&lt;&gt;"",G104&lt;&gt;"",K104&lt;&gt;"",L104&lt;&gt;"",M104&lt;&gt;"",N104&lt;&gt;"",ISNUMBER(O104),O104&gt;0,P104&lt;&gt;""),"记录齐全","待补实测记录")))))))))))</x:f>
        <x:v>待展开路径</x:v>
      </x:c>
    </x:row>
    <x:row r="105" ht="43.5" customHeight="1">
      <x:c r="A105" s="20" t="str">
        <x:v>REC-00096</x:v>
      </x:c>
      <x:c r="B105" s="20" t="str">
        <x:v>P1-B1-01</x:v>
      </x:c>
      <x:c r="C105" s="30" t="str">
        <x:f>IF(B105="","",IF(COUNTIFS(Equipment[组合编号],B105)&lt;&gt;1,"组合编号无效",INDEX(Equipment[PLC组],MATCH(B105,Equipment[组合编号],0))))</x:f>
        <x:v>汇川小型</x:v>
      </x:c>
      <x:c r="D105" s="30" t="str">
        <x:f>IF(B105="","",IF(COUNTIFS(Equipment[组合编号],B105)&lt;&gt;1,"组合编号无效",INDEX(Equipment[驱动品牌],MATCH(B105,Equipment[组合编号],0))))</x:f>
        <x:v>CDHD</x:v>
      </x:c>
      <x:c r="E105" s="20" t="str">
        <x:v>T07</x:v>
      </x:c>
      <x:c r="F105" s="20"/>
      <x:c r="G105" s="20"/>
      <x:c r="H105" s="20" t="str">
        <x:v>待判定</x:v>
      </x:c>
      <x:c r="I105" s="20"/>
      <x:c r="J105" s="20" t="str">
        <x:v>未测试</x:v>
      </x:c>
      <x:c r="K105" s="20"/>
      <x:c r="L105" s="20"/>
      <x:c r="M105" s="20"/>
      <x:c r="N105" s="20"/>
      <x:c r="O105" s="31"/>
      <x:c r="P105" s="20"/>
      <x:c r="Q105" s="20"/>
      <x:c r="R105" s="20" t="str">
        <x:v>待展开</x:v>
      </x:c>
      <x:c r="S105" s="20"/>
      <x:c r="T105" s="31"/>
      <x:c r="U105" s="30" t="str">
        <x:f>IF(A105="","缺记录编号",IF(COUNTIFS(PathRecords[记录编号],A105)&lt;&gt;1,"记录编号重复",IF(OR(B105="",E105=""),"缺组合/功能",IF(COUNTIFS(Equipment[组合编号],B105)&lt;&gt;1,"组合编号无效",IF(COUNTIFS(FunctionMatrix[编号],E105)=0,"功能编号无效",IF(H105="不适用",IF(J105="已实测","适用性冲突",IF(I105="","待补不适用依据","不适用（非实测）")),IF(J105="阻塞",IF(I105="","待补阻塞原因","阻塞（非实测）"),IF(J105&lt;&gt;"已实测",IF(F105="","待展开路径","未实测"),IF(H105&lt;&gt;"适用","待确认适用性",IF(INDEX(Equipment[登记状态（自动）],MATCH(B105,Equipment[组合编号],0))&lt;&gt;"已登记","待补设备组合",IF(AND(F105&lt;&gt;"",G105&lt;&gt;"",K105&lt;&gt;"",L105&lt;&gt;"",M105&lt;&gt;"",N105&lt;&gt;"",ISNUMBER(O105),O105&gt;0,P105&lt;&gt;""),"记录齐全","待补实测记录")))))))))))</x:f>
        <x:v>待展开路径</x:v>
      </x:c>
    </x:row>
    <x:row r="106" ht="43.5" customHeight="1">
      <x:c r="A106" s="20" t="str">
        <x:v>REC-00097</x:v>
      </x:c>
      <x:c r="B106" s="20" t="str">
        <x:v>P1-B1-01</x:v>
      </x:c>
      <x:c r="C106" s="30" t="str">
        <x:f>IF(B106="","",IF(COUNTIFS(Equipment[组合编号],B106)&lt;&gt;1,"组合编号无效",INDEX(Equipment[PLC组],MATCH(B106,Equipment[组合编号],0))))</x:f>
        <x:v>汇川小型</x:v>
      </x:c>
      <x:c r="D106" s="30" t="str">
        <x:f>IF(B106="","",IF(COUNTIFS(Equipment[组合编号],B106)&lt;&gt;1,"组合编号无效",INDEX(Equipment[驱动品牌],MATCH(B106,Equipment[组合编号],0))))</x:f>
        <x:v>CDHD</x:v>
      </x:c>
      <x:c r="E106" s="20" t="str">
        <x:v>T08</x:v>
      </x:c>
      <x:c r="F106" s="20"/>
      <x:c r="G106" s="20"/>
      <x:c r="H106" s="20" t="str">
        <x:v>待判定</x:v>
      </x:c>
      <x:c r="I106" s="20"/>
      <x:c r="J106" s="20" t="str">
        <x:v>未测试</x:v>
      </x:c>
      <x:c r="K106" s="20"/>
      <x:c r="L106" s="20"/>
      <x:c r="M106" s="20"/>
      <x:c r="N106" s="20"/>
      <x:c r="O106" s="31"/>
      <x:c r="P106" s="20"/>
      <x:c r="Q106" s="20"/>
      <x:c r="R106" s="20" t="str">
        <x:v>待展开</x:v>
      </x:c>
      <x:c r="S106" s="20"/>
      <x:c r="T106" s="31"/>
      <x:c r="U106" s="30" t="str">
        <x:f>IF(A106="","缺记录编号",IF(COUNTIFS(PathRecords[记录编号],A106)&lt;&gt;1,"记录编号重复",IF(OR(B106="",E106=""),"缺组合/功能",IF(COUNTIFS(Equipment[组合编号],B106)&lt;&gt;1,"组合编号无效",IF(COUNTIFS(FunctionMatrix[编号],E106)=0,"功能编号无效",IF(H106="不适用",IF(J106="已实测","适用性冲突",IF(I106="","待补不适用依据","不适用（非实测）")),IF(J106="阻塞",IF(I106="","待补阻塞原因","阻塞（非实测）"),IF(J106&lt;&gt;"已实测",IF(F106="","待展开路径","未实测"),IF(H106&lt;&gt;"适用","待确认适用性",IF(INDEX(Equipment[登记状态（自动）],MATCH(B106,Equipment[组合编号],0))&lt;&gt;"已登记","待补设备组合",IF(AND(F106&lt;&gt;"",G106&lt;&gt;"",K106&lt;&gt;"",L106&lt;&gt;"",M106&lt;&gt;"",N106&lt;&gt;"",ISNUMBER(O106),O106&gt;0,P106&lt;&gt;""),"记录齐全","待补实测记录")))))))))))</x:f>
        <x:v>待展开路径</x:v>
      </x:c>
    </x:row>
    <x:row r="107" ht="43.5" customHeight="1">
      <x:c r="A107" s="20" t="str">
        <x:v>REC-00098</x:v>
      </x:c>
      <x:c r="B107" s="20" t="str">
        <x:v>P1-B1-01</x:v>
      </x:c>
      <x:c r="C107" s="30" t="str">
        <x:f>IF(B107="","",IF(COUNTIFS(Equipment[组合编号],B107)&lt;&gt;1,"组合编号无效",INDEX(Equipment[PLC组],MATCH(B107,Equipment[组合编号],0))))</x:f>
        <x:v>汇川小型</x:v>
      </x:c>
      <x:c r="D107" s="30" t="str">
        <x:f>IF(B107="","",IF(COUNTIFS(Equipment[组合编号],B107)&lt;&gt;1,"组合编号无效",INDEX(Equipment[驱动品牌],MATCH(B107,Equipment[组合编号],0))))</x:f>
        <x:v>CDHD</x:v>
      </x:c>
      <x:c r="E107" s="20" t="str">
        <x:v>T09</x:v>
      </x:c>
      <x:c r="F107" s="20"/>
      <x:c r="G107" s="20"/>
      <x:c r="H107" s="20" t="str">
        <x:v>待判定</x:v>
      </x:c>
      <x:c r="I107" s="20"/>
      <x:c r="J107" s="20" t="str">
        <x:v>未测试</x:v>
      </x:c>
      <x:c r="K107" s="20"/>
      <x:c r="L107" s="20"/>
      <x:c r="M107" s="20"/>
      <x:c r="N107" s="20"/>
      <x:c r="O107" s="31"/>
      <x:c r="P107" s="20"/>
      <x:c r="Q107" s="20"/>
      <x:c r="R107" s="20" t="str">
        <x:v>待展开</x:v>
      </x:c>
      <x:c r="S107" s="20"/>
      <x:c r="T107" s="31"/>
      <x:c r="U107" s="30" t="str">
        <x:f>IF(A107="","缺记录编号",IF(COUNTIFS(PathRecords[记录编号],A107)&lt;&gt;1,"记录编号重复",IF(OR(B107="",E107=""),"缺组合/功能",IF(COUNTIFS(Equipment[组合编号],B107)&lt;&gt;1,"组合编号无效",IF(COUNTIFS(FunctionMatrix[编号],E107)=0,"功能编号无效",IF(H107="不适用",IF(J107="已实测","适用性冲突",IF(I107="","待补不适用依据","不适用（非实测）")),IF(J107="阻塞",IF(I107="","待补阻塞原因","阻塞（非实测）"),IF(J107&lt;&gt;"已实测",IF(F107="","待展开路径","未实测"),IF(H107&lt;&gt;"适用","待确认适用性",IF(INDEX(Equipment[登记状态（自动）],MATCH(B107,Equipment[组合编号],0))&lt;&gt;"已登记","待补设备组合",IF(AND(F107&lt;&gt;"",G107&lt;&gt;"",K107&lt;&gt;"",L107&lt;&gt;"",M107&lt;&gt;"",N107&lt;&gt;"",ISNUMBER(O107),O107&gt;0,P107&lt;&gt;""),"记录齐全","待补实测记录")))))))))))</x:f>
        <x:v>待展开路径</x:v>
      </x:c>
    </x:row>
    <x:row r="108" ht="43.5" customHeight="1">
      <x:c r="A108" s="20" t="str">
        <x:v>REC-00099</x:v>
      </x:c>
      <x:c r="B108" s="20" t="str">
        <x:v>P1-B1-01</x:v>
      </x:c>
      <x:c r="C108" s="30" t="str">
        <x:f>IF(B108="","",IF(COUNTIFS(Equipment[组合编号],B108)&lt;&gt;1,"组合编号无效",INDEX(Equipment[PLC组],MATCH(B108,Equipment[组合编号],0))))</x:f>
        <x:v>汇川小型</x:v>
      </x:c>
      <x:c r="D108" s="30" t="str">
        <x:f>IF(B108="","",IF(COUNTIFS(Equipment[组合编号],B108)&lt;&gt;1,"组合编号无效",INDEX(Equipment[驱动品牌],MATCH(B108,Equipment[组合编号],0))))</x:f>
        <x:v>CDHD</x:v>
      </x:c>
      <x:c r="E108" s="20" t="str">
        <x:v>R01</x:v>
      </x:c>
      <x:c r="F108" s="20"/>
      <x:c r="G108" s="20"/>
      <x:c r="H108" s="20" t="str">
        <x:v>待判定</x:v>
      </x:c>
      <x:c r="I108" s="20"/>
      <x:c r="J108" s="20" t="str">
        <x:v>未测试</x:v>
      </x:c>
      <x:c r="K108" s="20"/>
      <x:c r="L108" s="20"/>
      <x:c r="M108" s="20"/>
      <x:c r="N108" s="20"/>
      <x:c r="O108" s="31"/>
      <x:c r="P108" s="20"/>
      <x:c r="Q108" s="20"/>
      <x:c r="R108" s="20" t="str">
        <x:v>待展开</x:v>
      </x:c>
      <x:c r="S108" s="20"/>
      <x:c r="T108" s="31"/>
      <x:c r="U108" s="30" t="str">
        <x:f>IF(A108="","缺记录编号",IF(COUNTIFS(PathRecords[记录编号],A108)&lt;&gt;1,"记录编号重复",IF(OR(B108="",E108=""),"缺组合/功能",IF(COUNTIFS(Equipment[组合编号],B108)&lt;&gt;1,"组合编号无效",IF(COUNTIFS(FunctionMatrix[编号],E108)=0,"功能编号无效",IF(H108="不适用",IF(J108="已实测","适用性冲突",IF(I108="","待补不适用依据","不适用（非实测）")),IF(J108="阻塞",IF(I108="","待补阻塞原因","阻塞（非实测）"),IF(J108&lt;&gt;"已实测",IF(F108="","待展开路径","未实测"),IF(H108&lt;&gt;"适用","待确认适用性",IF(INDEX(Equipment[登记状态（自动）],MATCH(B108,Equipment[组合编号],0))&lt;&gt;"已登记","待补设备组合",IF(AND(F108&lt;&gt;"",G108&lt;&gt;"",K108&lt;&gt;"",L108&lt;&gt;"",M108&lt;&gt;"",N108&lt;&gt;"",ISNUMBER(O108),O108&gt;0,P108&lt;&gt;""),"记录齐全","待补实测记录")))))))))))</x:f>
        <x:v>待展开路径</x:v>
      </x:c>
    </x:row>
    <x:row r="109" ht="43.5" customHeight="1">
      <x:c r="A109" s="20" t="str">
        <x:v>REC-00100</x:v>
      </x:c>
      <x:c r="B109" s="20" t="str">
        <x:v>P1-B1-01</x:v>
      </x:c>
      <x:c r="C109" s="30" t="str">
        <x:f>IF(B109="","",IF(COUNTIFS(Equipment[组合编号],B109)&lt;&gt;1,"组合编号无效",INDEX(Equipment[PLC组],MATCH(B109,Equipment[组合编号],0))))</x:f>
        <x:v>汇川小型</x:v>
      </x:c>
      <x:c r="D109" s="30" t="str">
        <x:f>IF(B109="","",IF(COUNTIFS(Equipment[组合编号],B109)&lt;&gt;1,"组合编号无效",INDEX(Equipment[驱动品牌],MATCH(B109,Equipment[组合编号],0))))</x:f>
        <x:v>CDHD</x:v>
      </x:c>
      <x:c r="E109" s="20" t="str">
        <x:v>R02</x:v>
      </x:c>
      <x:c r="F109" s="20"/>
      <x:c r="G109" s="20"/>
      <x:c r="H109" s="20" t="str">
        <x:v>待判定</x:v>
      </x:c>
      <x:c r="I109" s="20"/>
      <x:c r="J109" s="20" t="str">
        <x:v>未测试</x:v>
      </x:c>
      <x:c r="K109" s="20"/>
      <x:c r="L109" s="20"/>
      <x:c r="M109" s="20"/>
      <x:c r="N109" s="20"/>
      <x:c r="O109" s="31"/>
      <x:c r="P109" s="20"/>
      <x:c r="Q109" s="20"/>
      <x:c r="R109" s="20" t="str">
        <x:v>待展开</x:v>
      </x:c>
      <x:c r="S109" s="20"/>
      <x:c r="T109" s="31"/>
      <x:c r="U109" s="30" t="str">
        <x:f>IF(A109="","缺记录编号",IF(COUNTIFS(PathRecords[记录编号],A109)&lt;&gt;1,"记录编号重复",IF(OR(B109="",E109=""),"缺组合/功能",IF(COUNTIFS(Equipment[组合编号],B109)&lt;&gt;1,"组合编号无效",IF(COUNTIFS(FunctionMatrix[编号],E109)=0,"功能编号无效",IF(H109="不适用",IF(J109="已实测","适用性冲突",IF(I109="","待补不适用依据","不适用（非实测）")),IF(J109="阻塞",IF(I109="","待补阻塞原因","阻塞（非实测）"),IF(J109&lt;&gt;"已实测",IF(F109="","待展开路径","未实测"),IF(H109&lt;&gt;"适用","待确认适用性",IF(INDEX(Equipment[登记状态（自动）],MATCH(B109,Equipment[组合编号],0))&lt;&gt;"已登记","待补设备组合",IF(AND(F109&lt;&gt;"",G109&lt;&gt;"",K109&lt;&gt;"",L109&lt;&gt;"",M109&lt;&gt;"",N109&lt;&gt;"",ISNUMBER(O109),O109&gt;0,P109&lt;&gt;""),"记录齐全","待补实测记录")))))))))))</x:f>
        <x:v>待展开路径</x:v>
      </x:c>
    </x:row>
    <x:row r="110" ht="43.5" customHeight="1">
      <x:c r="A110" s="20" t="str">
        <x:v>REC-00101</x:v>
      </x:c>
      <x:c r="B110" s="20" t="str">
        <x:v>P1-B1-01</x:v>
      </x:c>
      <x:c r="C110" s="30" t="str">
        <x:f>IF(B110="","",IF(COUNTIFS(Equipment[组合编号],B110)&lt;&gt;1,"组合编号无效",INDEX(Equipment[PLC组],MATCH(B110,Equipment[组合编号],0))))</x:f>
        <x:v>汇川小型</x:v>
      </x:c>
      <x:c r="D110" s="30" t="str">
        <x:f>IF(B110="","",IF(COUNTIFS(Equipment[组合编号],B110)&lt;&gt;1,"组合编号无效",INDEX(Equipment[驱动品牌],MATCH(B110,Equipment[组合编号],0))))</x:f>
        <x:v>CDHD</x:v>
      </x:c>
      <x:c r="E110" s="20" t="str">
        <x:v>R03</x:v>
      </x:c>
      <x:c r="F110" s="20"/>
      <x:c r="G110" s="20"/>
      <x:c r="H110" s="20" t="str">
        <x:v>待判定</x:v>
      </x:c>
      <x:c r="I110" s="20"/>
      <x:c r="J110" s="20" t="str">
        <x:v>未测试</x:v>
      </x:c>
      <x:c r="K110" s="20"/>
      <x:c r="L110" s="20"/>
      <x:c r="M110" s="20"/>
      <x:c r="N110" s="20"/>
      <x:c r="O110" s="31"/>
      <x:c r="P110" s="20"/>
      <x:c r="Q110" s="20"/>
      <x:c r="R110" s="20" t="str">
        <x:v>待展开</x:v>
      </x:c>
      <x:c r="S110" s="20"/>
      <x:c r="T110" s="31"/>
      <x:c r="U110" s="30" t="str">
        <x:f>IF(A110="","缺记录编号",IF(COUNTIFS(PathRecords[记录编号],A110)&lt;&gt;1,"记录编号重复",IF(OR(B110="",E110=""),"缺组合/功能",IF(COUNTIFS(Equipment[组合编号],B110)&lt;&gt;1,"组合编号无效",IF(COUNTIFS(FunctionMatrix[编号],E110)=0,"功能编号无效",IF(H110="不适用",IF(J110="已实测","适用性冲突",IF(I110="","待补不适用依据","不适用（非实测）")),IF(J110="阻塞",IF(I110="","待补阻塞原因","阻塞（非实测）"),IF(J110&lt;&gt;"已实测",IF(F110="","待展开路径","未实测"),IF(H110&lt;&gt;"适用","待确认适用性",IF(INDEX(Equipment[登记状态（自动）],MATCH(B110,Equipment[组合编号],0))&lt;&gt;"已登记","待补设备组合",IF(AND(F110&lt;&gt;"",G110&lt;&gt;"",K110&lt;&gt;"",L110&lt;&gt;"",M110&lt;&gt;"",N110&lt;&gt;"",ISNUMBER(O110),O110&gt;0,P110&lt;&gt;""),"记录齐全","待补实测记录")))))))))))</x:f>
        <x:v>待展开路径</x:v>
      </x:c>
    </x:row>
    <x:row r="111" ht="43.5" customHeight="1">
      <x:c r="A111" s="20" t="str">
        <x:v>REC-00102</x:v>
      </x:c>
      <x:c r="B111" s="20" t="str">
        <x:v>P1-B1-01</x:v>
      </x:c>
      <x:c r="C111" s="30" t="str">
        <x:f>IF(B111="","",IF(COUNTIFS(Equipment[组合编号],B111)&lt;&gt;1,"组合编号无效",INDEX(Equipment[PLC组],MATCH(B111,Equipment[组合编号],0))))</x:f>
        <x:v>汇川小型</x:v>
      </x:c>
      <x:c r="D111" s="30" t="str">
        <x:f>IF(B111="","",IF(COUNTIFS(Equipment[组合编号],B111)&lt;&gt;1,"组合编号无效",INDEX(Equipment[驱动品牌],MATCH(B111,Equipment[组合编号],0))))</x:f>
        <x:v>CDHD</x:v>
      </x:c>
      <x:c r="E111" s="20" t="str">
        <x:v>R04</x:v>
      </x:c>
      <x:c r="F111" s="20"/>
      <x:c r="G111" s="20"/>
      <x:c r="H111" s="20" t="str">
        <x:v>待判定</x:v>
      </x:c>
      <x:c r="I111" s="20"/>
      <x:c r="J111" s="20" t="str">
        <x:v>未测试</x:v>
      </x:c>
      <x:c r="K111" s="20"/>
      <x:c r="L111" s="20"/>
      <x:c r="M111" s="20"/>
      <x:c r="N111" s="20"/>
      <x:c r="O111" s="31"/>
      <x:c r="P111" s="20"/>
      <x:c r="Q111" s="20"/>
      <x:c r="R111" s="20" t="str">
        <x:v>待展开</x:v>
      </x:c>
      <x:c r="S111" s="20"/>
      <x:c r="T111" s="31"/>
      <x:c r="U111" s="30" t="str">
        <x:f>IF(A111="","缺记录编号",IF(COUNTIFS(PathRecords[记录编号],A111)&lt;&gt;1,"记录编号重复",IF(OR(B111="",E111=""),"缺组合/功能",IF(COUNTIFS(Equipment[组合编号],B111)&lt;&gt;1,"组合编号无效",IF(COUNTIFS(FunctionMatrix[编号],E111)=0,"功能编号无效",IF(H111="不适用",IF(J111="已实测","适用性冲突",IF(I111="","待补不适用依据","不适用（非实测）")),IF(J111="阻塞",IF(I111="","待补阻塞原因","阻塞（非实测）"),IF(J111&lt;&gt;"已实测",IF(F111="","待展开路径","未实测"),IF(H111&lt;&gt;"适用","待确认适用性",IF(INDEX(Equipment[登记状态（自动）],MATCH(B111,Equipment[组合编号],0))&lt;&gt;"已登记","待补设备组合",IF(AND(F111&lt;&gt;"",G111&lt;&gt;"",K111&lt;&gt;"",L111&lt;&gt;"",M111&lt;&gt;"",N111&lt;&gt;"",ISNUMBER(O111),O111&gt;0,P111&lt;&gt;""),"记录齐全","待补实测记录")))))))))))</x:f>
        <x:v>待展开路径</x:v>
      </x:c>
    </x:row>
    <x:row r="112" ht="43.5" customHeight="1">
      <x:c r="A112" s="20" t="str">
        <x:v>REC-00103</x:v>
      </x:c>
      <x:c r="B112" s="20" t="str">
        <x:v>P1-B1-01</x:v>
      </x:c>
      <x:c r="C112" s="30" t="str">
        <x:f>IF(B112="","",IF(COUNTIFS(Equipment[组合编号],B112)&lt;&gt;1,"组合编号无效",INDEX(Equipment[PLC组],MATCH(B112,Equipment[组合编号],0))))</x:f>
        <x:v>汇川小型</x:v>
      </x:c>
      <x:c r="D112" s="30" t="str">
        <x:f>IF(B112="","",IF(COUNTIFS(Equipment[组合编号],B112)&lt;&gt;1,"组合编号无效",INDEX(Equipment[驱动品牌],MATCH(B112,Equipment[组合编号],0))))</x:f>
        <x:v>CDHD</x:v>
      </x:c>
      <x:c r="E112" s="20" t="str">
        <x:v>R05</x:v>
      </x:c>
      <x:c r="F112" s="20"/>
      <x:c r="G112" s="20"/>
      <x:c r="H112" s="20" t="str">
        <x:v>待判定</x:v>
      </x:c>
      <x:c r="I112" s="20"/>
      <x:c r="J112" s="20" t="str">
        <x:v>未测试</x:v>
      </x:c>
      <x:c r="K112" s="20"/>
      <x:c r="L112" s="20"/>
      <x:c r="M112" s="20"/>
      <x:c r="N112" s="20"/>
      <x:c r="O112" s="31"/>
      <x:c r="P112" s="20"/>
      <x:c r="Q112" s="20"/>
      <x:c r="R112" s="20" t="str">
        <x:v>待展开</x:v>
      </x:c>
      <x:c r="S112" s="20"/>
      <x:c r="T112" s="31"/>
      <x:c r="U112" s="30" t="str">
        <x:f>IF(A112="","缺记录编号",IF(COUNTIFS(PathRecords[记录编号],A112)&lt;&gt;1,"记录编号重复",IF(OR(B112="",E112=""),"缺组合/功能",IF(COUNTIFS(Equipment[组合编号],B112)&lt;&gt;1,"组合编号无效",IF(COUNTIFS(FunctionMatrix[编号],E112)=0,"功能编号无效",IF(H112="不适用",IF(J112="已实测","适用性冲突",IF(I112="","待补不适用依据","不适用（非实测）")),IF(J112="阻塞",IF(I112="","待补阻塞原因","阻塞（非实测）"),IF(J112&lt;&gt;"已实测",IF(F112="","待展开路径","未实测"),IF(H112&lt;&gt;"适用","待确认适用性",IF(INDEX(Equipment[登记状态（自动）],MATCH(B112,Equipment[组合编号],0))&lt;&gt;"已登记","待补设备组合",IF(AND(F112&lt;&gt;"",G112&lt;&gt;"",K112&lt;&gt;"",L112&lt;&gt;"",M112&lt;&gt;"",N112&lt;&gt;"",ISNUMBER(O112),O112&gt;0,P112&lt;&gt;""),"记录齐全","待补实测记录")))))))))))</x:f>
        <x:v>待展开路径</x:v>
      </x:c>
    </x:row>
    <x:row r="113" ht="43.5" customHeight="1">
      <x:c r="A113" s="20" t="str">
        <x:v>REC-00104</x:v>
      </x:c>
      <x:c r="B113" s="20" t="str">
        <x:v>P1-B1-01</x:v>
      </x:c>
      <x:c r="C113" s="30" t="str">
        <x:f>IF(B113="","",IF(COUNTIFS(Equipment[组合编号],B113)&lt;&gt;1,"组合编号无效",INDEX(Equipment[PLC组],MATCH(B113,Equipment[组合编号],0))))</x:f>
        <x:v>汇川小型</x:v>
      </x:c>
      <x:c r="D113" s="30" t="str">
        <x:f>IF(B113="","",IF(COUNTIFS(Equipment[组合编号],B113)&lt;&gt;1,"组合编号无效",INDEX(Equipment[驱动品牌],MATCH(B113,Equipment[组合编号],0))))</x:f>
        <x:v>CDHD</x:v>
      </x:c>
      <x:c r="E113" s="20" t="str">
        <x:v>R06</x:v>
      </x:c>
      <x:c r="F113" s="20"/>
      <x:c r="G113" s="20"/>
      <x:c r="H113" s="20" t="str">
        <x:v>待判定</x:v>
      </x:c>
      <x:c r="I113" s="20"/>
      <x:c r="J113" s="20" t="str">
        <x:v>未测试</x:v>
      </x:c>
      <x:c r="K113" s="20"/>
      <x:c r="L113" s="20"/>
      <x:c r="M113" s="20"/>
      <x:c r="N113" s="20"/>
      <x:c r="O113" s="31"/>
      <x:c r="P113" s="20"/>
      <x:c r="Q113" s="20"/>
      <x:c r="R113" s="20" t="str">
        <x:v>待展开</x:v>
      </x:c>
      <x:c r="S113" s="20"/>
      <x:c r="T113" s="31"/>
      <x:c r="U113" s="30" t="str">
        <x:f>IF(A113="","缺记录编号",IF(COUNTIFS(PathRecords[记录编号],A113)&lt;&gt;1,"记录编号重复",IF(OR(B113="",E113=""),"缺组合/功能",IF(COUNTIFS(Equipment[组合编号],B113)&lt;&gt;1,"组合编号无效",IF(COUNTIFS(FunctionMatrix[编号],E113)=0,"功能编号无效",IF(H113="不适用",IF(J113="已实测","适用性冲突",IF(I113="","待补不适用依据","不适用（非实测）")),IF(J113="阻塞",IF(I113="","待补阻塞原因","阻塞（非实测）"),IF(J113&lt;&gt;"已实测",IF(F113="","待展开路径","未实测"),IF(H113&lt;&gt;"适用","待确认适用性",IF(INDEX(Equipment[登记状态（自动）],MATCH(B113,Equipment[组合编号],0))&lt;&gt;"已登记","待补设备组合",IF(AND(F113&lt;&gt;"",G113&lt;&gt;"",K113&lt;&gt;"",L113&lt;&gt;"",M113&lt;&gt;"",N113&lt;&gt;"",ISNUMBER(O113),O113&gt;0,P113&lt;&gt;""),"记录齐全","待补实测记录")))))))))))</x:f>
        <x:v>待展开路径</x:v>
      </x:c>
    </x:row>
    <x:row r="114" ht="43.5" customHeight="1">
      <x:c r="A114" s="20" t="str">
        <x:v>REC-00105</x:v>
      </x:c>
      <x:c r="B114" s="20" t="str">
        <x:v>P1-B1-01</x:v>
      </x:c>
      <x:c r="C114" s="30" t="str">
        <x:f>IF(B114="","",IF(COUNTIFS(Equipment[组合编号],B114)&lt;&gt;1,"组合编号无效",INDEX(Equipment[PLC组],MATCH(B114,Equipment[组合编号],0))))</x:f>
        <x:v>汇川小型</x:v>
      </x:c>
      <x:c r="D114" s="30" t="str">
        <x:f>IF(B114="","",IF(COUNTIFS(Equipment[组合编号],B114)&lt;&gt;1,"组合编号无效",INDEX(Equipment[驱动品牌],MATCH(B114,Equipment[组合编号],0))))</x:f>
        <x:v>CDHD</x:v>
      </x:c>
      <x:c r="E114" s="20" t="str">
        <x:v>R07</x:v>
      </x:c>
      <x:c r="F114" s="20"/>
      <x:c r="G114" s="20"/>
      <x:c r="H114" s="20" t="str">
        <x:v>待判定</x:v>
      </x:c>
      <x:c r="I114" s="20"/>
      <x:c r="J114" s="20" t="str">
        <x:v>未测试</x:v>
      </x:c>
      <x:c r="K114" s="20"/>
      <x:c r="L114" s="20"/>
      <x:c r="M114" s="20"/>
      <x:c r="N114" s="20"/>
      <x:c r="O114" s="31"/>
      <x:c r="P114" s="20"/>
      <x:c r="Q114" s="20"/>
      <x:c r="R114" s="20" t="str">
        <x:v>待展开</x:v>
      </x:c>
      <x:c r="S114" s="20"/>
      <x:c r="T114" s="31"/>
      <x:c r="U114" s="30" t="str">
        <x:f>IF(A114="","缺记录编号",IF(COUNTIFS(PathRecords[记录编号],A114)&lt;&gt;1,"记录编号重复",IF(OR(B114="",E114=""),"缺组合/功能",IF(COUNTIFS(Equipment[组合编号],B114)&lt;&gt;1,"组合编号无效",IF(COUNTIFS(FunctionMatrix[编号],E114)=0,"功能编号无效",IF(H114="不适用",IF(J114="已实测","适用性冲突",IF(I114="","待补不适用依据","不适用（非实测）")),IF(J114="阻塞",IF(I114="","待补阻塞原因","阻塞（非实测）"),IF(J114&lt;&gt;"已实测",IF(F114="","待展开路径","未实测"),IF(H114&lt;&gt;"适用","待确认适用性",IF(INDEX(Equipment[登记状态（自动）],MATCH(B114,Equipment[组合编号],0))&lt;&gt;"已登记","待补设备组合",IF(AND(F114&lt;&gt;"",G114&lt;&gt;"",K114&lt;&gt;"",L114&lt;&gt;"",M114&lt;&gt;"",N114&lt;&gt;"",ISNUMBER(O114),O114&gt;0,P114&lt;&gt;""),"记录齐全","待补实测记录")))))))))))</x:f>
        <x:v>待展开路径</x:v>
      </x:c>
    </x:row>
    <x:row r="115" ht="43.5" customHeight="1">
      <x:c r="A115" s="20" t="str">
        <x:v>REC-00106</x:v>
      </x:c>
      <x:c r="B115" s="20" t="str">
        <x:v>P1-B1-01</x:v>
      </x:c>
      <x:c r="C115" s="30" t="str">
        <x:f>IF(B115="","",IF(COUNTIFS(Equipment[组合编号],B115)&lt;&gt;1,"组合编号无效",INDEX(Equipment[PLC组],MATCH(B115,Equipment[组合编号],0))))</x:f>
        <x:v>汇川小型</x:v>
      </x:c>
      <x:c r="D115" s="30" t="str">
        <x:f>IF(B115="","",IF(COUNTIFS(Equipment[组合编号],B115)&lt;&gt;1,"组合编号无效",INDEX(Equipment[驱动品牌],MATCH(B115,Equipment[组合编号],0))))</x:f>
        <x:v>CDHD</x:v>
      </x:c>
      <x:c r="E115" s="20" t="str">
        <x:v>R08</x:v>
      </x:c>
      <x:c r="F115" s="20"/>
      <x:c r="G115" s="20"/>
      <x:c r="H115" s="20" t="str">
        <x:v>待判定</x:v>
      </x:c>
      <x:c r="I115" s="20"/>
      <x:c r="J115" s="20" t="str">
        <x:v>未测试</x:v>
      </x:c>
      <x:c r="K115" s="20"/>
      <x:c r="L115" s="20"/>
      <x:c r="M115" s="20"/>
      <x:c r="N115" s="20"/>
      <x:c r="O115" s="31"/>
      <x:c r="P115" s="20"/>
      <x:c r="Q115" s="20"/>
      <x:c r="R115" s="20" t="str">
        <x:v>待展开</x:v>
      </x:c>
      <x:c r="S115" s="20"/>
      <x:c r="T115" s="31"/>
      <x:c r="U115" s="30" t="str">
        <x:f>IF(A115="","缺记录编号",IF(COUNTIFS(PathRecords[记录编号],A115)&lt;&gt;1,"记录编号重复",IF(OR(B115="",E115=""),"缺组合/功能",IF(COUNTIFS(Equipment[组合编号],B115)&lt;&gt;1,"组合编号无效",IF(COUNTIFS(FunctionMatrix[编号],E115)=0,"功能编号无效",IF(H115="不适用",IF(J115="已实测","适用性冲突",IF(I115="","待补不适用依据","不适用（非实测）")),IF(J115="阻塞",IF(I115="","待补阻塞原因","阻塞（非实测）"),IF(J115&lt;&gt;"已实测",IF(F115="","待展开路径","未实测"),IF(H115&lt;&gt;"适用","待确认适用性",IF(INDEX(Equipment[登记状态（自动）],MATCH(B115,Equipment[组合编号],0))&lt;&gt;"已登记","待补设备组合",IF(AND(F115&lt;&gt;"",G115&lt;&gt;"",K115&lt;&gt;"",L115&lt;&gt;"",M115&lt;&gt;"",N115&lt;&gt;"",ISNUMBER(O115),O115&gt;0,P115&lt;&gt;""),"记录齐全","待补实测记录")))))))))))</x:f>
        <x:v>待展开路径</x:v>
      </x:c>
    </x:row>
    <x:row r="116" ht="43.5" customHeight="1">
      <x:c r="A116" s="20" t="str">
        <x:v>REC-00107</x:v>
      </x:c>
      <x:c r="B116" s="20" t="str">
        <x:v>P1-B2-01</x:v>
      </x:c>
      <x:c r="C116" s="30" t="str">
        <x:f>IF(B116="","",IF(COUNTIFS(Equipment[组合编号],B116)&lt;&gt;1,"组合编号无效",INDEX(Equipment[PLC组],MATCH(B116,Equipment[组合编号],0))))</x:f>
        <x:v>汇川小型</x:v>
      </x:c>
      <x:c r="D116" s="30" t="str">
        <x:f>IF(B116="","",IF(COUNTIFS(Equipment[组合编号],B116)&lt;&gt;1,"组合编号无效",INDEX(Equipment[驱动品牌],MATCH(B116,Equipment[组合编号],0))))</x:f>
        <x:v>台达</x:v>
      </x:c>
      <x:c r="E116" s="20" t="str">
        <x:v>M01</x:v>
      </x:c>
      <x:c r="F116" s="20"/>
      <x:c r="G116" s="20"/>
      <x:c r="H116" s="20" t="str">
        <x:v>待判定</x:v>
      </x:c>
      <x:c r="I116" s="20"/>
      <x:c r="J116" s="20" t="str">
        <x:v>未测试</x:v>
      </x:c>
      <x:c r="K116" s="20"/>
      <x:c r="L116" s="20"/>
      <x:c r="M116" s="20"/>
      <x:c r="N116" s="20"/>
      <x:c r="O116" s="31"/>
      <x:c r="P116" s="20"/>
      <x:c r="Q116" s="20"/>
      <x:c r="R116" s="20" t="str">
        <x:v>待展开</x:v>
      </x:c>
      <x:c r="S116" s="20"/>
      <x:c r="T116" s="31"/>
      <x:c r="U116" s="30" t="str">
        <x:f>IF(A116="","缺记录编号",IF(COUNTIFS(PathRecords[记录编号],A116)&lt;&gt;1,"记录编号重复",IF(OR(B116="",E116=""),"缺组合/功能",IF(COUNTIFS(Equipment[组合编号],B116)&lt;&gt;1,"组合编号无效",IF(COUNTIFS(FunctionMatrix[编号],E116)=0,"功能编号无效",IF(H116="不适用",IF(J116="已实测","适用性冲突",IF(I116="","待补不适用依据","不适用（非实测）")),IF(J116="阻塞",IF(I116="","待补阻塞原因","阻塞（非实测）"),IF(J116&lt;&gt;"已实测",IF(F116="","待展开路径","未实测"),IF(H116&lt;&gt;"适用","待确认适用性",IF(INDEX(Equipment[登记状态（自动）],MATCH(B116,Equipment[组合编号],0))&lt;&gt;"已登记","待补设备组合",IF(AND(F116&lt;&gt;"",G116&lt;&gt;"",K116&lt;&gt;"",L116&lt;&gt;"",M116&lt;&gt;"",N116&lt;&gt;"",ISNUMBER(O116),O116&gt;0,P116&lt;&gt;""),"记录齐全","待补实测记录")))))))))))</x:f>
        <x:v>待展开路径</x:v>
      </x:c>
    </x:row>
    <x:row r="117" ht="43.5" customHeight="1">
      <x:c r="A117" s="20" t="str">
        <x:v>REC-00108</x:v>
      </x:c>
      <x:c r="B117" s="20" t="str">
        <x:v>P1-B2-01</x:v>
      </x:c>
      <x:c r="C117" s="30" t="str">
        <x:f>IF(B117="","",IF(COUNTIFS(Equipment[组合编号],B117)&lt;&gt;1,"组合编号无效",INDEX(Equipment[PLC组],MATCH(B117,Equipment[组合编号],0))))</x:f>
        <x:v>汇川小型</x:v>
      </x:c>
      <x:c r="D117" s="30" t="str">
        <x:f>IF(B117="","",IF(COUNTIFS(Equipment[组合编号],B117)&lt;&gt;1,"组合编号无效",INDEX(Equipment[驱动品牌],MATCH(B117,Equipment[组合编号],0))))</x:f>
        <x:v>台达</x:v>
      </x:c>
      <x:c r="E117" s="20" t="str">
        <x:v>M02</x:v>
      </x:c>
      <x:c r="F117" s="20"/>
      <x:c r="G117" s="20"/>
      <x:c r="H117" s="20" t="str">
        <x:v>待判定</x:v>
      </x:c>
      <x:c r="I117" s="20"/>
      <x:c r="J117" s="20" t="str">
        <x:v>未测试</x:v>
      </x:c>
      <x:c r="K117" s="20"/>
      <x:c r="L117" s="20"/>
      <x:c r="M117" s="20"/>
      <x:c r="N117" s="20"/>
      <x:c r="O117" s="31"/>
      <x:c r="P117" s="20"/>
      <x:c r="Q117" s="20"/>
      <x:c r="R117" s="20" t="str">
        <x:v>待展开</x:v>
      </x:c>
      <x:c r="S117" s="20"/>
      <x:c r="T117" s="31"/>
      <x:c r="U117" s="30" t="str">
        <x:f>IF(A117="","缺记录编号",IF(COUNTIFS(PathRecords[记录编号],A117)&lt;&gt;1,"记录编号重复",IF(OR(B117="",E117=""),"缺组合/功能",IF(COUNTIFS(Equipment[组合编号],B117)&lt;&gt;1,"组合编号无效",IF(COUNTIFS(FunctionMatrix[编号],E117)=0,"功能编号无效",IF(H117="不适用",IF(J117="已实测","适用性冲突",IF(I117="","待补不适用依据","不适用（非实测）")),IF(J117="阻塞",IF(I117="","待补阻塞原因","阻塞（非实测）"),IF(J117&lt;&gt;"已实测",IF(F117="","待展开路径","未实测"),IF(H117&lt;&gt;"适用","待确认适用性",IF(INDEX(Equipment[登记状态（自动）],MATCH(B117,Equipment[组合编号],0))&lt;&gt;"已登记","待补设备组合",IF(AND(F117&lt;&gt;"",G117&lt;&gt;"",K117&lt;&gt;"",L117&lt;&gt;"",M117&lt;&gt;"",N117&lt;&gt;"",ISNUMBER(O117),O117&gt;0,P117&lt;&gt;""),"记录齐全","待补实测记录")))))))))))</x:f>
        <x:v>待展开路径</x:v>
      </x:c>
    </x:row>
    <x:row r="118" ht="43.5" customHeight="1">
      <x:c r="A118" s="20" t="str">
        <x:v>REC-00109</x:v>
      </x:c>
      <x:c r="B118" s="20" t="str">
        <x:v>P1-B2-01</x:v>
      </x:c>
      <x:c r="C118" s="30" t="str">
        <x:f>IF(B118="","",IF(COUNTIFS(Equipment[组合编号],B118)&lt;&gt;1,"组合编号无效",INDEX(Equipment[PLC组],MATCH(B118,Equipment[组合编号],0))))</x:f>
        <x:v>汇川小型</x:v>
      </x:c>
      <x:c r="D118" s="30" t="str">
        <x:f>IF(B118="","",IF(COUNTIFS(Equipment[组合编号],B118)&lt;&gt;1,"组合编号无效",INDEX(Equipment[驱动品牌],MATCH(B118,Equipment[组合编号],0))))</x:f>
        <x:v>台达</x:v>
      </x:c>
      <x:c r="E118" s="20" t="str">
        <x:v>M03</x:v>
      </x:c>
      <x:c r="F118" s="20"/>
      <x:c r="G118" s="20"/>
      <x:c r="H118" s="20" t="str">
        <x:v>待判定</x:v>
      </x:c>
      <x:c r="I118" s="20"/>
      <x:c r="J118" s="20" t="str">
        <x:v>未测试</x:v>
      </x:c>
      <x:c r="K118" s="20"/>
      <x:c r="L118" s="20"/>
      <x:c r="M118" s="20"/>
      <x:c r="N118" s="20"/>
      <x:c r="O118" s="31"/>
      <x:c r="P118" s="20"/>
      <x:c r="Q118" s="20"/>
      <x:c r="R118" s="20" t="str">
        <x:v>待展开</x:v>
      </x:c>
      <x:c r="S118" s="20"/>
      <x:c r="T118" s="31"/>
      <x:c r="U118" s="30" t="str">
        <x:f>IF(A118="","缺记录编号",IF(COUNTIFS(PathRecords[记录编号],A118)&lt;&gt;1,"记录编号重复",IF(OR(B118="",E118=""),"缺组合/功能",IF(COUNTIFS(Equipment[组合编号],B118)&lt;&gt;1,"组合编号无效",IF(COUNTIFS(FunctionMatrix[编号],E118)=0,"功能编号无效",IF(H118="不适用",IF(J118="已实测","适用性冲突",IF(I118="","待补不适用依据","不适用（非实测）")),IF(J118="阻塞",IF(I118="","待补阻塞原因","阻塞（非实测）"),IF(J118&lt;&gt;"已实测",IF(F118="","待展开路径","未实测"),IF(H118&lt;&gt;"适用","待确认适用性",IF(INDEX(Equipment[登记状态（自动）],MATCH(B118,Equipment[组合编号],0))&lt;&gt;"已登记","待补设备组合",IF(AND(F118&lt;&gt;"",G118&lt;&gt;"",K118&lt;&gt;"",L118&lt;&gt;"",M118&lt;&gt;"",N118&lt;&gt;"",ISNUMBER(O118),O118&gt;0,P118&lt;&gt;""),"记录齐全","待补实测记录")))))))))))</x:f>
        <x:v>待展开路径</x:v>
      </x:c>
    </x:row>
    <x:row r="119" ht="43.5" customHeight="1">
      <x:c r="A119" s="20" t="str">
        <x:v>REC-00110</x:v>
      </x:c>
      <x:c r="B119" s="20" t="str">
        <x:v>P1-B2-01</x:v>
      </x:c>
      <x:c r="C119" s="30" t="str">
        <x:f>IF(B119="","",IF(COUNTIFS(Equipment[组合编号],B119)&lt;&gt;1,"组合编号无效",INDEX(Equipment[PLC组],MATCH(B119,Equipment[组合编号],0))))</x:f>
        <x:v>汇川小型</x:v>
      </x:c>
      <x:c r="D119" s="30" t="str">
        <x:f>IF(B119="","",IF(COUNTIFS(Equipment[组合编号],B119)&lt;&gt;1,"组合编号无效",INDEX(Equipment[驱动品牌],MATCH(B119,Equipment[组合编号],0))))</x:f>
        <x:v>台达</x:v>
      </x:c>
      <x:c r="E119" s="20" t="str">
        <x:v>M04</x:v>
      </x:c>
      <x:c r="F119" s="20"/>
      <x:c r="G119" s="20"/>
      <x:c r="H119" s="20" t="str">
        <x:v>待判定</x:v>
      </x:c>
      <x:c r="I119" s="20"/>
      <x:c r="J119" s="20" t="str">
        <x:v>未测试</x:v>
      </x:c>
      <x:c r="K119" s="20"/>
      <x:c r="L119" s="20"/>
      <x:c r="M119" s="20"/>
      <x:c r="N119" s="20"/>
      <x:c r="O119" s="31"/>
      <x:c r="P119" s="20"/>
      <x:c r="Q119" s="20"/>
      <x:c r="R119" s="20" t="str">
        <x:v>待展开</x:v>
      </x:c>
      <x:c r="S119" s="20"/>
      <x:c r="T119" s="31"/>
      <x:c r="U119" s="30" t="str">
        <x:f>IF(A119="","缺记录编号",IF(COUNTIFS(PathRecords[记录编号],A119)&lt;&gt;1,"记录编号重复",IF(OR(B119="",E119=""),"缺组合/功能",IF(COUNTIFS(Equipment[组合编号],B119)&lt;&gt;1,"组合编号无效",IF(COUNTIFS(FunctionMatrix[编号],E119)=0,"功能编号无效",IF(H119="不适用",IF(J119="已实测","适用性冲突",IF(I119="","待补不适用依据","不适用（非实测）")),IF(J119="阻塞",IF(I119="","待补阻塞原因","阻塞（非实测）"),IF(J119&lt;&gt;"已实测",IF(F119="","待展开路径","未实测"),IF(H119&lt;&gt;"适用","待确认适用性",IF(INDEX(Equipment[登记状态（自动）],MATCH(B119,Equipment[组合编号],0))&lt;&gt;"已登记","待补设备组合",IF(AND(F119&lt;&gt;"",G119&lt;&gt;"",K119&lt;&gt;"",L119&lt;&gt;"",M119&lt;&gt;"",N119&lt;&gt;"",ISNUMBER(O119),O119&gt;0,P119&lt;&gt;""),"记录齐全","待补实测记录")))))))))))</x:f>
        <x:v>待展开路径</x:v>
      </x:c>
    </x:row>
    <x:row r="120" ht="43.5" customHeight="1">
      <x:c r="A120" s="20" t="str">
        <x:v>REC-00111</x:v>
      </x:c>
      <x:c r="B120" s="20" t="str">
        <x:v>P1-B2-01</x:v>
      </x:c>
      <x:c r="C120" s="30" t="str">
        <x:f>IF(B120="","",IF(COUNTIFS(Equipment[组合编号],B120)&lt;&gt;1,"组合编号无效",INDEX(Equipment[PLC组],MATCH(B120,Equipment[组合编号],0))))</x:f>
        <x:v>汇川小型</x:v>
      </x:c>
      <x:c r="D120" s="30" t="str">
        <x:f>IF(B120="","",IF(COUNTIFS(Equipment[组合编号],B120)&lt;&gt;1,"组合编号无效",INDEX(Equipment[驱动品牌],MATCH(B120,Equipment[组合编号],0))))</x:f>
        <x:v>台达</x:v>
      </x:c>
      <x:c r="E120" s="20" t="str">
        <x:v>M05</x:v>
      </x:c>
      <x:c r="F120" s="20"/>
      <x:c r="G120" s="20"/>
      <x:c r="H120" s="20" t="str">
        <x:v>待判定</x:v>
      </x:c>
      <x:c r="I120" s="20"/>
      <x:c r="J120" s="20" t="str">
        <x:v>未测试</x:v>
      </x:c>
      <x:c r="K120" s="20"/>
      <x:c r="L120" s="20"/>
      <x:c r="M120" s="20"/>
      <x:c r="N120" s="20"/>
      <x:c r="O120" s="31"/>
      <x:c r="P120" s="20"/>
      <x:c r="Q120" s="20"/>
      <x:c r="R120" s="20" t="str">
        <x:v>待展开</x:v>
      </x:c>
      <x:c r="S120" s="20"/>
      <x:c r="T120" s="31"/>
      <x:c r="U120" s="30" t="str">
        <x:f>IF(A120="","缺记录编号",IF(COUNTIFS(PathRecords[记录编号],A120)&lt;&gt;1,"记录编号重复",IF(OR(B120="",E120=""),"缺组合/功能",IF(COUNTIFS(Equipment[组合编号],B120)&lt;&gt;1,"组合编号无效",IF(COUNTIFS(FunctionMatrix[编号],E120)=0,"功能编号无效",IF(H120="不适用",IF(J120="已实测","适用性冲突",IF(I120="","待补不适用依据","不适用（非实测）")),IF(J120="阻塞",IF(I120="","待补阻塞原因","阻塞（非实测）"),IF(J120&lt;&gt;"已实测",IF(F120="","待展开路径","未实测"),IF(H120&lt;&gt;"适用","待确认适用性",IF(INDEX(Equipment[登记状态（自动）],MATCH(B120,Equipment[组合编号],0))&lt;&gt;"已登记","待补设备组合",IF(AND(F120&lt;&gt;"",G120&lt;&gt;"",K120&lt;&gt;"",L120&lt;&gt;"",M120&lt;&gt;"",N120&lt;&gt;"",ISNUMBER(O120),O120&gt;0,P120&lt;&gt;""),"记录齐全","待补实测记录")))))))))))</x:f>
        <x:v>待展开路径</x:v>
      </x:c>
    </x:row>
    <x:row r="121" ht="43.5" customHeight="1">
      <x:c r="A121" s="20" t="str">
        <x:v>REC-00112</x:v>
      </x:c>
      <x:c r="B121" s="20" t="str">
        <x:v>P1-B2-01</x:v>
      </x:c>
      <x:c r="C121" s="30" t="str">
        <x:f>IF(B121="","",IF(COUNTIFS(Equipment[组合编号],B121)&lt;&gt;1,"组合编号无效",INDEX(Equipment[PLC组],MATCH(B121,Equipment[组合编号],0))))</x:f>
        <x:v>汇川小型</x:v>
      </x:c>
      <x:c r="D121" s="30" t="str">
        <x:f>IF(B121="","",IF(COUNTIFS(Equipment[组合编号],B121)&lt;&gt;1,"组合编号无效",INDEX(Equipment[驱动品牌],MATCH(B121,Equipment[组合编号],0))))</x:f>
        <x:v>台达</x:v>
      </x:c>
      <x:c r="E121" s="20" t="str">
        <x:v>M06</x:v>
      </x:c>
      <x:c r="F121" s="20"/>
      <x:c r="G121" s="20"/>
      <x:c r="H121" s="20" t="str">
        <x:v>待判定</x:v>
      </x:c>
      <x:c r="I121" s="20"/>
      <x:c r="J121" s="20" t="str">
        <x:v>未测试</x:v>
      </x:c>
      <x:c r="K121" s="20"/>
      <x:c r="L121" s="20"/>
      <x:c r="M121" s="20"/>
      <x:c r="N121" s="20"/>
      <x:c r="O121" s="31"/>
      <x:c r="P121" s="20"/>
      <x:c r="Q121" s="20"/>
      <x:c r="R121" s="20" t="str">
        <x:v>待展开</x:v>
      </x:c>
      <x:c r="S121" s="20"/>
      <x:c r="T121" s="31"/>
      <x:c r="U121" s="30" t="str">
        <x:f>IF(A121="","缺记录编号",IF(COUNTIFS(PathRecords[记录编号],A121)&lt;&gt;1,"记录编号重复",IF(OR(B121="",E121=""),"缺组合/功能",IF(COUNTIFS(Equipment[组合编号],B121)&lt;&gt;1,"组合编号无效",IF(COUNTIFS(FunctionMatrix[编号],E121)=0,"功能编号无效",IF(H121="不适用",IF(J121="已实测","适用性冲突",IF(I121="","待补不适用依据","不适用（非实测）")),IF(J121="阻塞",IF(I121="","待补阻塞原因","阻塞（非实测）"),IF(J121&lt;&gt;"已实测",IF(F121="","待展开路径","未实测"),IF(H121&lt;&gt;"适用","待确认适用性",IF(INDEX(Equipment[登记状态（自动）],MATCH(B121,Equipment[组合编号],0))&lt;&gt;"已登记","待补设备组合",IF(AND(F121&lt;&gt;"",G121&lt;&gt;"",K121&lt;&gt;"",L121&lt;&gt;"",M121&lt;&gt;"",N121&lt;&gt;"",ISNUMBER(O121),O121&gt;0,P121&lt;&gt;""),"记录齐全","待补实测记录")))))))))))</x:f>
        <x:v>待展开路径</x:v>
      </x:c>
    </x:row>
    <x:row r="122" ht="43.5" customHeight="1">
      <x:c r="A122" s="20" t="str">
        <x:v>REC-00113</x:v>
      </x:c>
      <x:c r="B122" s="20" t="str">
        <x:v>P1-B2-01</x:v>
      </x:c>
      <x:c r="C122" s="30" t="str">
        <x:f>IF(B122="","",IF(COUNTIFS(Equipment[组合编号],B122)&lt;&gt;1,"组合编号无效",INDEX(Equipment[PLC组],MATCH(B122,Equipment[组合编号],0))))</x:f>
        <x:v>汇川小型</x:v>
      </x:c>
      <x:c r="D122" s="30" t="str">
        <x:f>IF(B122="","",IF(COUNTIFS(Equipment[组合编号],B122)&lt;&gt;1,"组合编号无效",INDEX(Equipment[驱动品牌],MATCH(B122,Equipment[组合编号],0))))</x:f>
        <x:v>台达</x:v>
      </x:c>
      <x:c r="E122" s="20" t="str">
        <x:v>M07</x:v>
      </x:c>
      <x:c r="F122" s="20"/>
      <x:c r="G122" s="20"/>
      <x:c r="H122" s="20" t="str">
        <x:v>待判定</x:v>
      </x:c>
      <x:c r="I122" s="20"/>
      <x:c r="J122" s="20" t="str">
        <x:v>未测试</x:v>
      </x:c>
      <x:c r="K122" s="20"/>
      <x:c r="L122" s="20"/>
      <x:c r="M122" s="20"/>
      <x:c r="N122" s="20"/>
      <x:c r="O122" s="31"/>
      <x:c r="P122" s="20"/>
      <x:c r="Q122" s="20"/>
      <x:c r="R122" s="20" t="str">
        <x:v>待展开</x:v>
      </x:c>
      <x:c r="S122" s="20"/>
      <x:c r="T122" s="31"/>
      <x:c r="U122" s="30" t="str">
        <x:f>IF(A122="","缺记录编号",IF(COUNTIFS(PathRecords[记录编号],A122)&lt;&gt;1,"记录编号重复",IF(OR(B122="",E122=""),"缺组合/功能",IF(COUNTIFS(Equipment[组合编号],B122)&lt;&gt;1,"组合编号无效",IF(COUNTIFS(FunctionMatrix[编号],E122)=0,"功能编号无效",IF(H122="不适用",IF(J122="已实测","适用性冲突",IF(I122="","待补不适用依据","不适用（非实测）")),IF(J122="阻塞",IF(I122="","待补阻塞原因","阻塞（非实测）"),IF(J122&lt;&gt;"已实测",IF(F122="","待展开路径","未实测"),IF(H122&lt;&gt;"适用","待确认适用性",IF(INDEX(Equipment[登记状态（自动）],MATCH(B122,Equipment[组合编号],0))&lt;&gt;"已登记","待补设备组合",IF(AND(F122&lt;&gt;"",G122&lt;&gt;"",K122&lt;&gt;"",L122&lt;&gt;"",M122&lt;&gt;"",N122&lt;&gt;"",ISNUMBER(O122),O122&gt;0,P122&lt;&gt;""),"记录齐全","待补实测记录")))))))))))</x:f>
        <x:v>待展开路径</x:v>
      </x:c>
    </x:row>
    <x:row r="123" ht="43.5" customHeight="1">
      <x:c r="A123" s="20" t="str">
        <x:v>REC-00114</x:v>
      </x:c>
      <x:c r="B123" s="20" t="str">
        <x:v>P1-B2-01</x:v>
      </x:c>
      <x:c r="C123" s="30" t="str">
        <x:f>IF(B123="","",IF(COUNTIFS(Equipment[组合编号],B123)&lt;&gt;1,"组合编号无效",INDEX(Equipment[PLC组],MATCH(B123,Equipment[组合编号],0))))</x:f>
        <x:v>汇川小型</x:v>
      </x:c>
      <x:c r="D123" s="30" t="str">
        <x:f>IF(B123="","",IF(COUNTIFS(Equipment[组合编号],B123)&lt;&gt;1,"组合编号无效",INDEX(Equipment[驱动品牌],MATCH(B123,Equipment[组合编号],0))))</x:f>
        <x:v>台达</x:v>
      </x:c>
      <x:c r="E123" s="20" t="str">
        <x:v>M09</x:v>
      </x:c>
      <x:c r="F123" s="20"/>
      <x:c r="G123" s="20"/>
      <x:c r="H123" s="20" t="str">
        <x:v>待判定</x:v>
      </x:c>
      <x:c r="I123" s="20"/>
      <x:c r="J123" s="20" t="str">
        <x:v>未测试</x:v>
      </x:c>
      <x:c r="K123" s="20"/>
      <x:c r="L123" s="20"/>
      <x:c r="M123" s="20"/>
      <x:c r="N123" s="20"/>
      <x:c r="O123" s="31"/>
      <x:c r="P123" s="20"/>
      <x:c r="Q123" s="20"/>
      <x:c r="R123" s="20" t="str">
        <x:v>待展开</x:v>
      </x:c>
      <x:c r="S123" s="20"/>
      <x:c r="T123" s="31"/>
      <x:c r="U123" s="30" t="str">
        <x:f>IF(A123="","缺记录编号",IF(COUNTIFS(PathRecords[记录编号],A123)&lt;&gt;1,"记录编号重复",IF(OR(B123="",E123=""),"缺组合/功能",IF(COUNTIFS(Equipment[组合编号],B123)&lt;&gt;1,"组合编号无效",IF(COUNTIFS(FunctionMatrix[编号],E123)=0,"功能编号无效",IF(H123="不适用",IF(J123="已实测","适用性冲突",IF(I123="","待补不适用依据","不适用（非实测）")),IF(J123="阻塞",IF(I123="","待补阻塞原因","阻塞（非实测）"),IF(J123&lt;&gt;"已实测",IF(F123="","待展开路径","未实测"),IF(H123&lt;&gt;"适用","待确认适用性",IF(INDEX(Equipment[登记状态（自动）],MATCH(B123,Equipment[组合编号],0))&lt;&gt;"已登记","待补设备组合",IF(AND(F123&lt;&gt;"",G123&lt;&gt;"",K123&lt;&gt;"",L123&lt;&gt;"",M123&lt;&gt;"",N123&lt;&gt;"",ISNUMBER(O123),O123&gt;0,P123&lt;&gt;""),"记录齐全","待补实测记录")))))))))))</x:f>
        <x:v>待展开路径</x:v>
      </x:c>
    </x:row>
    <x:row r="124" ht="43.5" customHeight="1">
      <x:c r="A124" s="20" t="str">
        <x:v>REC-00115</x:v>
      </x:c>
      <x:c r="B124" s="20" t="str">
        <x:v>P1-B2-01</x:v>
      </x:c>
      <x:c r="C124" s="30" t="str">
        <x:f>IF(B124="","",IF(COUNTIFS(Equipment[组合编号],B124)&lt;&gt;1,"组合编号无效",INDEX(Equipment[PLC组],MATCH(B124,Equipment[组合编号],0))))</x:f>
        <x:v>汇川小型</x:v>
      </x:c>
      <x:c r="D124" s="30" t="str">
        <x:f>IF(B124="","",IF(COUNTIFS(Equipment[组合编号],B124)&lt;&gt;1,"组合编号无效",INDEX(Equipment[驱动品牌],MATCH(B124,Equipment[组合编号],0))))</x:f>
        <x:v>台达</x:v>
      </x:c>
      <x:c r="E124" s="20" t="str">
        <x:v>M10</x:v>
      </x:c>
      <x:c r="F124" s="20"/>
      <x:c r="G124" s="20"/>
      <x:c r="H124" s="20" t="str">
        <x:v>待判定</x:v>
      </x:c>
      <x:c r="I124" s="20"/>
      <x:c r="J124" s="20" t="str">
        <x:v>未测试</x:v>
      </x:c>
      <x:c r="K124" s="20"/>
      <x:c r="L124" s="20"/>
      <x:c r="M124" s="20"/>
      <x:c r="N124" s="20"/>
      <x:c r="O124" s="31"/>
      <x:c r="P124" s="20"/>
      <x:c r="Q124" s="20"/>
      <x:c r="R124" s="20" t="str">
        <x:v>待展开</x:v>
      </x:c>
      <x:c r="S124" s="20"/>
      <x:c r="T124" s="31"/>
      <x:c r="U124" s="30" t="str">
        <x:f>IF(A124="","缺记录编号",IF(COUNTIFS(PathRecords[记录编号],A124)&lt;&gt;1,"记录编号重复",IF(OR(B124="",E124=""),"缺组合/功能",IF(COUNTIFS(Equipment[组合编号],B124)&lt;&gt;1,"组合编号无效",IF(COUNTIFS(FunctionMatrix[编号],E124)=0,"功能编号无效",IF(H124="不适用",IF(J124="已实测","适用性冲突",IF(I124="","待补不适用依据","不适用（非实测）")),IF(J124="阻塞",IF(I124="","待补阻塞原因","阻塞（非实测）"),IF(J124&lt;&gt;"已实测",IF(F124="","待展开路径","未实测"),IF(H124&lt;&gt;"适用","待确认适用性",IF(INDEX(Equipment[登记状态（自动）],MATCH(B124,Equipment[组合编号],0))&lt;&gt;"已登记","待补设备组合",IF(AND(F124&lt;&gt;"",G124&lt;&gt;"",K124&lt;&gt;"",L124&lt;&gt;"",M124&lt;&gt;"",N124&lt;&gt;"",ISNUMBER(O124),O124&gt;0,P124&lt;&gt;""),"记录齐全","待补实测记录")))))))))))</x:f>
        <x:v>待展开路径</x:v>
      </x:c>
    </x:row>
    <x:row r="125" ht="43.5" customHeight="1">
      <x:c r="A125" s="20" t="str">
        <x:v>REC-00116</x:v>
      </x:c>
      <x:c r="B125" s="20" t="str">
        <x:v>P1-B2-01</x:v>
      </x:c>
      <x:c r="C125" s="30" t="str">
        <x:f>IF(B125="","",IF(COUNTIFS(Equipment[组合编号],B125)&lt;&gt;1,"组合编号无效",INDEX(Equipment[PLC组],MATCH(B125,Equipment[组合编号],0))))</x:f>
        <x:v>汇川小型</x:v>
      </x:c>
      <x:c r="D125" s="30" t="str">
        <x:f>IF(B125="","",IF(COUNTIFS(Equipment[组合编号],B125)&lt;&gt;1,"组合编号无效",INDEX(Equipment[驱动品牌],MATCH(B125,Equipment[组合编号],0))))</x:f>
        <x:v>台达</x:v>
      </x:c>
      <x:c r="E125" s="20" t="str">
        <x:v>D01</x:v>
      </x:c>
      <x:c r="F125" s="20"/>
      <x:c r="G125" s="20"/>
      <x:c r="H125" s="20" t="str">
        <x:v>待判定</x:v>
      </x:c>
      <x:c r="I125" s="20"/>
      <x:c r="J125" s="20" t="str">
        <x:v>未测试</x:v>
      </x:c>
      <x:c r="K125" s="20"/>
      <x:c r="L125" s="20"/>
      <x:c r="M125" s="20"/>
      <x:c r="N125" s="20"/>
      <x:c r="O125" s="31"/>
      <x:c r="P125" s="20"/>
      <x:c r="Q125" s="20"/>
      <x:c r="R125" s="20" t="str">
        <x:v>待展开</x:v>
      </x:c>
      <x:c r="S125" s="20"/>
      <x:c r="T125" s="31"/>
      <x:c r="U125" s="30" t="str">
        <x:f>IF(A125="","缺记录编号",IF(COUNTIFS(PathRecords[记录编号],A125)&lt;&gt;1,"记录编号重复",IF(OR(B125="",E125=""),"缺组合/功能",IF(COUNTIFS(Equipment[组合编号],B125)&lt;&gt;1,"组合编号无效",IF(COUNTIFS(FunctionMatrix[编号],E125)=0,"功能编号无效",IF(H125="不适用",IF(J125="已实测","适用性冲突",IF(I125="","待补不适用依据","不适用（非实测）")),IF(J125="阻塞",IF(I125="","待补阻塞原因","阻塞（非实测）"),IF(J125&lt;&gt;"已实测",IF(F125="","待展开路径","未实测"),IF(H125&lt;&gt;"适用","待确认适用性",IF(INDEX(Equipment[登记状态（自动）],MATCH(B125,Equipment[组合编号],0))&lt;&gt;"已登记","待补设备组合",IF(AND(F125&lt;&gt;"",G125&lt;&gt;"",K125&lt;&gt;"",L125&lt;&gt;"",M125&lt;&gt;"",N125&lt;&gt;"",ISNUMBER(O125),O125&gt;0,P125&lt;&gt;""),"记录齐全","待补实测记录")))))))))))</x:f>
        <x:v>待展开路径</x:v>
      </x:c>
    </x:row>
    <x:row r="126" ht="43.5" customHeight="1">
      <x:c r="A126" s="20" t="str">
        <x:v>REC-00117</x:v>
      </x:c>
      <x:c r="B126" s="20" t="str">
        <x:v>P1-B2-01</x:v>
      </x:c>
      <x:c r="C126" s="30" t="str">
        <x:f>IF(B126="","",IF(COUNTIFS(Equipment[组合编号],B126)&lt;&gt;1,"组合编号无效",INDEX(Equipment[PLC组],MATCH(B126,Equipment[组合编号],0))))</x:f>
        <x:v>汇川小型</x:v>
      </x:c>
      <x:c r="D126" s="30" t="str">
        <x:f>IF(B126="","",IF(COUNTIFS(Equipment[组合编号],B126)&lt;&gt;1,"组合编号无效",INDEX(Equipment[驱动品牌],MATCH(B126,Equipment[组合编号],0))))</x:f>
        <x:v>台达</x:v>
      </x:c>
      <x:c r="E126" s="20" t="str">
        <x:v>D02</x:v>
      </x:c>
      <x:c r="F126" s="20"/>
      <x:c r="G126" s="20"/>
      <x:c r="H126" s="20" t="str">
        <x:v>待判定</x:v>
      </x:c>
      <x:c r="I126" s="20"/>
      <x:c r="J126" s="20" t="str">
        <x:v>未测试</x:v>
      </x:c>
      <x:c r="K126" s="20"/>
      <x:c r="L126" s="20"/>
      <x:c r="M126" s="20"/>
      <x:c r="N126" s="20"/>
      <x:c r="O126" s="31"/>
      <x:c r="P126" s="20"/>
      <x:c r="Q126" s="20"/>
      <x:c r="R126" s="20" t="str">
        <x:v>待展开</x:v>
      </x:c>
      <x:c r="S126" s="20"/>
      <x:c r="T126" s="31"/>
      <x:c r="U126" s="30" t="str">
        <x:f>IF(A126="","缺记录编号",IF(COUNTIFS(PathRecords[记录编号],A126)&lt;&gt;1,"记录编号重复",IF(OR(B126="",E126=""),"缺组合/功能",IF(COUNTIFS(Equipment[组合编号],B126)&lt;&gt;1,"组合编号无效",IF(COUNTIFS(FunctionMatrix[编号],E126)=0,"功能编号无效",IF(H126="不适用",IF(J126="已实测","适用性冲突",IF(I126="","待补不适用依据","不适用（非实测）")),IF(J126="阻塞",IF(I126="","待补阻塞原因","阻塞（非实测）"),IF(J126&lt;&gt;"已实测",IF(F126="","待展开路径","未实测"),IF(H126&lt;&gt;"适用","待确认适用性",IF(INDEX(Equipment[登记状态（自动）],MATCH(B126,Equipment[组合编号],0))&lt;&gt;"已登记","待补设备组合",IF(AND(F126&lt;&gt;"",G126&lt;&gt;"",K126&lt;&gt;"",L126&lt;&gt;"",M126&lt;&gt;"",N126&lt;&gt;"",ISNUMBER(O126),O126&gt;0,P126&lt;&gt;""),"记录齐全","待补实测记录")))))))))))</x:f>
        <x:v>待展开路径</x:v>
      </x:c>
    </x:row>
    <x:row r="127" ht="43.5" customHeight="1">
      <x:c r="A127" s="20" t="str">
        <x:v>REC-00118</x:v>
      </x:c>
      <x:c r="B127" s="20" t="str">
        <x:v>P1-B2-01</x:v>
      </x:c>
      <x:c r="C127" s="30" t="str">
        <x:f>IF(B127="","",IF(COUNTIFS(Equipment[组合编号],B127)&lt;&gt;1,"组合编号无效",INDEX(Equipment[PLC组],MATCH(B127,Equipment[组合编号],0))))</x:f>
        <x:v>汇川小型</x:v>
      </x:c>
      <x:c r="D127" s="30" t="str">
        <x:f>IF(B127="","",IF(COUNTIFS(Equipment[组合编号],B127)&lt;&gt;1,"组合编号无效",INDEX(Equipment[驱动品牌],MATCH(B127,Equipment[组合编号],0))))</x:f>
        <x:v>台达</x:v>
      </x:c>
      <x:c r="E127" s="20" t="str">
        <x:v>D03</x:v>
      </x:c>
      <x:c r="F127" s="20"/>
      <x:c r="G127" s="20"/>
      <x:c r="H127" s="20" t="str">
        <x:v>待判定</x:v>
      </x:c>
      <x:c r="I127" s="20"/>
      <x:c r="J127" s="20" t="str">
        <x:v>未测试</x:v>
      </x:c>
      <x:c r="K127" s="20"/>
      <x:c r="L127" s="20"/>
      <x:c r="M127" s="20"/>
      <x:c r="N127" s="20"/>
      <x:c r="O127" s="31"/>
      <x:c r="P127" s="20"/>
      <x:c r="Q127" s="20"/>
      <x:c r="R127" s="20" t="str">
        <x:v>待展开</x:v>
      </x:c>
      <x:c r="S127" s="20"/>
      <x:c r="T127" s="31"/>
      <x:c r="U127" s="30" t="str">
        <x:f>IF(A127="","缺记录编号",IF(COUNTIFS(PathRecords[记录编号],A127)&lt;&gt;1,"记录编号重复",IF(OR(B127="",E127=""),"缺组合/功能",IF(COUNTIFS(Equipment[组合编号],B127)&lt;&gt;1,"组合编号无效",IF(COUNTIFS(FunctionMatrix[编号],E127)=0,"功能编号无效",IF(H127="不适用",IF(J127="已实测","适用性冲突",IF(I127="","待补不适用依据","不适用（非实测）")),IF(J127="阻塞",IF(I127="","待补阻塞原因","阻塞（非实测）"),IF(J127&lt;&gt;"已实测",IF(F127="","待展开路径","未实测"),IF(H127&lt;&gt;"适用","待确认适用性",IF(INDEX(Equipment[登记状态（自动）],MATCH(B127,Equipment[组合编号],0))&lt;&gt;"已登记","待补设备组合",IF(AND(F127&lt;&gt;"",G127&lt;&gt;"",K127&lt;&gt;"",L127&lt;&gt;"",M127&lt;&gt;"",N127&lt;&gt;"",ISNUMBER(O127),O127&gt;0,P127&lt;&gt;""),"记录齐全","待补实测记录")))))))))))</x:f>
        <x:v>待展开路径</x:v>
      </x:c>
    </x:row>
    <x:row r="128" ht="43.5" customHeight="1">
      <x:c r="A128" s="20" t="str">
        <x:v>REC-00119</x:v>
      </x:c>
      <x:c r="B128" s="20" t="str">
        <x:v>P1-B2-01</x:v>
      </x:c>
      <x:c r="C128" s="30" t="str">
        <x:f>IF(B128="","",IF(COUNTIFS(Equipment[组合编号],B128)&lt;&gt;1,"组合编号无效",INDEX(Equipment[PLC组],MATCH(B128,Equipment[组合编号],0))))</x:f>
        <x:v>汇川小型</x:v>
      </x:c>
      <x:c r="D128" s="30" t="str">
        <x:f>IF(B128="","",IF(COUNTIFS(Equipment[组合编号],B128)&lt;&gt;1,"组合编号无效",INDEX(Equipment[驱动品牌],MATCH(B128,Equipment[组合编号],0))))</x:f>
        <x:v>台达</x:v>
      </x:c>
      <x:c r="E128" s="20" t="str">
        <x:v>D04</x:v>
      </x:c>
      <x:c r="F128" s="20"/>
      <x:c r="G128" s="20"/>
      <x:c r="H128" s="20" t="str">
        <x:v>待判定</x:v>
      </x:c>
      <x:c r="I128" s="20"/>
      <x:c r="J128" s="20" t="str">
        <x:v>未测试</x:v>
      </x:c>
      <x:c r="K128" s="20"/>
      <x:c r="L128" s="20"/>
      <x:c r="M128" s="20"/>
      <x:c r="N128" s="20"/>
      <x:c r="O128" s="31"/>
      <x:c r="P128" s="20"/>
      <x:c r="Q128" s="20"/>
      <x:c r="R128" s="20" t="str">
        <x:v>待展开</x:v>
      </x:c>
      <x:c r="S128" s="20"/>
      <x:c r="T128" s="31"/>
      <x:c r="U128" s="30" t="str">
        <x:f>IF(A128="","缺记录编号",IF(COUNTIFS(PathRecords[记录编号],A128)&lt;&gt;1,"记录编号重复",IF(OR(B128="",E128=""),"缺组合/功能",IF(COUNTIFS(Equipment[组合编号],B128)&lt;&gt;1,"组合编号无效",IF(COUNTIFS(FunctionMatrix[编号],E128)=0,"功能编号无效",IF(H128="不适用",IF(J128="已实测","适用性冲突",IF(I128="","待补不适用依据","不适用（非实测）")),IF(J128="阻塞",IF(I128="","待补阻塞原因","阻塞（非实测）"),IF(J128&lt;&gt;"已实测",IF(F128="","待展开路径","未实测"),IF(H128&lt;&gt;"适用","待确认适用性",IF(INDEX(Equipment[登记状态（自动）],MATCH(B128,Equipment[组合编号],0))&lt;&gt;"已登记","待补设备组合",IF(AND(F128&lt;&gt;"",G128&lt;&gt;"",K128&lt;&gt;"",L128&lt;&gt;"",M128&lt;&gt;"",N128&lt;&gt;"",ISNUMBER(O128),O128&gt;0,P128&lt;&gt;""),"记录齐全","待补实测记录")))))))))))</x:f>
        <x:v>待展开路径</x:v>
      </x:c>
    </x:row>
    <x:row r="129" ht="43.5" customHeight="1">
      <x:c r="A129" s="20" t="str">
        <x:v>REC-00120</x:v>
      </x:c>
      <x:c r="B129" s="20" t="str">
        <x:v>P1-B2-01</x:v>
      </x:c>
      <x:c r="C129" s="30" t="str">
        <x:f>IF(B129="","",IF(COUNTIFS(Equipment[组合编号],B129)&lt;&gt;1,"组合编号无效",INDEX(Equipment[PLC组],MATCH(B129,Equipment[组合编号],0))))</x:f>
        <x:v>汇川小型</x:v>
      </x:c>
      <x:c r="D129" s="30" t="str">
        <x:f>IF(B129="","",IF(COUNTIFS(Equipment[组合编号],B129)&lt;&gt;1,"组合编号无效",INDEX(Equipment[驱动品牌],MATCH(B129,Equipment[组合编号],0))))</x:f>
        <x:v>台达</x:v>
      </x:c>
      <x:c r="E129" s="20" t="str">
        <x:v>D05</x:v>
      </x:c>
      <x:c r="F129" s="20"/>
      <x:c r="G129" s="20"/>
      <x:c r="H129" s="20" t="str">
        <x:v>待判定</x:v>
      </x:c>
      <x:c r="I129" s="20"/>
      <x:c r="J129" s="20" t="str">
        <x:v>未测试</x:v>
      </x:c>
      <x:c r="K129" s="20"/>
      <x:c r="L129" s="20"/>
      <x:c r="M129" s="20"/>
      <x:c r="N129" s="20"/>
      <x:c r="O129" s="31"/>
      <x:c r="P129" s="20"/>
      <x:c r="Q129" s="20"/>
      <x:c r="R129" s="20" t="str">
        <x:v>待展开</x:v>
      </x:c>
      <x:c r="S129" s="20"/>
      <x:c r="T129" s="31"/>
      <x:c r="U129" s="30" t="str">
        <x:f>IF(A129="","缺记录编号",IF(COUNTIFS(PathRecords[记录编号],A129)&lt;&gt;1,"记录编号重复",IF(OR(B129="",E129=""),"缺组合/功能",IF(COUNTIFS(Equipment[组合编号],B129)&lt;&gt;1,"组合编号无效",IF(COUNTIFS(FunctionMatrix[编号],E129)=0,"功能编号无效",IF(H129="不适用",IF(J129="已实测","适用性冲突",IF(I129="","待补不适用依据","不适用（非实测）")),IF(J129="阻塞",IF(I129="","待补阻塞原因","阻塞（非实测）"),IF(J129&lt;&gt;"已实测",IF(F129="","待展开路径","未实测"),IF(H129&lt;&gt;"适用","待确认适用性",IF(INDEX(Equipment[登记状态（自动）],MATCH(B129,Equipment[组合编号],0))&lt;&gt;"已登记","待补设备组合",IF(AND(F129&lt;&gt;"",G129&lt;&gt;"",K129&lt;&gt;"",L129&lt;&gt;"",M129&lt;&gt;"",N129&lt;&gt;"",ISNUMBER(O129),O129&gt;0,P129&lt;&gt;""),"记录齐全","待补实测记录")))))))))))</x:f>
        <x:v>待展开路径</x:v>
      </x:c>
    </x:row>
    <x:row r="130" ht="43.5" customHeight="1">
      <x:c r="A130" s="20" t="str">
        <x:v>REC-00121</x:v>
      </x:c>
      <x:c r="B130" s="20" t="str">
        <x:v>P1-B2-01</x:v>
      </x:c>
      <x:c r="C130" s="30" t="str">
        <x:f>IF(B130="","",IF(COUNTIFS(Equipment[组合编号],B130)&lt;&gt;1,"组合编号无效",INDEX(Equipment[PLC组],MATCH(B130,Equipment[组合编号],0))))</x:f>
        <x:v>汇川小型</x:v>
      </x:c>
      <x:c r="D130" s="30" t="str">
        <x:f>IF(B130="","",IF(COUNTIFS(Equipment[组合编号],B130)&lt;&gt;1,"组合编号无效",INDEX(Equipment[驱动品牌],MATCH(B130,Equipment[组合编号],0))))</x:f>
        <x:v>台达</x:v>
      </x:c>
      <x:c r="E130" s="20" t="str">
        <x:v>D06</x:v>
      </x:c>
      <x:c r="F130" s="20"/>
      <x:c r="G130" s="20"/>
      <x:c r="H130" s="20" t="str">
        <x:v>待判定</x:v>
      </x:c>
      <x:c r="I130" s="20"/>
      <x:c r="J130" s="20" t="str">
        <x:v>未测试</x:v>
      </x:c>
      <x:c r="K130" s="20"/>
      <x:c r="L130" s="20"/>
      <x:c r="M130" s="20"/>
      <x:c r="N130" s="20"/>
      <x:c r="O130" s="31"/>
      <x:c r="P130" s="20"/>
      <x:c r="Q130" s="20"/>
      <x:c r="R130" s="20" t="str">
        <x:v>待展开</x:v>
      </x:c>
      <x:c r="S130" s="20"/>
      <x:c r="T130" s="31"/>
      <x:c r="U130" s="30" t="str">
        <x:f>IF(A130="","缺记录编号",IF(COUNTIFS(PathRecords[记录编号],A130)&lt;&gt;1,"记录编号重复",IF(OR(B130="",E130=""),"缺组合/功能",IF(COUNTIFS(Equipment[组合编号],B130)&lt;&gt;1,"组合编号无效",IF(COUNTIFS(FunctionMatrix[编号],E130)=0,"功能编号无效",IF(H130="不适用",IF(J130="已实测","适用性冲突",IF(I130="","待补不适用依据","不适用（非实测）")),IF(J130="阻塞",IF(I130="","待补阻塞原因","阻塞（非实测）"),IF(J130&lt;&gt;"已实测",IF(F130="","待展开路径","未实测"),IF(H130&lt;&gt;"适用","待确认适用性",IF(INDEX(Equipment[登记状态（自动）],MATCH(B130,Equipment[组合编号],0))&lt;&gt;"已登记","待补设备组合",IF(AND(F130&lt;&gt;"",G130&lt;&gt;"",K130&lt;&gt;"",L130&lt;&gt;"",M130&lt;&gt;"",N130&lt;&gt;"",ISNUMBER(O130),O130&gt;0,P130&lt;&gt;""),"记录齐全","待补实测记录")))))))))))</x:f>
        <x:v>待展开路径</x:v>
      </x:c>
    </x:row>
    <x:row r="131" ht="43.5" customHeight="1">
      <x:c r="A131" s="20" t="str">
        <x:v>REC-00122</x:v>
      </x:c>
      <x:c r="B131" s="20" t="str">
        <x:v>P1-B2-01</x:v>
      </x:c>
      <x:c r="C131" s="30" t="str">
        <x:f>IF(B131="","",IF(COUNTIFS(Equipment[组合编号],B131)&lt;&gt;1,"组合编号无效",INDEX(Equipment[PLC组],MATCH(B131,Equipment[组合编号],0))))</x:f>
        <x:v>汇川小型</x:v>
      </x:c>
      <x:c r="D131" s="30" t="str">
        <x:f>IF(B131="","",IF(COUNTIFS(Equipment[组合编号],B131)&lt;&gt;1,"组合编号无效",INDEX(Equipment[驱动品牌],MATCH(B131,Equipment[组合编号],0))))</x:f>
        <x:v>台达</x:v>
      </x:c>
      <x:c r="E131" s="20" t="str">
        <x:v>D07</x:v>
      </x:c>
      <x:c r="F131" s="20"/>
      <x:c r="G131" s="20"/>
      <x:c r="H131" s="20" t="str">
        <x:v>待判定</x:v>
      </x:c>
      <x:c r="I131" s="20"/>
      <x:c r="J131" s="20" t="str">
        <x:v>未测试</x:v>
      </x:c>
      <x:c r="K131" s="20"/>
      <x:c r="L131" s="20"/>
      <x:c r="M131" s="20"/>
      <x:c r="N131" s="20"/>
      <x:c r="O131" s="31"/>
      <x:c r="P131" s="20"/>
      <x:c r="Q131" s="20"/>
      <x:c r="R131" s="20" t="str">
        <x:v>待展开</x:v>
      </x:c>
      <x:c r="S131" s="20"/>
      <x:c r="T131" s="31"/>
      <x:c r="U131" s="30" t="str">
        <x:f>IF(A131="","缺记录编号",IF(COUNTIFS(PathRecords[记录编号],A131)&lt;&gt;1,"记录编号重复",IF(OR(B131="",E131=""),"缺组合/功能",IF(COUNTIFS(Equipment[组合编号],B131)&lt;&gt;1,"组合编号无效",IF(COUNTIFS(FunctionMatrix[编号],E131)=0,"功能编号无效",IF(H131="不适用",IF(J131="已实测","适用性冲突",IF(I131="","待补不适用依据","不适用（非实测）")),IF(J131="阻塞",IF(I131="","待补阻塞原因","阻塞（非实测）"),IF(J131&lt;&gt;"已实测",IF(F131="","待展开路径","未实测"),IF(H131&lt;&gt;"适用","待确认适用性",IF(INDEX(Equipment[登记状态（自动）],MATCH(B131,Equipment[组合编号],0))&lt;&gt;"已登记","待补设备组合",IF(AND(F131&lt;&gt;"",G131&lt;&gt;"",K131&lt;&gt;"",L131&lt;&gt;"",M131&lt;&gt;"",N131&lt;&gt;"",ISNUMBER(O131),O131&gt;0,P131&lt;&gt;""),"记录齐全","待补实测记录")))))))))))</x:f>
        <x:v>待展开路径</x:v>
      </x:c>
    </x:row>
    <x:row r="132" ht="43.5" customHeight="1">
      <x:c r="A132" s="20" t="str">
        <x:v>REC-00123</x:v>
      </x:c>
      <x:c r="B132" s="20" t="str">
        <x:v>P1-B2-01</x:v>
      </x:c>
      <x:c r="C132" s="30" t="str">
        <x:f>IF(B132="","",IF(COUNTIFS(Equipment[组合编号],B132)&lt;&gt;1,"组合编号无效",INDEX(Equipment[PLC组],MATCH(B132,Equipment[组合编号],0))))</x:f>
        <x:v>汇川小型</x:v>
      </x:c>
      <x:c r="D132" s="30" t="str">
        <x:f>IF(B132="","",IF(COUNTIFS(Equipment[组合编号],B132)&lt;&gt;1,"组合编号无效",INDEX(Equipment[驱动品牌],MATCH(B132,Equipment[组合编号],0))))</x:f>
        <x:v>台达</x:v>
      </x:c>
      <x:c r="E132" s="20" t="str">
        <x:v>D08</x:v>
      </x:c>
      <x:c r="F132" s="20"/>
      <x:c r="G132" s="20"/>
      <x:c r="H132" s="20" t="str">
        <x:v>待判定</x:v>
      </x:c>
      <x:c r="I132" s="20"/>
      <x:c r="J132" s="20" t="str">
        <x:v>未测试</x:v>
      </x:c>
      <x:c r="K132" s="20"/>
      <x:c r="L132" s="20"/>
      <x:c r="M132" s="20"/>
      <x:c r="N132" s="20"/>
      <x:c r="O132" s="31"/>
      <x:c r="P132" s="20"/>
      <x:c r="Q132" s="20"/>
      <x:c r="R132" s="20" t="str">
        <x:v>待展开</x:v>
      </x:c>
      <x:c r="S132" s="20"/>
      <x:c r="T132" s="31"/>
      <x:c r="U132" s="30" t="str">
        <x:f>IF(A132="","缺记录编号",IF(COUNTIFS(PathRecords[记录编号],A132)&lt;&gt;1,"记录编号重复",IF(OR(B132="",E132=""),"缺组合/功能",IF(COUNTIFS(Equipment[组合编号],B132)&lt;&gt;1,"组合编号无效",IF(COUNTIFS(FunctionMatrix[编号],E132)=0,"功能编号无效",IF(H132="不适用",IF(J132="已实测","适用性冲突",IF(I132="","待补不适用依据","不适用（非实测）")),IF(J132="阻塞",IF(I132="","待补阻塞原因","阻塞（非实测）"),IF(J132&lt;&gt;"已实测",IF(F132="","待展开路径","未实测"),IF(H132&lt;&gt;"适用","待确认适用性",IF(INDEX(Equipment[登记状态（自动）],MATCH(B132,Equipment[组合编号],0))&lt;&gt;"已登记","待补设备组合",IF(AND(F132&lt;&gt;"",G132&lt;&gt;"",K132&lt;&gt;"",L132&lt;&gt;"",M132&lt;&gt;"",N132&lt;&gt;"",ISNUMBER(O132),O132&gt;0,P132&lt;&gt;""),"记录齐全","待补实测记录")))))))))))</x:f>
        <x:v>待展开路径</x:v>
      </x:c>
    </x:row>
    <x:row r="133" ht="43.5" customHeight="1">
      <x:c r="A133" s="20" t="str">
        <x:v>REC-00124</x:v>
      </x:c>
      <x:c r="B133" s="20" t="str">
        <x:v>P1-B2-01</x:v>
      </x:c>
      <x:c r="C133" s="30" t="str">
        <x:f>IF(B133="","",IF(COUNTIFS(Equipment[组合编号],B133)&lt;&gt;1,"组合编号无效",INDEX(Equipment[PLC组],MATCH(B133,Equipment[组合编号],0))))</x:f>
        <x:v>汇川小型</x:v>
      </x:c>
      <x:c r="D133" s="30" t="str">
        <x:f>IF(B133="","",IF(COUNTIFS(Equipment[组合编号],B133)&lt;&gt;1,"组合编号无效",INDEX(Equipment[驱动品牌],MATCH(B133,Equipment[组合编号],0))))</x:f>
        <x:v>台达</x:v>
      </x:c>
      <x:c r="E133" s="20" t="str">
        <x:v>D09</x:v>
      </x:c>
      <x:c r="F133" s="20"/>
      <x:c r="G133" s="20"/>
      <x:c r="H133" s="20" t="str">
        <x:v>待判定</x:v>
      </x:c>
      <x:c r="I133" s="20"/>
      <x:c r="J133" s="20" t="str">
        <x:v>未测试</x:v>
      </x:c>
      <x:c r="K133" s="20"/>
      <x:c r="L133" s="20"/>
      <x:c r="M133" s="20"/>
      <x:c r="N133" s="20"/>
      <x:c r="O133" s="31"/>
      <x:c r="P133" s="20"/>
      <x:c r="Q133" s="20"/>
      <x:c r="R133" s="20" t="str">
        <x:v>待展开</x:v>
      </x:c>
      <x:c r="S133" s="20"/>
      <x:c r="T133" s="31"/>
      <x:c r="U133" s="30" t="str">
        <x:f>IF(A133="","缺记录编号",IF(COUNTIFS(PathRecords[记录编号],A133)&lt;&gt;1,"记录编号重复",IF(OR(B133="",E133=""),"缺组合/功能",IF(COUNTIFS(Equipment[组合编号],B133)&lt;&gt;1,"组合编号无效",IF(COUNTIFS(FunctionMatrix[编号],E133)=0,"功能编号无效",IF(H133="不适用",IF(J133="已实测","适用性冲突",IF(I133="","待补不适用依据","不适用（非实测）")),IF(J133="阻塞",IF(I133="","待补阻塞原因","阻塞（非实测）"),IF(J133&lt;&gt;"已实测",IF(F133="","待展开路径","未实测"),IF(H133&lt;&gt;"适用","待确认适用性",IF(INDEX(Equipment[登记状态（自动）],MATCH(B133,Equipment[组合编号],0))&lt;&gt;"已登记","待补设备组合",IF(AND(F133&lt;&gt;"",G133&lt;&gt;"",K133&lt;&gt;"",L133&lt;&gt;"",M133&lt;&gt;"",N133&lt;&gt;"",ISNUMBER(O133),O133&gt;0,P133&lt;&gt;""),"记录齐全","待补实测记录")))))))))))</x:f>
        <x:v>待展开路径</x:v>
      </x:c>
    </x:row>
    <x:row r="134" ht="43.5" customHeight="1">
      <x:c r="A134" s="20" t="str">
        <x:v>REC-00125</x:v>
      </x:c>
      <x:c r="B134" s="20" t="str">
        <x:v>P1-B2-01</x:v>
      </x:c>
      <x:c r="C134" s="30" t="str">
        <x:f>IF(B134="","",IF(COUNTIFS(Equipment[组合编号],B134)&lt;&gt;1,"组合编号无效",INDEX(Equipment[PLC组],MATCH(B134,Equipment[组合编号],0))))</x:f>
        <x:v>汇川小型</x:v>
      </x:c>
      <x:c r="D134" s="30" t="str">
        <x:f>IF(B134="","",IF(COUNTIFS(Equipment[组合编号],B134)&lt;&gt;1,"组合编号无效",INDEX(Equipment[驱动品牌],MATCH(B134,Equipment[组合编号],0))))</x:f>
        <x:v>台达</x:v>
      </x:c>
      <x:c r="E134" s="20" t="str">
        <x:v>S01</x:v>
      </x:c>
      <x:c r="F134" s="20"/>
      <x:c r="G134" s="20"/>
      <x:c r="H134" s="20" t="str">
        <x:v>待判定</x:v>
      </x:c>
      <x:c r="I134" s="20"/>
      <x:c r="J134" s="20" t="str">
        <x:v>未测试</x:v>
      </x:c>
      <x:c r="K134" s="20"/>
      <x:c r="L134" s="20"/>
      <x:c r="M134" s="20"/>
      <x:c r="N134" s="20"/>
      <x:c r="O134" s="31"/>
      <x:c r="P134" s="20"/>
      <x:c r="Q134" s="20"/>
      <x:c r="R134" s="20" t="str">
        <x:v>待展开</x:v>
      </x:c>
      <x:c r="S134" s="20"/>
      <x:c r="T134" s="31"/>
      <x:c r="U134" s="30" t="str">
        <x:f>IF(A134="","缺记录编号",IF(COUNTIFS(PathRecords[记录编号],A134)&lt;&gt;1,"记录编号重复",IF(OR(B134="",E134=""),"缺组合/功能",IF(COUNTIFS(Equipment[组合编号],B134)&lt;&gt;1,"组合编号无效",IF(COUNTIFS(FunctionMatrix[编号],E134)=0,"功能编号无效",IF(H134="不适用",IF(J134="已实测","适用性冲突",IF(I134="","待补不适用依据","不适用（非实测）")),IF(J134="阻塞",IF(I134="","待补阻塞原因","阻塞（非实测）"),IF(J134&lt;&gt;"已实测",IF(F134="","待展开路径","未实测"),IF(H134&lt;&gt;"适用","待确认适用性",IF(INDEX(Equipment[登记状态（自动）],MATCH(B134,Equipment[组合编号],0))&lt;&gt;"已登记","待补设备组合",IF(AND(F134&lt;&gt;"",G134&lt;&gt;"",K134&lt;&gt;"",L134&lt;&gt;"",M134&lt;&gt;"",N134&lt;&gt;"",ISNUMBER(O134),O134&gt;0,P134&lt;&gt;""),"记录齐全","待补实测记录")))))))))))</x:f>
        <x:v>待展开路径</x:v>
      </x:c>
    </x:row>
    <x:row r="135" ht="43.5" customHeight="1">
      <x:c r="A135" s="20" t="str">
        <x:v>REC-00126</x:v>
      </x:c>
      <x:c r="B135" s="20" t="str">
        <x:v>P1-B2-01</x:v>
      </x:c>
      <x:c r="C135" s="30" t="str">
        <x:f>IF(B135="","",IF(COUNTIFS(Equipment[组合编号],B135)&lt;&gt;1,"组合编号无效",INDEX(Equipment[PLC组],MATCH(B135,Equipment[组合编号],0))))</x:f>
        <x:v>汇川小型</x:v>
      </x:c>
      <x:c r="D135" s="30" t="str">
        <x:f>IF(B135="","",IF(COUNTIFS(Equipment[组合编号],B135)&lt;&gt;1,"组合编号无效",INDEX(Equipment[驱动品牌],MATCH(B135,Equipment[组合编号],0))))</x:f>
        <x:v>台达</x:v>
      </x:c>
      <x:c r="E135" s="20" t="str">
        <x:v>S02</x:v>
      </x:c>
      <x:c r="F135" s="20"/>
      <x:c r="G135" s="20"/>
      <x:c r="H135" s="20" t="str">
        <x:v>待判定</x:v>
      </x:c>
      <x:c r="I135" s="20"/>
      <x:c r="J135" s="20" t="str">
        <x:v>未测试</x:v>
      </x:c>
      <x:c r="K135" s="20"/>
      <x:c r="L135" s="20"/>
      <x:c r="M135" s="20"/>
      <x:c r="N135" s="20"/>
      <x:c r="O135" s="31"/>
      <x:c r="P135" s="20"/>
      <x:c r="Q135" s="20"/>
      <x:c r="R135" s="20" t="str">
        <x:v>待展开</x:v>
      </x:c>
      <x:c r="S135" s="20"/>
      <x:c r="T135" s="31"/>
      <x:c r="U135" s="30" t="str">
        <x:f>IF(A135="","缺记录编号",IF(COUNTIFS(PathRecords[记录编号],A135)&lt;&gt;1,"记录编号重复",IF(OR(B135="",E135=""),"缺组合/功能",IF(COUNTIFS(Equipment[组合编号],B135)&lt;&gt;1,"组合编号无效",IF(COUNTIFS(FunctionMatrix[编号],E135)=0,"功能编号无效",IF(H135="不适用",IF(J135="已实测","适用性冲突",IF(I135="","待补不适用依据","不适用（非实测）")),IF(J135="阻塞",IF(I135="","待补阻塞原因","阻塞（非实测）"),IF(J135&lt;&gt;"已实测",IF(F135="","待展开路径","未实测"),IF(H135&lt;&gt;"适用","待确认适用性",IF(INDEX(Equipment[登记状态（自动）],MATCH(B135,Equipment[组合编号],0))&lt;&gt;"已登记","待补设备组合",IF(AND(F135&lt;&gt;"",G135&lt;&gt;"",K135&lt;&gt;"",L135&lt;&gt;"",M135&lt;&gt;"",N135&lt;&gt;"",ISNUMBER(O135),O135&gt;0,P135&lt;&gt;""),"记录齐全","待补实测记录")))))))))))</x:f>
        <x:v>待展开路径</x:v>
      </x:c>
    </x:row>
    <x:row r="136" ht="43.5" customHeight="1">
      <x:c r="A136" s="20" t="str">
        <x:v>REC-00127</x:v>
      </x:c>
      <x:c r="B136" s="20" t="str">
        <x:v>P1-B2-01</x:v>
      </x:c>
      <x:c r="C136" s="30" t="str">
        <x:f>IF(B136="","",IF(COUNTIFS(Equipment[组合编号],B136)&lt;&gt;1,"组合编号无效",INDEX(Equipment[PLC组],MATCH(B136,Equipment[组合编号],0))))</x:f>
        <x:v>汇川小型</x:v>
      </x:c>
      <x:c r="D136" s="30" t="str">
        <x:f>IF(B136="","",IF(COUNTIFS(Equipment[组合编号],B136)&lt;&gt;1,"组合编号无效",INDEX(Equipment[驱动品牌],MATCH(B136,Equipment[组合编号],0))))</x:f>
        <x:v>台达</x:v>
      </x:c>
      <x:c r="E136" s="20" t="str">
        <x:v>S03</x:v>
      </x:c>
      <x:c r="F136" s="20"/>
      <x:c r="G136" s="20"/>
      <x:c r="H136" s="20" t="str">
        <x:v>待判定</x:v>
      </x:c>
      <x:c r="I136" s="20"/>
      <x:c r="J136" s="20" t="str">
        <x:v>未测试</x:v>
      </x:c>
      <x:c r="K136" s="20"/>
      <x:c r="L136" s="20"/>
      <x:c r="M136" s="20"/>
      <x:c r="N136" s="20"/>
      <x:c r="O136" s="31"/>
      <x:c r="P136" s="20"/>
      <x:c r="Q136" s="20"/>
      <x:c r="R136" s="20" t="str">
        <x:v>待展开</x:v>
      </x:c>
      <x:c r="S136" s="20"/>
      <x:c r="T136" s="31"/>
      <x:c r="U136" s="30" t="str">
        <x:f>IF(A136="","缺记录编号",IF(COUNTIFS(PathRecords[记录编号],A136)&lt;&gt;1,"记录编号重复",IF(OR(B136="",E136=""),"缺组合/功能",IF(COUNTIFS(Equipment[组合编号],B136)&lt;&gt;1,"组合编号无效",IF(COUNTIFS(FunctionMatrix[编号],E136)=0,"功能编号无效",IF(H136="不适用",IF(J136="已实测","适用性冲突",IF(I136="","待补不适用依据","不适用（非实测）")),IF(J136="阻塞",IF(I136="","待补阻塞原因","阻塞（非实测）"),IF(J136&lt;&gt;"已实测",IF(F136="","待展开路径","未实测"),IF(H136&lt;&gt;"适用","待确认适用性",IF(INDEX(Equipment[登记状态（自动）],MATCH(B136,Equipment[组合编号],0))&lt;&gt;"已登记","待补设备组合",IF(AND(F136&lt;&gt;"",G136&lt;&gt;"",K136&lt;&gt;"",L136&lt;&gt;"",M136&lt;&gt;"",N136&lt;&gt;"",ISNUMBER(O136),O136&gt;0,P136&lt;&gt;""),"记录齐全","待补实测记录")))))))))))</x:f>
        <x:v>待展开路径</x:v>
      </x:c>
    </x:row>
    <x:row r="137" ht="43.5" customHeight="1">
      <x:c r="A137" s="20" t="str">
        <x:v>REC-00128</x:v>
      </x:c>
      <x:c r="B137" s="20" t="str">
        <x:v>P1-B2-01</x:v>
      </x:c>
      <x:c r="C137" s="30" t="str">
        <x:f>IF(B137="","",IF(COUNTIFS(Equipment[组合编号],B137)&lt;&gt;1,"组合编号无效",INDEX(Equipment[PLC组],MATCH(B137,Equipment[组合编号],0))))</x:f>
        <x:v>汇川小型</x:v>
      </x:c>
      <x:c r="D137" s="30" t="str">
        <x:f>IF(B137="","",IF(COUNTIFS(Equipment[组合编号],B137)&lt;&gt;1,"组合编号无效",INDEX(Equipment[驱动品牌],MATCH(B137,Equipment[组合编号],0))))</x:f>
        <x:v>台达</x:v>
      </x:c>
      <x:c r="E137" s="20" t="str">
        <x:v>S04</x:v>
      </x:c>
      <x:c r="F137" s="20"/>
      <x:c r="G137" s="20"/>
      <x:c r="H137" s="20" t="str">
        <x:v>待判定</x:v>
      </x:c>
      <x:c r="I137" s="20"/>
      <x:c r="J137" s="20" t="str">
        <x:v>未测试</x:v>
      </x:c>
      <x:c r="K137" s="20"/>
      <x:c r="L137" s="20"/>
      <x:c r="M137" s="20"/>
      <x:c r="N137" s="20"/>
      <x:c r="O137" s="31"/>
      <x:c r="P137" s="20"/>
      <x:c r="Q137" s="20"/>
      <x:c r="R137" s="20" t="str">
        <x:v>待展开</x:v>
      </x:c>
      <x:c r="S137" s="20"/>
      <x:c r="T137" s="31"/>
      <x:c r="U137" s="30" t="str">
        <x:f>IF(A137="","缺记录编号",IF(COUNTIFS(PathRecords[记录编号],A137)&lt;&gt;1,"记录编号重复",IF(OR(B137="",E137=""),"缺组合/功能",IF(COUNTIFS(Equipment[组合编号],B137)&lt;&gt;1,"组合编号无效",IF(COUNTIFS(FunctionMatrix[编号],E137)=0,"功能编号无效",IF(H137="不适用",IF(J137="已实测","适用性冲突",IF(I137="","待补不适用依据","不适用（非实测）")),IF(J137="阻塞",IF(I137="","待补阻塞原因","阻塞（非实测）"),IF(J137&lt;&gt;"已实测",IF(F137="","待展开路径","未实测"),IF(H137&lt;&gt;"适用","待确认适用性",IF(INDEX(Equipment[登记状态（自动）],MATCH(B137,Equipment[组合编号],0))&lt;&gt;"已登记","待补设备组合",IF(AND(F137&lt;&gt;"",G137&lt;&gt;"",K137&lt;&gt;"",L137&lt;&gt;"",M137&lt;&gt;"",N137&lt;&gt;"",ISNUMBER(O137),O137&gt;0,P137&lt;&gt;""),"记录齐全","待补实测记录")))))))))))</x:f>
        <x:v>待展开路径</x:v>
      </x:c>
    </x:row>
    <x:row r="138" ht="43.5" customHeight="1">
      <x:c r="A138" s="20" t="str">
        <x:v>REC-00129</x:v>
      </x:c>
      <x:c r="B138" s="20" t="str">
        <x:v>P1-B2-01</x:v>
      </x:c>
      <x:c r="C138" s="30" t="str">
        <x:f>IF(B138="","",IF(COUNTIFS(Equipment[组合编号],B138)&lt;&gt;1,"组合编号无效",INDEX(Equipment[PLC组],MATCH(B138,Equipment[组合编号],0))))</x:f>
        <x:v>汇川小型</x:v>
      </x:c>
      <x:c r="D138" s="30" t="str">
        <x:f>IF(B138="","",IF(COUNTIFS(Equipment[组合编号],B138)&lt;&gt;1,"组合编号无效",INDEX(Equipment[驱动品牌],MATCH(B138,Equipment[组合编号],0))))</x:f>
        <x:v>台达</x:v>
      </x:c>
      <x:c r="E138" s="20" t="str">
        <x:v>S05</x:v>
      </x:c>
      <x:c r="F138" s="20"/>
      <x:c r="G138" s="20"/>
      <x:c r="H138" s="20" t="str">
        <x:v>待判定</x:v>
      </x:c>
      <x:c r="I138" s="20"/>
      <x:c r="J138" s="20" t="str">
        <x:v>未测试</x:v>
      </x:c>
      <x:c r="K138" s="20"/>
      <x:c r="L138" s="20"/>
      <x:c r="M138" s="20"/>
      <x:c r="N138" s="20"/>
      <x:c r="O138" s="31"/>
      <x:c r="P138" s="20"/>
      <x:c r="Q138" s="20"/>
      <x:c r="R138" s="20" t="str">
        <x:v>待展开</x:v>
      </x:c>
      <x:c r="S138" s="20"/>
      <x:c r="T138" s="31"/>
      <x:c r="U138" s="30" t="str">
        <x:f>IF(A138="","缺记录编号",IF(COUNTIFS(PathRecords[记录编号],A138)&lt;&gt;1,"记录编号重复",IF(OR(B138="",E138=""),"缺组合/功能",IF(COUNTIFS(Equipment[组合编号],B138)&lt;&gt;1,"组合编号无效",IF(COUNTIFS(FunctionMatrix[编号],E138)=0,"功能编号无效",IF(H138="不适用",IF(J138="已实测","适用性冲突",IF(I138="","待补不适用依据","不适用（非实测）")),IF(J138="阻塞",IF(I138="","待补阻塞原因","阻塞（非实测）"),IF(J138&lt;&gt;"已实测",IF(F138="","待展开路径","未实测"),IF(H138&lt;&gt;"适用","待确认适用性",IF(INDEX(Equipment[登记状态（自动）],MATCH(B138,Equipment[组合编号],0))&lt;&gt;"已登记","待补设备组合",IF(AND(F138&lt;&gt;"",G138&lt;&gt;"",K138&lt;&gt;"",L138&lt;&gt;"",M138&lt;&gt;"",N138&lt;&gt;"",ISNUMBER(O138),O138&gt;0,P138&lt;&gt;""),"记录齐全","待补实测记录")))))))))))</x:f>
        <x:v>待展开路径</x:v>
      </x:c>
    </x:row>
    <x:row r="139" ht="43.5" customHeight="1">
      <x:c r="A139" s="20" t="str">
        <x:v>REC-00130</x:v>
      </x:c>
      <x:c r="B139" s="20" t="str">
        <x:v>P1-B2-01</x:v>
      </x:c>
      <x:c r="C139" s="30" t="str">
        <x:f>IF(B139="","",IF(COUNTIFS(Equipment[组合编号],B139)&lt;&gt;1,"组合编号无效",INDEX(Equipment[PLC组],MATCH(B139,Equipment[组合编号],0))))</x:f>
        <x:v>汇川小型</x:v>
      </x:c>
      <x:c r="D139" s="30" t="str">
        <x:f>IF(B139="","",IF(COUNTIFS(Equipment[组合编号],B139)&lt;&gt;1,"组合编号无效",INDEX(Equipment[驱动品牌],MATCH(B139,Equipment[组合编号],0))))</x:f>
        <x:v>台达</x:v>
      </x:c>
      <x:c r="E139" s="20" t="str">
        <x:v>S06</x:v>
      </x:c>
      <x:c r="F139" s="20"/>
      <x:c r="G139" s="20"/>
      <x:c r="H139" s="20" t="str">
        <x:v>待判定</x:v>
      </x:c>
      <x:c r="I139" s="20"/>
      <x:c r="J139" s="20" t="str">
        <x:v>未测试</x:v>
      </x:c>
      <x:c r="K139" s="20"/>
      <x:c r="L139" s="20"/>
      <x:c r="M139" s="20"/>
      <x:c r="N139" s="20"/>
      <x:c r="O139" s="31"/>
      <x:c r="P139" s="20"/>
      <x:c r="Q139" s="20"/>
      <x:c r="R139" s="20" t="str">
        <x:v>待展开</x:v>
      </x:c>
      <x:c r="S139" s="20"/>
      <x:c r="T139" s="31"/>
      <x:c r="U139" s="30" t="str">
        <x:f>IF(A139="","缺记录编号",IF(COUNTIFS(PathRecords[记录编号],A139)&lt;&gt;1,"记录编号重复",IF(OR(B139="",E139=""),"缺组合/功能",IF(COUNTIFS(Equipment[组合编号],B139)&lt;&gt;1,"组合编号无效",IF(COUNTIFS(FunctionMatrix[编号],E139)=0,"功能编号无效",IF(H139="不适用",IF(J139="已实测","适用性冲突",IF(I139="","待补不适用依据","不适用（非实测）")),IF(J139="阻塞",IF(I139="","待补阻塞原因","阻塞（非实测）"),IF(J139&lt;&gt;"已实测",IF(F139="","待展开路径","未实测"),IF(H139&lt;&gt;"适用","待确认适用性",IF(INDEX(Equipment[登记状态（自动）],MATCH(B139,Equipment[组合编号],0))&lt;&gt;"已登记","待补设备组合",IF(AND(F139&lt;&gt;"",G139&lt;&gt;"",K139&lt;&gt;"",L139&lt;&gt;"",M139&lt;&gt;"",N139&lt;&gt;"",ISNUMBER(O139),O139&gt;0,P139&lt;&gt;""),"记录齐全","待补实测记录")))))))))))</x:f>
        <x:v>待展开路径</x:v>
      </x:c>
    </x:row>
    <x:row r="140" ht="43.5" customHeight="1">
      <x:c r="A140" s="20" t="str">
        <x:v>REC-00131</x:v>
      </x:c>
      <x:c r="B140" s="20" t="str">
        <x:v>P1-B2-01</x:v>
      </x:c>
      <x:c r="C140" s="30" t="str">
        <x:f>IF(B140="","",IF(COUNTIFS(Equipment[组合编号],B140)&lt;&gt;1,"组合编号无效",INDEX(Equipment[PLC组],MATCH(B140,Equipment[组合编号],0))))</x:f>
        <x:v>汇川小型</x:v>
      </x:c>
      <x:c r="D140" s="30" t="str">
        <x:f>IF(B140="","",IF(COUNTIFS(Equipment[组合编号],B140)&lt;&gt;1,"组合编号无效",INDEX(Equipment[驱动品牌],MATCH(B140,Equipment[组合编号],0))))</x:f>
        <x:v>台达</x:v>
      </x:c>
      <x:c r="E140" s="20" t="str">
        <x:v>S07</x:v>
      </x:c>
      <x:c r="F140" s="20"/>
      <x:c r="G140" s="20"/>
      <x:c r="H140" s="20" t="str">
        <x:v>待判定</x:v>
      </x:c>
      <x:c r="I140" s="20"/>
      <x:c r="J140" s="20" t="str">
        <x:v>未测试</x:v>
      </x:c>
      <x:c r="K140" s="20"/>
      <x:c r="L140" s="20"/>
      <x:c r="M140" s="20"/>
      <x:c r="N140" s="20"/>
      <x:c r="O140" s="31"/>
      <x:c r="P140" s="20"/>
      <x:c r="Q140" s="20"/>
      <x:c r="R140" s="20" t="str">
        <x:v>待展开</x:v>
      </x:c>
      <x:c r="S140" s="20"/>
      <x:c r="T140" s="31"/>
      <x:c r="U140" s="30" t="str">
        <x:f>IF(A140="","缺记录编号",IF(COUNTIFS(PathRecords[记录编号],A140)&lt;&gt;1,"记录编号重复",IF(OR(B140="",E140=""),"缺组合/功能",IF(COUNTIFS(Equipment[组合编号],B140)&lt;&gt;1,"组合编号无效",IF(COUNTIFS(FunctionMatrix[编号],E140)=0,"功能编号无效",IF(H140="不适用",IF(J140="已实测","适用性冲突",IF(I140="","待补不适用依据","不适用（非实测）")),IF(J140="阻塞",IF(I140="","待补阻塞原因","阻塞（非实测）"),IF(J140&lt;&gt;"已实测",IF(F140="","待展开路径","未实测"),IF(H140&lt;&gt;"适用","待确认适用性",IF(INDEX(Equipment[登记状态（自动）],MATCH(B140,Equipment[组合编号],0))&lt;&gt;"已登记","待补设备组合",IF(AND(F140&lt;&gt;"",G140&lt;&gt;"",K140&lt;&gt;"",L140&lt;&gt;"",M140&lt;&gt;"",N140&lt;&gt;"",ISNUMBER(O140),O140&gt;0,P140&lt;&gt;""),"记录齐全","待补实测记录")))))))))))</x:f>
        <x:v>待展开路径</x:v>
      </x:c>
    </x:row>
    <x:row r="141" ht="43.5" customHeight="1">
      <x:c r="A141" s="20" t="str">
        <x:v>REC-00132</x:v>
      </x:c>
      <x:c r="B141" s="20" t="str">
        <x:v>P1-B2-01</x:v>
      </x:c>
      <x:c r="C141" s="30" t="str">
        <x:f>IF(B141="","",IF(COUNTIFS(Equipment[组合编号],B141)&lt;&gt;1,"组合编号无效",INDEX(Equipment[PLC组],MATCH(B141,Equipment[组合编号],0))))</x:f>
        <x:v>汇川小型</x:v>
      </x:c>
      <x:c r="D141" s="30" t="str">
        <x:f>IF(B141="","",IF(COUNTIFS(Equipment[组合编号],B141)&lt;&gt;1,"组合编号无效",INDEX(Equipment[驱动品牌],MATCH(B141,Equipment[组合编号],0))))</x:f>
        <x:v>台达</x:v>
      </x:c>
      <x:c r="E141" s="20" t="str">
        <x:v>S08</x:v>
      </x:c>
      <x:c r="F141" s="20"/>
      <x:c r="G141" s="20"/>
      <x:c r="H141" s="20" t="str">
        <x:v>待判定</x:v>
      </x:c>
      <x:c r="I141" s="20"/>
      <x:c r="J141" s="20" t="str">
        <x:v>未测试</x:v>
      </x:c>
      <x:c r="K141" s="20"/>
      <x:c r="L141" s="20"/>
      <x:c r="M141" s="20"/>
      <x:c r="N141" s="20"/>
      <x:c r="O141" s="31"/>
      <x:c r="P141" s="20"/>
      <x:c r="Q141" s="20"/>
      <x:c r="R141" s="20" t="str">
        <x:v>待展开</x:v>
      </x:c>
      <x:c r="S141" s="20"/>
      <x:c r="T141" s="31"/>
      <x:c r="U141" s="30" t="str">
        <x:f>IF(A141="","缺记录编号",IF(COUNTIFS(PathRecords[记录编号],A141)&lt;&gt;1,"记录编号重复",IF(OR(B141="",E141=""),"缺组合/功能",IF(COUNTIFS(Equipment[组合编号],B141)&lt;&gt;1,"组合编号无效",IF(COUNTIFS(FunctionMatrix[编号],E141)=0,"功能编号无效",IF(H141="不适用",IF(J141="已实测","适用性冲突",IF(I141="","待补不适用依据","不适用（非实测）")),IF(J141="阻塞",IF(I141="","待补阻塞原因","阻塞（非实测）"),IF(J141&lt;&gt;"已实测",IF(F141="","待展开路径","未实测"),IF(H141&lt;&gt;"适用","待确认适用性",IF(INDEX(Equipment[登记状态（自动）],MATCH(B141,Equipment[组合编号],0))&lt;&gt;"已登记","待补设备组合",IF(AND(F141&lt;&gt;"",G141&lt;&gt;"",K141&lt;&gt;"",L141&lt;&gt;"",M141&lt;&gt;"",N141&lt;&gt;"",ISNUMBER(O141),O141&gt;0,P141&lt;&gt;""),"记录齐全","待补实测记录")))))))))))</x:f>
        <x:v>待展开路径</x:v>
      </x:c>
    </x:row>
    <x:row r="142" ht="43.5" customHeight="1">
      <x:c r="A142" s="20" t="str">
        <x:v>REC-00133</x:v>
      </x:c>
      <x:c r="B142" s="20" t="str">
        <x:v>P1-B2-01</x:v>
      </x:c>
      <x:c r="C142" s="30" t="str">
        <x:f>IF(B142="","",IF(COUNTIFS(Equipment[组合编号],B142)&lt;&gt;1,"组合编号无效",INDEX(Equipment[PLC组],MATCH(B142,Equipment[组合编号],0))))</x:f>
        <x:v>汇川小型</x:v>
      </x:c>
      <x:c r="D142" s="30" t="str">
        <x:f>IF(B142="","",IF(COUNTIFS(Equipment[组合编号],B142)&lt;&gt;1,"组合编号无效",INDEX(Equipment[驱动品牌],MATCH(B142,Equipment[组合编号],0))))</x:f>
        <x:v>台达</x:v>
      </x:c>
      <x:c r="E142" s="20" t="str">
        <x:v>S09</x:v>
      </x:c>
      <x:c r="F142" s="20"/>
      <x:c r="G142" s="20"/>
      <x:c r="H142" s="20" t="str">
        <x:v>待判定</x:v>
      </x:c>
      <x:c r="I142" s="20"/>
      <x:c r="J142" s="20" t="str">
        <x:v>未测试</x:v>
      </x:c>
      <x:c r="K142" s="20"/>
      <x:c r="L142" s="20"/>
      <x:c r="M142" s="20"/>
      <x:c r="N142" s="20"/>
      <x:c r="O142" s="31"/>
      <x:c r="P142" s="20"/>
      <x:c r="Q142" s="20"/>
      <x:c r="R142" s="20" t="str">
        <x:v>待展开</x:v>
      </x:c>
      <x:c r="S142" s="20"/>
      <x:c r="T142" s="31"/>
      <x:c r="U142" s="30" t="str">
        <x:f>IF(A142="","缺记录编号",IF(COUNTIFS(PathRecords[记录编号],A142)&lt;&gt;1,"记录编号重复",IF(OR(B142="",E142=""),"缺组合/功能",IF(COUNTIFS(Equipment[组合编号],B142)&lt;&gt;1,"组合编号无效",IF(COUNTIFS(FunctionMatrix[编号],E142)=0,"功能编号无效",IF(H142="不适用",IF(J142="已实测","适用性冲突",IF(I142="","待补不适用依据","不适用（非实测）")),IF(J142="阻塞",IF(I142="","待补阻塞原因","阻塞（非实测）"),IF(J142&lt;&gt;"已实测",IF(F142="","待展开路径","未实测"),IF(H142&lt;&gt;"适用","待确认适用性",IF(INDEX(Equipment[登记状态（自动）],MATCH(B142,Equipment[组合编号],0))&lt;&gt;"已登记","待补设备组合",IF(AND(F142&lt;&gt;"",G142&lt;&gt;"",K142&lt;&gt;"",L142&lt;&gt;"",M142&lt;&gt;"",N142&lt;&gt;"",ISNUMBER(O142),O142&gt;0,P142&lt;&gt;""),"记录齐全","待补实测记录")))))))))))</x:f>
        <x:v>待展开路径</x:v>
      </x:c>
    </x:row>
    <x:row r="143" ht="43.5" customHeight="1">
      <x:c r="A143" s="20" t="str">
        <x:v>REC-00134</x:v>
      </x:c>
      <x:c r="B143" s="20" t="str">
        <x:v>P1-B2-01</x:v>
      </x:c>
      <x:c r="C143" s="30" t="str">
        <x:f>IF(B143="","",IF(COUNTIFS(Equipment[组合编号],B143)&lt;&gt;1,"组合编号无效",INDEX(Equipment[PLC组],MATCH(B143,Equipment[组合编号],0))))</x:f>
        <x:v>汇川小型</x:v>
      </x:c>
      <x:c r="D143" s="30" t="str">
        <x:f>IF(B143="","",IF(COUNTIFS(Equipment[组合编号],B143)&lt;&gt;1,"组合编号无效",INDEX(Equipment[驱动品牌],MATCH(B143,Equipment[组合编号],0))))</x:f>
        <x:v>台达</x:v>
      </x:c>
      <x:c r="E143" s="20" t="str">
        <x:v>U01</x:v>
      </x:c>
      <x:c r="F143" s="20"/>
      <x:c r="G143" s="20"/>
      <x:c r="H143" s="20" t="str">
        <x:v>待判定</x:v>
      </x:c>
      <x:c r="I143" s="20"/>
      <x:c r="J143" s="20" t="str">
        <x:v>未测试</x:v>
      </x:c>
      <x:c r="K143" s="20"/>
      <x:c r="L143" s="20"/>
      <x:c r="M143" s="20"/>
      <x:c r="N143" s="20"/>
      <x:c r="O143" s="31"/>
      <x:c r="P143" s="20"/>
      <x:c r="Q143" s="20"/>
      <x:c r="R143" s="20" t="str">
        <x:v>待展开</x:v>
      </x:c>
      <x:c r="S143" s="20"/>
      <x:c r="T143" s="31"/>
      <x:c r="U143" s="30" t="str">
        <x:f>IF(A143="","缺记录编号",IF(COUNTIFS(PathRecords[记录编号],A143)&lt;&gt;1,"记录编号重复",IF(OR(B143="",E143=""),"缺组合/功能",IF(COUNTIFS(Equipment[组合编号],B143)&lt;&gt;1,"组合编号无效",IF(COUNTIFS(FunctionMatrix[编号],E143)=0,"功能编号无效",IF(H143="不适用",IF(J143="已实测","适用性冲突",IF(I143="","待补不适用依据","不适用（非实测）")),IF(J143="阻塞",IF(I143="","待补阻塞原因","阻塞（非实测）"),IF(J143&lt;&gt;"已实测",IF(F143="","待展开路径","未实测"),IF(H143&lt;&gt;"适用","待确认适用性",IF(INDEX(Equipment[登记状态（自动）],MATCH(B143,Equipment[组合编号],0))&lt;&gt;"已登记","待补设备组合",IF(AND(F143&lt;&gt;"",G143&lt;&gt;"",K143&lt;&gt;"",L143&lt;&gt;"",M143&lt;&gt;"",N143&lt;&gt;"",ISNUMBER(O143),O143&gt;0,P143&lt;&gt;""),"记录齐全","待补实测记录")))))))))))</x:f>
        <x:v>待展开路径</x:v>
      </x:c>
    </x:row>
    <x:row r="144" ht="43.5" customHeight="1">
      <x:c r="A144" s="20" t="str">
        <x:v>REC-00135</x:v>
      </x:c>
      <x:c r="B144" s="20" t="str">
        <x:v>P1-B2-01</x:v>
      </x:c>
      <x:c r="C144" s="30" t="str">
        <x:f>IF(B144="","",IF(COUNTIFS(Equipment[组合编号],B144)&lt;&gt;1,"组合编号无效",INDEX(Equipment[PLC组],MATCH(B144,Equipment[组合编号],0))))</x:f>
        <x:v>汇川小型</x:v>
      </x:c>
      <x:c r="D144" s="30" t="str">
        <x:f>IF(B144="","",IF(COUNTIFS(Equipment[组合编号],B144)&lt;&gt;1,"组合编号无效",INDEX(Equipment[驱动品牌],MATCH(B144,Equipment[组合编号],0))))</x:f>
        <x:v>台达</x:v>
      </x:c>
      <x:c r="E144" s="20" t="str">
        <x:v>U02</x:v>
      </x:c>
      <x:c r="F144" s="20"/>
      <x:c r="G144" s="20"/>
      <x:c r="H144" s="20" t="str">
        <x:v>待判定</x:v>
      </x:c>
      <x:c r="I144" s="20"/>
      <x:c r="J144" s="20" t="str">
        <x:v>未测试</x:v>
      </x:c>
      <x:c r="K144" s="20"/>
      <x:c r="L144" s="20"/>
      <x:c r="M144" s="20"/>
      <x:c r="N144" s="20"/>
      <x:c r="O144" s="31"/>
      <x:c r="P144" s="20"/>
      <x:c r="Q144" s="20"/>
      <x:c r="R144" s="20" t="str">
        <x:v>待展开</x:v>
      </x:c>
      <x:c r="S144" s="20"/>
      <x:c r="T144" s="31"/>
      <x:c r="U144" s="30" t="str">
        <x:f>IF(A144="","缺记录编号",IF(COUNTIFS(PathRecords[记录编号],A144)&lt;&gt;1,"记录编号重复",IF(OR(B144="",E144=""),"缺组合/功能",IF(COUNTIFS(Equipment[组合编号],B144)&lt;&gt;1,"组合编号无效",IF(COUNTIFS(FunctionMatrix[编号],E144)=0,"功能编号无效",IF(H144="不适用",IF(J144="已实测","适用性冲突",IF(I144="","待补不适用依据","不适用（非实测）")),IF(J144="阻塞",IF(I144="","待补阻塞原因","阻塞（非实测）"),IF(J144&lt;&gt;"已实测",IF(F144="","待展开路径","未实测"),IF(H144&lt;&gt;"适用","待确认适用性",IF(INDEX(Equipment[登记状态（自动）],MATCH(B144,Equipment[组合编号],0))&lt;&gt;"已登记","待补设备组合",IF(AND(F144&lt;&gt;"",G144&lt;&gt;"",K144&lt;&gt;"",L144&lt;&gt;"",M144&lt;&gt;"",N144&lt;&gt;"",ISNUMBER(O144),O144&gt;0,P144&lt;&gt;""),"记录齐全","待补实测记录")))))))))))</x:f>
        <x:v>待展开路径</x:v>
      </x:c>
    </x:row>
    <x:row r="145" ht="43.5" customHeight="1">
      <x:c r="A145" s="20" t="str">
        <x:v>REC-00136</x:v>
      </x:c>
      <x:c r="B145" s="20" t="str">
        <x:v>P1-B2-01</x:v>
      </x:c>
      <x:c r="C145" s="30" t="str">
        <x:f>IF(B145="","",IF(COUNTIFS(Equipment[组合编号],B145)&lt;&gt;1,"组合编号无效",INDEX(Equipment[PLC组],MATCH(B145,Equipment[组合编号],0))))</x:f>
        <x:v>汇川小型</x:v>
      </x:c>
      <x:c r="D145" s="30" t="str">
        <x:f>IF(B145="","",IF(COUNTIFS(Equipment[组合编号],B145)&lt;&gt;1,"组合编号无效",INDEX(Equipment[驱动品牌],MATCH(B145,Equipment[组合编号],0))))</x:f>
        <x:v>台达</x:v>
      </x:c>
      <x:c r="E145" s="20" t="str">
        <x:v>U03</x:v>
      </x:c>
      <x:c r="F145" s="20"/>
      <x:c r="G145" s="20"/>
      <x:c r="H145" s="20" t="str">
        <x:v>待判定</x:v>
      </x:c>
      <x:c r="I145" s="20"/>
      <x:c r="J145" s="20" t="str">
        <x:v>未测试</x:v>
      </x:c>
      <x:c r="K145" s="20"/>
      <x:c r="L145" s="20"/>
      <x:c r="M145" s="20"/>
      <x:c r="N145" s="20"/>
      <x:c r="O145" s="31"/>
      <x:c r="P145" s="20"/>
      <x:c r="Q145" s="20"/>
      <x:c r="R145" s="20" t="str">
        <x:v>待展开</x:v>
      </x:c>
      <x:c r="S145" s="20"/>
      <x:c r="T145" s="31"/>
      <x:c r="U145" s="30" t="str">
        <x:f>IF(A145="","缺记录编号",IF(COUNTIFS(PathRecords[记录编号],A145)&lt;&gt;1,"记录编号重复",IF(OR(B145="",E145=""),"缺组合/功能",IF(COUNTIFS(Equipment[组合编号],B145)&lt;&gt;1,"组合编号无效",IF(COUNTIFS(FunctionMatrix[编号],E145)=0,"功能编号无效",IF(H145="不适用",IF(J145="已实测","适用性冲突",IF(I145="","待补不适用依据","不适用（非实测）")),IF(J145="阻塞",IF(I145="","待补阻塞原因","阻塞（非实测）"),IF(J145&lt;&gt;"已实测",IF(F145="","待展开路径","未实测"),IF(H145&lt;&gt;"适用","待确认适用性",IF(INDEX(Equipment[登记状态（自动）],MATCH(B145,Equipment[组合编号],0))&lt;&gt;"已登记","待补设备组合",IF(AND(F145&lt;&gt;"",G145&lt;&gt;"",K145&lt;&gt;"",L145&lt;&gt;"",M145&lt;&gt;"",N145&lt;&gt;"",ISNUMBER(O145),O145&gt;0,P145&lt;&gt;""),"记录齐全","待补实测记录")))))))))))</x:f>
        <x:v>待展开路径</x:v>
      </x:c>
    </x:row>
    <x:row r="146" ht="43.5" customHeight="1">
      <x:c r="A146" s="20" t="str">
        <x:v>REC-00137</x:v>
      </x:c>
      <x:c r="B146" s="20" t="str">
        <x:v>P1-B2-01</x:v>
      </x:c>
      <x:c r="C146" s="30" t="str">
        <x:f>IF(B146="","",IF(COUNTIFS(Equipment[组合编号],B146)&lt;&gt;1,"组合编号无效",INDEX(Equipment[PLC组],MATCH(B146,Equipment[组合编号],0))))</x:f>
        <x:v>汇川小型</x:v>
      </x:c>
      <x:c r="D146" s="30" t="str">
        <x:f>IF(B146="","",IF(COUNTIFS(Equipment[组合编号],B146)&lt;&gt;1,"组合编号无效",INDEX(Equipment[驱动品牌],MATCH(B146,Equipment[组合编号],0))))</x:f>
        <x:v>台达</x:v>
      </x:c>
      <x:c r="E146" s="20" t="str">
        <x:v>U04</x:v>
      </x:c>
      <x:c r="F146" s="20"/>
      <x:c r="G146" s="20"/>
      <x:c r="H146" s="20" t="str">
        <x:v>待判定</x:v>
      </x:c>
      <x:c r="I146" s="20"/>
      <x:c r="J146" s="20" t="str">
        <x:v>未测试</x:v>
      </x:c>
      <x:c r="K146" s="20"/>
      <x:c r="L146" s="20"/>
      <x:c r="M146" s="20"/>
      <x:c r="N146" s="20"/>
      <x:c r="O146" s="31"/>
      <x:c r="P146" s="20"/>
      <x:c r="Q146" s="20"/>
      <x:c r="R146" s="20" t="str">
        <x:v>待展开</x:v>
      </x:c>
      <x:c r="S146" s="20"/>
      <x:c r="T146" s="31"/>
      <x:c r="U146" s="30" t="str">
        <x:f>IF(A146="","缺记录编号",IF(COUNTIFS(PathRecords[记录编号],A146)&lt;&gt;1,"记录编号重复",IF(OR(B146="",E146=""),"缺组合/功能",IF(COUNTIFS(Equipment[组合编号],B146)&lt;&gt;1,"组合编号无效",IF(COUNTIFS(FunctionMatrix[编号],E146)=0,"功能编号无效",IF(H146="不适用",IF(J146="已实测","适用性冲突",IF(I146="","待补不适用依据","不适用（非实测）")),IF(J146="阻塞",IF(I146="","待补阻塞原因","阻塞（非实测）"),IF(J146&lt;&gt;"已实测",IF(F146="","待展开路径","未实测"),IF(H146&lt;&gt;"适用","待确认适用性",IF(INDEX(Equipment[登记状态（自动）],MATCH(B146,Equipment[组合编号],0))&lt;&gt;"已登记","待补设备组合",IF(AND(F146&lt;&gt;"",G146&lt;&gt;"",K146&lt;&gt;"",L146&lt;&gt;"",M146&lt;&gt;"",N146&lt;&gt;"",ISNUMBER(O146),O146&gt;0,P146&lt;&gt;""),"记录齐全","待补实测记录")))))))))))</x:f>
        <x:v>待展开路径</x:v>
      </x:c>
    </x:row>
    <x:row r="147" ht="43.5" customHeight="1">
      <x:c r="A147" s="20" t="str">
        <x:v>REC-00138</x:v>
      </x:c>
      <x:c r="B147" s="20" t="str">
        <x:v>P1-B2-01</x:v>
      </x:c>
      <x:c r="C147" s="30" t="str">
        <x:f>IF(B147="","",IF(COUNTIFS(Equipment[组合编号],B147)&lt;&gt;1,"组合编号无效",INDEX(Equipment[PLC组],MATCH(B147,Equipment[组合编号],0))))</x:f>
        <x:v>汇川小型</x:v>
      </x:c>
      <x:c r="D147" s="30" t="str">
        <x:f>IF(B147="","",IF(COUNTIFS(Equipment[组合编号],B147)&lt;&gt;1,"组合编号无效",INDEX(Equipment[驱动品牌],MATCH(B147,Equipment[组合编号],0))))</x:f>
        <x:v>台达</x:v>
      </x:c>
      <x:c r="E147" s="20" t="str">
        <x:v>U05</x:v>
      </x:c>
      <x:c r="F147" s="20"/>
      <x:c r="G147" s="20"/>
      <x:c r="H147" s="20" t="str">
        <x:v>待判定</x:v>
      </x:c>
      <x:c r="I147" s="20"/>
      <x:c r="J147" s="20" t="str">
        <x:v>未测试</x:v>
      </x:c>
      <x:c r="K147" s="20"/>
      <x:c r="L147" s="20"/>
      <x:c r="M147" s="20"/>
      <x:c r="N147" s="20"/>
      <x:c r="O147" s="31"/>
      <x:c r="P147" s="20"/>
      <x:c r="Q147" s="20"/>
      <x:c r="R147" s="20" t="str">
        <x:v>待展开</x:v>
      </x:c>
      <x:c r="S147" s="20"/>
      <x:c r="T147" s="31"/>
      <x:c r="U147" s="30" t="str">
        <x:f>IF(A147="","缺记录编号",IF(COUNTIFS(PathRecords[记录编号],A147)&lt;&gt;1,"记录编号重复",IF(OR(B147="",E147=""),"缺组合/功能",IF(COUNTIFS(Equipment[组合编号],B147)&lt;&gt;1,"组合编号无效",IF(COUNTIFS(FunctionMatrix[编号],E147)=0,"功能编号无效",IF(H147="不适用",IF(J147="已实测","适用性冲突",IF(I147="","待补不适用依据","不适用（非实测）")),IF(J147="阻塞",IF(I147="","待补阻塞原因","阻塞（非实测）"),IF(J147&lt;&gt;"已实测",IF(F147="","待展开路径","未实测"),IF(H147&lt;&gt;"适用","待确认适用性",IF(INDEX(Equipment[登记状态（自动）],MATCH(B147,Equipment[组合编号],0))&lt;&gt;"已登记","待补设备组合",IF(AND(F147&lt;&gt;"",G147&lt;&gt;"",K147&lt;&gt;"",L147&lt;&gt;"",M147&lt;&gt;"",N147&lt;&gt;"",ISNUMBER(O147),O147&gt;0,P147&lt;&gt;""),"记录齐全","待补实测记录")))))))))))</x:f>
        <x:v>待展开路径</x:v>
      </x:c>
    </x:row>
    <x:row r="148" ht="43.5" customHeight="1">
      <x:c r="A148" s="20" t="str">
        <x:v>REC-00139</x:v>
      </x:c>
      <x:c r="B148" s="20" t="str">
        <x:v>P1-B2-01</x:v>
      </x:c>
      <x:c r="C148" s="30" t="str">
        <x:f>IF(B148="","",IF(COUNTIFS(Equipment[组合编号],B148)&lt;&gt;1,"组合编号无效",INDEX(Equipment[PLC组],MATCH(B148,Equipment[组合编号],0))))</x:f>
        <x:v>汇川小型</x:v>
      </x:c>
      <x:c r="D148" s="30" t="str">
        <x:f>IF(B148="","",IF(COUNTIFS(Equipment[组合编号],B148)&lt;&gt;1,"组合编号无效",INDEX(Equipment[驱动品牌],MATCH(B148,Equipment[组合编号],0))))</x:f>
        <x:v>台达</x:v>
      </x:c>
      <x:c r="E148" s="20" t="str">
        <x:v>U06</x:v>
      </x:c>
      <x:c r="F148" s="20"/>
      <x:c r="G148" s="20"/>
      <x:c r="H148" s="20" t="str">
        <x:v>待判定</x:v>
      </x:c>
      <x:c r="I148" s="20"/>
      <x:c r="J148" s="20" t="str">
        <x:v>未测试</x:v>
      </x:c>
      <x:c r="K148" s="20"/>
      <x:c r="L148" s="20"/>
      <x:c r="M148" s="20"/>
      <x:c r="N148" s="20"/>
      <x:c r="O148" s="31"/>
      <x:c r="P148" s="20"/>
      <x:c r="Q148" s="20"/>
      <x:c r="R148" s="20" t="str">
        <x:v>待展开</x:v>
      </x:c>
      <x:c r="S148" s="20"/>
      <x:c r="T148" s="31"/>
      <x:c r="U148" s="30" t="str">
        <x:f>IF(A148="","缺记录编号",IF(COUNTIFS(PathRecords[记录编号],A148)&lt;&gt;1,"记录编号重复",IF(OR(B148="",E148=""),"缺组合/功能",IF(COUNTIFS(Equipment[组合编号],B148)&lt;&gt;1,"组合编号无效",IF(COUNTIFS(FunctionMatrix[编号],E148)=0,"功能编号无效",IF(H148="不适用",IF(J148="已实测","适用性冲突",IF(I148="","待补不适用依据","不适用（非实测）")),IF(J148="阻塞",IF(I148="","待补阻塞原因","阻塞（非实测）"),IF(J148&lt;&gt;"已实测",IF(F148="","待展开路径","未实测"),IF(H148&lt;&gt;"适用","待确认适用性",IF(INDEX(Equipment[登记状态（自动）],MATCH(B148,Equipment[组合编号],0))&lt;&gt;"已登记","待补设备组合",IF(AND(F148&lt;&gt;"",G148&lt;&gt;"",K148&lt;&gt;"",L148&lt;&gt;"",M148&lt;&gt;"",N148&lt;&gt;"",ISNUMBER(O148),O148&gt;0,P148&lt;&gt;""),"记录齐全","待补实测记录")))))))))))</x:f>
        <x:v>待展开路径</x:v>
      </x:c>
    </x:row>
    <x:row r="149" ht="43.5" customHeight="1">
      <x:c r="A149" s="20" t="str">
        <x:v>REC-00140</x:v>
      </x:c>
      <x:c r="B149" s="20" t="str">
        <x:v>P1-B2-01</x:v>
      </x:c>
      <x:c r="C149" s="30" t="str">
        <x:f>IF(B149="","",IF(COUNTIFS(Equipment[组合编号],B149)&lt;&gt;1,"组合编号无效",INDEX(Equipment[PLC组],MATCH(B149,Equipment[组合编号],0))))</x:f>
        <x:v>汇川小型</x:v>
      </x:c>
      <x:c r="D149" s="30" t="str">
        <x:f>IF(B149="","",IF(COUNTIFS(Equipment[组合编号],B149)&lt;&gt;1,"组合编号无效",INDEX(Equipment[驱动品牌],MATCH(B149,Equipment[组合编号],0))))</x:f>
        <x:v>台达</x:v>
      </x:c>
      <x:c r="E149" s="20" t="str">
        <x:v>U07</x:v>
      </x:c>
      <x:c r="F149" s="20"/>
      <x:c r="G149" s="20"/>
      <x:c r="H149" s="20" t="str">
        <x:v>待判定</x:v>
      </x:c>
      <x:c r="I149" s="20"/>
      <x:c r="J149" s="20" t="str">
        <x:v>未测试</x:v>
      </x:c>
      <x:c r="K149" s="20"/>
      <x:c r="L149" s="20"/>
      <x:c r="M149" s="20"/>
      <x:c r="N149" s="20"/>
      <x:c r="O149" s="31"/>
      <x:c r="P149" s="20"/>
      <x:c r="Q149" s="20"/>
      <x:c r="R149" s="20" t="str">
        <x:v>待展开</x:v>
      </x:c>
      <x:c r="S149" s="20"/>
      <x:c r="T149" s="31"/>
      <x:c r="U149" s="30" t="str">
        <x:f>IF(A149="","缺记录编号",IF(COUNTIFS(PathRecords[记录编号],A149)&lt;&gt;1,"记录编号重复",IF(OR(B149="",E149=""),"缺组合/功能",IF(COUNTIFS(Equipment[组合编号],B149)&lt;&gt;1,"组合编号无效",IF(COUNTIFS(FunctionMatrix[编号],E149)=0,"功能编号无效",IF(H149="不适用",IF(J149="已实测","适用性冲突",IF(I149="","待补不适用依据","不适用（非实测）")),IF(J149="阻塞",IF(I149="","待补阻塞原因","阻塞（非实测）"),IF(J149&lt;&gt;"已实测",IF(F149="","待展开路径","未实测"),IF(H149&lt;&gt;"适用","待确认适用性",IF(INDEX(Equipment[登记状态（自动）],MATCH(B149,Equipment[组合编号],0))&lt;&gt;"已登记","待补设备组合",IF(AND(F149&lt;&gt;"",G149&lt;&gt;"",K149&lt;&gt;"",L149&lt;&gt;"",M149&lt;&gt;"",N149&lt;&gt;"",ISNUMBER(O149),O149&gt;0,P149&lt;&gt;""),"记录齐全","待补实测记录")))))))))))</x:f>
        <x:v>待展开路径</x:v>
      </x:c>
    </x:row>
    <x:row r="150" ht="43.5" customHeight="1">
      <x:c r="A150" s="20" t="str">
        <x:v>REC-00141</x:v>
      </x:c>
      <x:c r="B150" s="20" t="str">
        <x:v>P1-B2-01</x:v>
      </x:c>
      <x:c r="C150" s="30" t="str">
        <x:f>IF(B150="","",IF(COUNTIFS(Equipment[组合编号],B150)&lt;&gt;1,"组合编号无效",INDEX(Equipment[PLC组],MATCH(B150,Equipment[组合编号],0))))</x:f>
        <x:v>汇川小型</x:v>
      </x:c>
      <x:c r="D150" s="30" t="str">
        <x:f>IF(B150="","",IF(COUNTIFS(Equipment[组合编号],B150)&lt;&gt;1,"组合编号无效",INDEX(Equipment[驱动品牌],MATCH(B150,Equipment[组合编号],0))))</x:f>
        <x:v>台达</x:v>
      </x:c>
      <x:c r="E150" s="20" t="str">
        <x:v>U08</x:v>
      </x:c>
      <x:c r="F150" s="20"/>
      <x:c r="G150" s="20"/>
      <x:c r="H150" s="20" t="str">
        <x:v>待判定</x:v>
      </x:c>
      <x:c r="I150" s="20"/>
      <x:c r="J150" s="20" t="str">
        <x:v>未测试</x:v>
      </x:c>
      <x:c r="K150" s="20"/>
      <x:c r="L150" s="20"/>
      <x:c r="M150" s="20"/>
      <x:c r="N150" s="20"/>
      <x:c r="O150" s="31"/>
      <x:c r="P150" s="20"/>
      <x:c r="Q150" s="20"/>
      <x:c r="R150" s="20" t="str">
        <x:v>待展开</x:v>
      </x:c>
      <x:c r="S150" s="20"/>
      <x:c r="T150" s="31"/>
      <x:c r="U150" s="30" t="str">
        <x:f>IF(A150="","缺记录编号",IF(COUNTIFS(PathRecords[记录编号],A150)&lt;&gt;1,"记录编号重复",IF(OR(B150="",E150=""),"缺组合/功能",IF(COUNTIFS(Equipment[组合编号],B150)&lt;&gt;1,"组合编号无效",IF(COUNTIFS(FunctionMatrix[编号],E150)=0,"功能编号无效",IF(H150="不适用",IF(J150="已实测","适用性冲突",IF(I150="","待补不适用依据","不适用（非实测）")),IF(J150="阻塞",IF(I150="","待补阻塞原因","阻塞（非实测）"),IF(J150&lt;&gt;"已实测",IF(F150="","待展开路径","未实测"),IF(H150&lt;&gt;"适用","待确认适用性",IF(INDEX(Equipment[登记状态（自动）],MATCH(B150,Equipment[组合编号],0))&lt;&gt;"已登记","待补设备组合",IF(AND(F150&lt;&gt;"",G150&lt;&gt;"",K150&lt;&gt;"",L150&lt;&gt;"",M150&lt;&gt;"",N150&lt;&gt;"",ISNUMBER(O150),O150&gt;0,P150&lt;&gt;""),"记录齐全","待补实测记录")))))))))))</x:f>
        <x:v>待展开路径</x:v>
      </x:c>
    </x:row>
    <x:row r="151" ht="43.5" customHeight="1">
      <x:c r="A151" s="20" t="str">
        <x:v>REC-00142</x:v>
      </x:c>
      <x:c r="B151" s="20" t="str">
        <x:v>P1-B2-01</x:v>
      </x:c>
      <x:c r="C151" s="30" t="str">
        <x:f>IF(B151="","",IF(COUNTIFS(Equipment[组合编号],B151)&lt;&gt;1,"组合编号无效",INDEX(Equipment[PLC组],MATCH(B151,Equipment[组合编号],0))))</x:f>
        <x:v>汇川小型</x:v>
      </x:c>
      <x:c r="D151" s="30" t="str">
        <x:f>IF(B151="","",IF(COUNTIFS(Equipment[组合编号],B151)&lt;&gt;1,"组合编号无效",INDEX(Equipment[驱动品牌],MATCH(B151,Equipment[组合编号],0))))</x:f>
        <x:v>台达</x:v>
      </x:c>
      <x:c r="E151" s="20" t="str">
        <x:v>U09</x:v>
      </x:c>
      <x:c r="F151" s="20"/>
      <x:c r="G151" s="20"/>
      <x:c r="H151" s="20" t="str">
        <x:v>待判定</x:v>
      </x:c>
      <x:c r="I151" s="20"/>
      <x:c r="J151" s="20" t="str">
        <x:v>未测试</x:v>
      </x:c>
      <x:c r="K151" s="20"/>
      <x:c r="L151" s="20"/>
      <x:c r="M151" s="20"/>
      <x:c r="N151" s="20"/>
      <x:c r="O151" s="31"/>
      <x:c r="P151" s="20"/>
      <x:c r="Q151" s="20"/>
      <x:c r="R151" s="20" t="str">
        <x:v>待展开</x:v>
      </x:c>
      <x:c r="S151" s="20"/>
      <x:c r="T151" s="31"/>
      <x:c r="U151" s="30" t="str">
        <x:f>IF(A151="","缺记录编号",IF(COUNTIFS(PathRecords[记录编号],A151)&lt;&gt;1,"记录编号重复",IF(OR(B151="",E151=""),"缺组合/功能",IF(COUNTIFS(Equipment[组合编号],B151)&lt;&gt;1,"组合编号无效",IF(COUNTIFS(FunctionMatrix[编号],E151)=0,"功能编号无效",IF(H151="不适用",IF(J151="已实测","适用性冲突",IF(I151="","待补不适用依据","不适用（非实测）")),IF(J151="阻塞",IF(I151="","待补阻塞原因","阻塞（非实测）"),IF(J151&lt;&gt;"已实测",IF(F151="","待展开路径","未实测"),IF(H151&lt;&gt;"适用","待确认适用性",IF(INDEX(Equipment[登记状态（自动）],MATCH(B151,Equipment[组合编号],0))&lt;&gt;"已登记","待补设备组合",IF(AND(F151&lt;&gt;"",G151&lt;&gt;"",K151&lt;&gt;"",L151&lt;&gt;"",M151&lt;&gt;"",N151&lt;&gt;"",ISNUMBER(O151),O151&gt;0,P151&lt;&gt;""),"记录齐全","待补实测记录")))))))))))</x:f>
        <x:v>待展开路径</x:v>
      </x:c>
    </x:row>
    <x:row r="152" ht="43.5" customHeight="1">
      <x:c r="A152" s="20" t="str">
        <x:v>REC-00143</x:v>
      </x:c>
      <x:c r="B152" s="20" t="str">
        <x:v>P1-B2-01</x:v>
      </x:c>
      <x:c r="C152" s="30" t="str">
        <x:f>IF(B152="","",IF(COUNTIFS(Equipment[组合编号],B152)&lt;&gt;1,"组合编号无效",INDEX(Equipment[PLC组],MATCH(B152,Equipment[组合编号],0))))</x:f>
        <x:v>汇川小型</x:v>
      </x:c>
      <x:c r="D152" s="30" t="str">
        <x:f>IF(B152="","",IF(COUNTIFS(Equipment[组合编号],B152)&lt;&gt;1,"组合编号无效",INDEX(Equipment[驱动品牌],MATCH(B152,Equipment[组合编号],0))))</x:f>
        <x:v>台达</x:v>
      </x:c>
      <x:c r="E152" s="20" t="str">
        <x:v>U10</x:v>
      </x:c>
      <x:c r="F152" s="20"/>
      <x:c r="G152" s="20"/>
      <x:c r="H152" s="20" t="str">
        <x:v>待判定</x:v>
      </x:c>
      <x:c r="I152" s="20"/>
      <x:c r="J152" s="20" t="str">
        <x:v>未测试</x:v>
      </x:c>
      <x:c r="K152" s="20"/>
      <x:c r="L152" s="20"/>
      <x:c r="M152" s="20"/>
      <x:c r="N152" s="20"/>
      <x:c r="O152" s="31"/>
      <x:c r="P152" s="20"/>
      <x:c r="Q152" s="20"/>
      <x:c r="R152" s="20" t="str">
        <x:v>待展开</x:v>
      </x:c>
      <x:c r="S152" s="20"/>
      <x:c r="T152" s="31"/>
      <x:c r="U152" s="30" t="str">
        <x:f>IF(A152="","缺记录编号",IF(COUNTIFS(PathRecords[记录编号],A152)&lt;&gt;1,"记录编号重复",IF(OR(B152="",E152=""),"缺组合/功能",IF(COUNTIFS(Equipment[组合编号],B152)&lt;&gt;1,"组合编号无效",IF(COUNTIFS(FunctionMatrix[编号],E152)=0,"功能编号无效",IF(H152="不适用",IF(J152="已实测","适用性冲突",IF(I152="","待补不适用依据","不适用（非实测）")),IF(J152="阻塞",IF(I152="","待补阻塞原因","阻塞（非实测）"),IF(J152&lt;&gt;"已实测",IF(F152="","待展开路径","未实测"),IF(H152&lt;&gt;"适用","待确认适用性",IF(INDEX(Equipment[登记状态（自动）],MATCH(B152,Equipment[组合编号],0))&lt;&gt;"已登记","待补设备组合",IF(AND(F152&lt;&gt;"",G152&lt;&gt;"",K152&lt;&gt;"",L152&lt;&gt;"",M152&lt;&gt;"",N152&lt;&gt;"",ISNUMBER(O152),O152&gt;0,P152&lt;&gt;""),"记录齐全","待补实测记录")))))))))))</x:f>
        <x:v>待展开路径</x:v>
      </x:c>
    </x:row>
    <x:row r="153" ht="43.5" customHeight="1">
      <x:c r="A153" s="20" t="str">
        <x:v>REC-00144</x:v>
      </x:c>
      <x:c r="B153" s="20" t="str">
        <x:v>P1-B2-01</x:v>
      </x:c>
      <x:c r="C153" s="30" t="str">
        <x:f>IF(B153="","",IF(COUNTIFS(Equipment[组合编号],B153)&lt;&gt;1,"组合编号无效",INDEX(Equipment[PLC组],MATCH(B153,Equipment[组合编号],0))))</x:f>
        <x:v>汇川小型</x:v>
      </x:c>
      <x:c r="D153" s="30" t="str">
        <x:f>IF(B153="","",IF(COUNTIFS(Equipment[组合编号],B153)&lt;&gt;1,"组合编号无效",INDEX(Equipment[驱动品牌],MATCH(B153,Equipment[组合编号],0))))</x:f>
        <x:v>台达</x:v>
      </x:c>
      <x:c r="E153" s="20" t="str">
        <x:v>H01</x:v>
      </x:c>
      <x:c r="F153" s="20"/>
      <x:c r="G153" s="20"/>
      <x:c r="H153" s="20" t="str">
        <x:v>待判定</x:v>
      </x:c>
      <x:c r="I153" s="20"/>
      <x:c r="J153" s="20" t="str">
        <x:v>未测试</x:v>
      </x:c>
      <x:c r="K153" s="20"/>
      <x:c r="L153" s="20"/>
      <x:c r="M153" s="20"/>
      <x:c r="N153" s="20"/>
      <x:c r="O153" s="31"/>
      <x:c r="P153" s="20"/>
      <x:c r="Q153" s="20"/>
      <x:c r="R153" s="20" t="str">
        <x:v>待展开</x:v>
      </x:c>
      <x:c r="S153" s="20"/>
      <x:c r="T153" s="31"/>
      <x:c r="U153" s="30" t="str">
        <x:f>IF(A153="","缺记录编号",IF(COUNTIFS(PathRecords[记录编号],A153)&lt;&gt;1,"记录编号重复",IF(OR(B153="",E153=""),"缺组合/功能",IF(COUNTIFS(Equipment[组合编号],B153)&lt;&gt;1,"组合编号无效",IF(COUNTIFS(FunctionMatrix[编号],E153)=0,"功能编号无效",IF(H153="不适用",IF(J153="已实测","适用性冲突",IF(I153="","待补不适用依据","不适用（非实测）")),IF(J153="阻塞",IF(I153="","待补阻塞原因","阻塞（非实测）"),IF(J153&lt;&gt;"已实测",IF(F153="","待展开路径","未实测"),IF(H153&lt;&gt;"适用","待确认适用性",IF(INDEX(Equipment[登记状态（自动）],MATCH(B153,Equipment[组合编号],0))&lt;&gt;"已登记","待补设备组合",IF(AND(F153&lt;&gt;"",G153&lt;&gt;"",K153&lt;&gt;"",L153&lt;&gt;"",M153&lt;&gt;"",N153&lt;&gt;"",ISNUMBER(O153),O153&gt;0,P153&lt;&gt;""),"记录齐全","待补实测记录")))))))))))</x:f>
        <x:v>待展开路径</x:v>
      </x:c>
    </x:row>
    <x:row r="154" ht="43.5" customHeight="1">
      <x:c r="A154" s="20" t="str">
        <x:v>REC-00145</x:v>
      </x:c>
      <x:c r="B154" s="20" t="str">
        <x:v>P1-B2-01</x:v>
      </x:c>
      <x:c r="C154" s="30" t="str">
        <x:f>IF(B154="","",IF(COUNTIFS(Equipment[组合编号],B154)&lt;&gt;1,"组合编号无效",INDEX(Equipment[PLC组],MATCH(B154,Equipment[组合编号],0))))</x:f>
        <x:v>汇川小型</x:v>
      </x:c>
      <x:c r="D154" s="30" t="str">
        <x:f>IF(B154="","",IF(COUNTIFS(Equipment[组合编号],B154)&lt;&gt;1,"组合编号无效",INDEX(Equipment[驱动品牌],MATCH(B154,Equipment[组合编号],0))))</x:f>
        <x:v>台达</x:v>
      </x:c>
      <x:c r="E154" s="20" t="str">
        <x:v>H02</x:v>
      </x:c>
      <x:c r="F154" s="20"/>
      <x:c r="G154" s="20"/>
      <x:c r="H154" s="20" t="str">
        <x:v>待判定</x:v>
      </x:c>
      <x:c r="I154" s="20"/>
      <x:c r="J154" s="20" t="str">
        <x:v>未测试</x:v>
      </x:c>
      <x:c r="K154" s="20"/>
      <x:c r="L154" s="20"/>
      <x:c r="M154" s="20"/>
      <x:c r="N154" s="20"/>
      <x:c r="O154" s="31"/>
      <x:c r="P154" s="20"/>
      <x:c r="Q154" s="20"/>
      <x:c r="R154" s="20" t="str">
        <x:v>待展开</x:v>
      </x:c>
      <x:c r="S154" s="20"/>
      <x:c r="T154" s="31"/>
      <x:c r="U154" s="30" t="str">
        <x:f>IF(A154="","缺记录编号",IF(COUNTIFS(PathRecords[记录编号],A154)&lt;&gt;1,"记录编号重复",IF(OR(B154="",E154=""),"缺组合/功能",IF(COUNTIFS(Equipment[组合编号],B154)&lt;&gt;1,"组合编号无效",IF(COUNTIFS(FunctionMatrix[编号],E154)=0,"功能编号无效",IF(H154="不适用",IF(J154="已实测","适用性冲突",IF(I154="","待补不适用依据","不适用（非实测）")),IF(J154="阻塞",IF(I154="","待补阻塞原因","阻塞（非实测）"),IF(J154&lt;&gt;"已实测",IF(F154="","待展开路径","未实测"),IF(H154&lt;&gt;"适用","待确认适用性",IF(INDEX(Equipment[登记状态（自动）],MATCH(B154,Equipment[组合编号],0))&lt;&gt;"已登记","待补设备组合",IF(AND(F154&lt;&gt;"",G154&lt;&gt;"",K154&lt;&gt;"",L154&lt;&gt;"",M154&lt;&gt;"",N154&lt;&gt;"",ISNUMBER(O154),O154&gt;0,P154&lt;&gt;""),"记录齐全","待补实测记录")))))))))))</x:f>
        <x:v>待展开路径</x:v>
      </x:c>
    </x:row>
    <x:row r="155" ht="43.5" customHeight="1">
      <x:c r="A155" s="20" t="str">
        <x:v>REC-00146</x:v>
      </x:c>
      <x:c r="B155" s="20" t="str">
        <x:v>P1-B2-01</x:v>
      </x:c>
      <x:c r="C155" s="30" t="str">
        <x:f>IF(B155="","",IF(COUNTIFS(Equipment[组合编号],B155)&lt;&gt;1,"组合编号无效",INDEX(Equipment[PLC组],MATCH(B155,Equipment[组合编号],0))))</x:f>
        <x:v>汇川小型</x:v>
      </x:c>
      <x:c r="D155" s="30" t="str">
        <x:f>IF(B155="","",IF(COUNTIFS(Equipment[组合编号],B155)&lt;&gt;1,"组合编号无效",INDEX(Equipment[驱动品牌],MATCH(B155,Equipment[组合编号],0))))</x:f>
        <x:v>台达</x:v>
      </x:c>
      <x:c r="E155" s="20" t="str">
        <x:v>H03</x:v>
      </x:c>
      <x:c r="F155" s="20"/>
      <x:c r="G155" s="20"/>
      <x:c r="H155" s="20" t="str">
        <x:v>待判定</x:v>
      </x:c>
      <x:c r="I155" s="20"/>
      <x:c r="J155" s="20" t="str">
        <x:v>未测试</x:v>
      </x:c>
      <x:c r="K155" s="20"/>
      <x:c r="L155" s="20"/>
      <x:c r="M155" s="20"/>
      <x:c r="N155" s="20"/>
      <x:c r="O155" s="31"/>
      <x:c r="P155" s="20"/>
      <x:c r="Q155" s="20"/>
      <x:c r="R155" s="20" t="str">
        <x:v>待展开</x:v>
      </x:c>
      <x:c r="S155" s="20"/>
      <x:c r="T155" s="31"/>
      <x:c r="U155" s="30" t="str">
        <x:f>IF(A155="","缺记录编号",IF(COUNTIFS(PathRecords[记录编号],A155)&lt;&gt;1,"记录编号重复",IF(OR(B155="",E155=""),"缺组合/功能",IF(COUNTIFS(Equipment[组合编号],B155)&lt;&gt;1,"组合编号无效",IF(COUNTIFS(FunctionMatrix[编号],E155)=0,"功能编号无效",IF(H155="不适用",IF(J155="已实测","适用性冲突",IF(I155="","待补不适用依据","不适用（非实测）")),IF(J155="阻塞",IF(I155="","待补阻塞原因","阻塞（非实测）"),IF(J155&lt;&gt;"已实测",IF(F155="","待展开路径","未实测"),IF(H155&lt;&gt;"适用","待确认适用性",IF(INDEX(Equipment[登记状态（自动）],MATCH(B155,Equipment[组合编号],0))&lt;&gt;"已登记","待补设备组合",IF(AND(F155&lt;&gt;"",G155&lt;&gt;"",K155&lt;&gt;"",L155&lt;&gt;"",M155&lt;&gt;"",N155&lt;&gt;"",ISNUMBER(O155),O155&gt;0,P155&lt;&gt;""),"记录齐全","待补实测记录")))))))))))</x:f>
        <x:v>待展开路径</x:v>
      </x:c>
    </x:row>
    <x:row r="156" ht="43.5" customHeight="1">
      <x:c r="A156" s="20" t="str">
        <x:v>REC-00147</x:v>
      </x:c>
      <x:c r="B156" s="20" t="str">
        <x:v>P1-B2-01</x:v>
      </x:c>
      <x:c r="C156" s="30" t="str">
        <x:f>IF(B156="","",IF(COUNTIFS(Equipment[组合编号],B156)&lt;&gt;1,"组合编号无效",INDEX(Equipment[PLC组],MATCH(B156,Equipment[组合编号],0))))</x:f>
        <x:v>汇川小型</x:v>
      </x:c>
      <x:c r="D156" s="30" t="str">
        <x:f>IF(B156="","",IF(COUNTIFS(Equipment[组合编号],B156)&lt;&gt;1,"组合编号无效",INDEX(Equipment[驱动品牌],MATCH(B156,Equipment[组合编号],0))))</x:f>
        <x:v>台达</x:v>
      </x:c>
      <x:c r="E156" s="20" t="str">
        <x:v>H04</x:v>
      </x:c>
      <x:c r="F156" s="20"/>
      <x:c r="G156" s="20"/>
      <x:c r="H156" s="20" t="str">
        <x:v>待判定</x:v>
      </x:c>
      <x:c r="I156" s="20"/>
      <x:c r="J156" s="20" t="str">
        <x:v>未测试</x:v>
      </x:c>
      <x:c r="K156" s="20"/>
      <x:c r="L156" s="20"/>
      <x:c r="M156" s="20"/>
      <x:c r="N156" s="20"/>
      <x:c r="O156" s="31"/>
      <x:c r="P156" s="20"/>
      <x:c r="Q156" s="20"/>
      <x:c r="R156" s="20" t="str">
        <x:v>待展开</x:v>
      </x:c>
      <x:c r="S156" s="20"/>
      <x:c r="T156" s="31"/>
      <x:c r="U156" s="30" t="str">
        <x:f>IF(A156="","缺记录编号",IF(COUNTIFS(PathRecords[记录编号],A156)&lt;&gt;1,"记录编号重复",IF(OR(B156="",E156=""),"缺组合/功能",IF(COUNTIFS(Equipment[组合编号],B156)&lt;&gt;1,"组合编号无效",IF(COUNTIFS(FunctionMatrix[编号],E156)=0,"功能编号无效",IF(H156="不适用",IF(J156="已实测","适用性冲突",IF(I156="","待补不适用依据","不适用（非实测）")),IF(J156="阻塞",IF(I156="","待补阻塞原因","阻塞（非实测）"),IF(J156&lt;&gt;"已实测",IF(F156="","待展开路径","未实测"),IF(H156&lt;&gt;"适用","待确认适用性",IF(INDEX(Equipment[登记状态（自动）],MATCH(B156,Equipment[组合编号],0))&lt;&gt;"已登记","待补设备组合",IF(AND(F156&lt;&gt;"",G156&lt;&gt;"",K156&lt;&gt;"",L156&lt;&gt;"",M156&lt;&gt;"",N156&lt;&gt;"",ISNUMBER(O156),O156&gt;0,P156&lt;&gt;""),"记录齐全","待补实测记录")))))))))))</x:f>
        <x:v>待展开路径</x:v>
      </x:c>
    </x:row>
    <x:row r="157" ht="43.5" customHeight="1">
      <x:c r="A157" s="20" t="str">
        <x:v>REC-00148</x:v>
      </x:c>
      <x:c r="B157" s="20" t="str">
        <x:v>P1-B2-01</x:v>
      </x:c>
      <x:c r="C157" s="30" t="str">
        <x:f>IF(B157="","",IF(COUNTIFS(Equipment[组合编号],B157)&lt;&gt;1,"组合编号无效",INDEX(Equipment[PLC组],MATCH(B157,Equipment[组合编号],0))))</x:f>
        <x:v>汇川小型</x:v>
      </x:c>
      <x:c r="D157" s="30" t="str">
        <x:f>IF(B157="","",IF(COUNTIFS(Equipment[组合编号],B157)&lt;&gt;1,"组合编号无效",INDEX(Equipment[驱动品牌],MATCH(B157,Equipment[组合编号],0))))</x:f>
        <x:v>台达</x:v>
      </x:c>
      <x:c r="E157" s="20" t="str">
        <x:v>H05</x:v>
      </x:c>
      <x:c r="F157" s="20"/>
      <x:c r="G157" s="20"/>
      <x:c r="H157" s="20" t="str">
        <x:v>待判定</x:v>
      </x:c>
      <x:c r="I157" s="20"/>
      <x:c r="J157" s="20" t="str">
        <x:v>未测试</x:v>
      </x:c>
      <x:c r="K157" s="20"/>
      <x:c r="L157" s="20"/>
      <x:c r="M157" s="20"/>
      <x:c r="N157" s="20"/>
      <x:c r="O157" s="31"/>
      <x:c r="P157" s="20"/>
      <x:c r="Q157" s="20"/>
      <x:c r="R157" s="20" t="str">
        <x:v>待展开</x:v>
      </x:c>
      <x:c r="S157" s="20"/>
      <x:c r="T157" s="31"/>
      <x:c r="U157" s="30" t="str">
        <x:f>IF(A157="","缺记录编号",IF(COUNTIFS(PathRecords[记录编号],A157)&lt;&gt;1,"记录编号重复",IF(OR(B157="",E157=""),"缺组合/功能",IF(COUNTIFS(Equipment[组合编号],B157)&lt;&gt;1,"组合编号无效",IF(COUNTIFS(FunctionMatrix[编号],E157)=0,"功能编号无效",IF(H157="不适用",IF(J157="已实测","适用性冲突",IF(I157="","待补不适用依据","不适用（非实测）")),IF(J157="阻塞",IF(I157="","待补阻塞原因","阻塞（非实测）"),IF(J157&lt;&gt;"已实测",IF(F157="","待展开路径","未实测"),IF(H157&lt;&gt;"适用","待确认适用性",IF(INDEX(Equipment[登记状态（自动）],MATCH(B157,Equipment[组合编号],0))&lt;&gt;"已登记","待补设备组合",IF(AND(F157&lt;&gt;"",G157&lt;&gt;"",K157&lt;&gt;"",L157&lt;&gt;"",M157&lt;&gt;"",N157&lt;&gt;"",ISNUMBER(O157),O157&gt;0,P157&lt;&gt;""),"记录齐全","待补实测记录")))))))))))</x:f>
        <x:v>待展开路径</x:v>
      </x:c>
    </x:row>
    <x:row r="158" ht="43.5" customHeight="1">
      <x:c r="A158" s="20" t="str">
        <x:v>REC-00149</x:v>
      </x:c>
      <x:c r="B158" s="20" t="str">
        <x:v>P1-B2-01</x:v>
      </x:c>
      <x:c r="C158" s="30" t="str">
        <x:f>IF(B158="","",IF(COUNTIFS(Equipment[组合编号],B158)&lt;&gt;1,"组合编号无效",INDEX(Equipment[PLC组],MATCH(B158,Equipment[组合编号],0))))</x:f>
        <x:v>汇川小型</x:v>
      </x:c>
      <x:c r="D158" s="30" t="str">
        <x:f>IF(B158="","",IF(COUNTIFS(Equipment[组合编号],B158)&lt;&gt;1,"组合编号无效",INDEX(Equipment[驱动品牌],MATCH(B158,Equipment[组合编号],0))))</x:f>
        <x:v>台达</x:v>
      </x:c>
      <x:c r="E158" s="20" t="str">
        <x:v>H06</x:v>
      </x:c>
      <x:c r="F158" s="20"/>
      <x:c r="G158" s="20"/>
      <x:c r="H158" s="20" t="str">
        <x:v>待判定</x:v>
      </x:c>
      <x:c r="I158" s="20"/>
      <x:c r="J158" s="20" t="str">
        <x:v>未测试</x:v>
      </x:c>
      <x:c r="K158" s="20"/>
      <x:c r="L158" s="20"/>
      <x:c r="M158" s="20"/>
      <x:c r="N158" s="20"/>
      <x:c r="O158" s="31"/>
      <x:c r="P158" s="20"/>
      <x:c r="Q158" s="20"/>
      <x:c r="R158" s="20" t="str">
        <x:v>待展开</x:v>
      </x:c>
      <x:c r="S158" s="20"/>
      <x:c r="T158" s="31"/>
      <x:c r="U158" s="30" t="str">
        <x:f>IF(A158="","缺记录编号",IF(COUNTIFS(PathRecords[记录编号],A158)&lt;&gt;1,"记录编号重复",IF(OR(B158="",E158=""),"缺组合/功能",IF(COUNTIFS(Equipment[组合编号],B158)&lt;&gt;1,"组合编号无效",IF(COUNTIFS(FunctionMatrix[编号],E158)=0,"功能编号无效",IF(H158="不适用",IF(J158="已实测","适用性冲突",IF(I158="","待补不适用依据","不适用（非实测）")),IF(J158="阻塞",IF(I158="","待补阻塞原因","阻塞（非实测）"),IF(J158&lt;&gt;"已实测",IF(F158="","待展开路径","未实测"),IF(H158&lt;&gt;"适用","待确认适用性",IF(INDEX(Equipment[登记状态（自动）],MATCH(B158,Equipment[组合编号],0))&lt;&gt;"已登记","待补设备组合",IF(AND(F158&lt;&gt;"",G158&lt;&gt;"",K158&lt;&gt;"",L158&lt;&gt;"",M158&lt;&gt;"",N158&lt;&gt;"",ISNUMBER(O158),O158&gt;0,P158&lt;&gt;""),"记录齐全","待补实测记录")))))))))))</x:f>
        <x:v>待展开路径</x:v>
      </x:c>
    </x:row>
    <x:row r="159" ht="43.5" customHeight="1">
      <x:c r="A159" s="20" t="str">
        <x:v>REC-00150</x:v>
      </x:c>
      <x:c r="B159" s="20" t="str">
        <x:v>P1-B2-01</x:v>
      </x:c>
      <x:c r="C159" s="30" t="str">
        <x:f>IF(B159="","",IF(COUNTIFS(Equipment[组合编号],B159)&lt;&gt;1,"组合编号无效",INDEX(Equipment[PLC组],MATCH(B159,Equipment[组合编号],0))))</x:f>
        <x:v>汇川小型</x:v>
      </x:c>
      <x:c r="D159" s="30" t="str">
        <x:f>IF(B159="","",IF(COUNTIFS(Equipment[组合编号],B159)&lt;&gt;1,"组合编号无效",INDEX(Equipment[驱动品牌],MATCH(B159,Equipment[组合编号],0))))</x:f>
        <x:v>台达</x:v>
      </x:c>
      <x:c r="E159" s="20" t="str">
        <x:v>H07</x:v>
      </x:c>
      <x:c r="F159" s="20"/>
      <x:c r="G159" s="20"/>
      <x:c r="H159" s="20" t="str">
        <x:v>待判定</x:v>
      </x:c>
      <x:c r="I159" s="20"/>
      <x:c r="J159" s="20" t="str">
        <x:v>未测试</x:v>
      </x:c>
      <x:c r="K159" s="20"/>
      <x:c r="L159" s="20"/>
      <x:c r="M159" s="20"/>
      <x:c r="N159" s="20"/>
      <x:c r="O159" s="31"/>
      <x:c r="P159" s="20"/>
      <x:c r="Q159" s="20"/>
      <x:c r="R159" s="20" t="str">
        <x:v>待展开</x:v>
      </x:c>
      <x:c r="S159" s="20"/>
      <x:c r="T159" s="31"/>
      <x:c r="U159" s="30" t="str">
        <x:f>IF(A159="","缺记录编号",IF(COUNTIFS(PathRecords[记录编号],A159)&lt;&gt;1,"记录编号重复",IF(OR(B159="",E159=""),"缺组合/功能",IF(COUNTIFS(Equipment[组合编号],B159)&lt;&gt;1,"组合编号无效",IF(COUNTIFS(FunctionMatrix[编号],E159)=0,"功能编号无效",IF(H159="不适用",IF(J159="已实测","适用性冲突",IF(I159="","待补不适用依据","不适用（非实测）")),IF(J159="阻塞",IF(I159="","待补阻塞原因","阻塞（非实测）"),IF(J159&lt;&gt;"已实测",IF(F159="","待展开路径","未实测"),IF(H159&lt;&gt;"适用","待确认适用性",IF(INDEX(Equipment[登记状态（自动）],MATCH(B159,Equipment[组合编号],0))&lt;&gt;"已登记","待补设备组合",IF(AND(F159&lt;&gt;"",G159&lt;&gt;"",K159&lt;&gt;"",L159&lt;&gt;"",M159&lt;&gt;"",N159&lt;&gt;"",ISNUMBER(O159),O159&gt;0,P159&lt;&gt;""),"记录齐全","待补实测记录")))))))))))</x:f>
        <x:v>待展开路径</x:v>
      </x:c>
    </x:row>
    <x:row r="160" ht="43.5" customHeight="1">
      <x:c r="A160" s="20" t="str">
        <x:v>REC-00151</x:v>
      </x:c>
      <x:c r="B160" s="20" t="str">
        <x:v>P1-B2-01</x:v>
      </x:c>
      <x:c r="C160" s="30" t="str">
        <x:f>IF(B160="","",IF(COUNTIFS(Equipment[组合编号],B160)&lt;&gt;1,"组合编号无效",INDEX(Equipment[PLC组],MATCH(B160,Equipment[组合编号],0))))</x:f>
        <x:v>汇川小型</x:v>
      </x:c>
      <x:c r="D160" s="30" t="str">
        <x:f>IF(B160="","",IF(COUNTIFS(Equipment[组合编号],B160)&lt;&gt;1,"组合编号无效",INDEX(Equipment[驱动品牌],MATCH(B160,Equipment[组合编号],0))))</x:f>
        <x:v>台达</x:v>
      </x:c>
      <x:c r="E160" s="20" t="str">
        <x:v>H08</x:v>
      </x:c>
      <x:c r="F160" s="20"/>
      <x:c r="G160" s="20"/>
      <x:c r="H160" s="20" t="str">
        <x:v>待判定</x:v>
      </x:c>
      <x:c r="I160" s="20"/>
      <x:c r="J160" s="20" t="str">
        <x:v>未测试</x:v>
      </x:c>
      <x:c r="K160" s="20"/>
      <x:c r="L160" s="20"/>
      <x:c r="M160" s="20"/>
      <x:c r="N160" s="20"/>
      <x:c r="O160" s="31"/>
      <x:c r="P160" s="20"/>
      <x:c r="Q160" s="20"/>
      <x:c r="R160" s="20" t="str">
        <x:v>待展开</x:v>
      </x:c>
      <x:c r="S160" s="20"/>
      <x:c r="T160" s="31"/>
      <x:c r="U160" s="30" t="str">
        <x:f>IF(A160="","缺记录编号",IF(COUNTIFS(PathRecords[记录编号],A160)&lt;&gt;1,"记录编号重复",IF(OR(B160="",E160=""),"缺组合/功能",IF(COUNTIFS(Equipment[组合编号],B160)&lt;&gt;1,"组合编号无效",IF(COUNTIFS(FunctionMatrix[编号],E160)=0,"功能编号无效",IF(H160="不适用",IF(J160="已实测","适用性冲突",IF(I160="","待补不适用依据","不适用（非实测）")),IF(J160="阻塞",IF(I160="","待补阻塞原因","阻塞（非实测）"),IF(J160&lt;&gt;"已实测",IF(F160="","待展开路径","未实测"),IF(H160&lt;&gt;"适用","待确认适用性",IF(INDEX(Equipment[登记状态（自动）],MATCH(B160,Equipment[组合编号],0))&lt;&gt;"已登记","待补设备组合",IF(AND(F160&lt;&gt;"",G160&lt;&gt;"",K160&lt;&gt;"",L160&lt;&gt;"",M160&lt;&gt;"",N160&lt;&gt;"",ISNUMBER(O160),O160&gt;0,P160&lt;&gt;""),"记录齐全","待补实测记录")))))))))))</x:f>
        <x:v>待展开路径</x:v>
      </x:c>
    </x:row>
    <x:row r="161" ht="43.5" customHeight="1">
      <x:c r="A161" s="20" t="str">
        <x:v>REC-00152</x:v>
      </x:c>
      <x:c r="B161" s="20" t="str">
        <x:v>P1-B2-01</x:v>
      </x:c>
      <x:c r="C161" s="30" t="str">
        <x:f>IF(B161="","",IF(COUNTIFS(Equipment[组合编号],B161)&lt;&gt;1,"组合编号无效",INDEX(Equipment[PLC组],MATCH(B161,Equipment[组合编号],0))))</x:f>
        <x:v>汇川小型</x:v>
      </x:c>
      <x:c r="D161" s="30" t="str">
        <x:f>IF(B161="","",IF(COUNTIFS(Equipment[组合编号],B161)&lt;&gt;1,"组合编号无效",INDEX(Equipment[驱动品牌],MATCH(B161,Equipment[组合编号],0))))</x:f>
        <x:v>台达</x:v>
      </x:c>
      <x:c r="E161" s="20" t="str">
        <x:v>H09</x:v>
      </x:c>
      <x:c r="F161" s="20"/>
      <x:c r="G161" s="20"/>
      <x:c r="H161" s="20" t="str">
        <x:v>待判定</x:v>
      </x:c>
      <x:c r="I161" s="20"/>
      <x:c r="J161" s="20" t="str">
        <x:v>未测试</x:v>
      </x:c>
      <x:c r="K161" s="20"/>
      <x:c r="L161" s="20"/>
      <x:c r="M161" s="20"/>
      <x:c r="N161" s="20"/>
      <x:c r="O161" s="31"/>
      <x:c r="P161" s="20"/>
      <x:c r="Q161" s="20"/>
      <x:c r="R161" s="20" t="str">
        <x:v>待展开</x:v>
      </x:c>
      <x:c r="S161" s="20"/>
      <x:c r="T161" s="31"/>
      <x:c r="U161" s="30" t="str">
        <x:f>IF(A161="","缺记录编号",IF(COUNTIFS(PathRecords[记录编号],A161)&lt;&gt;1,"记录编号重复",IF(OR(B161="",E161=""),"缺组合/功能",IF(COUNTIFS(Equipment[组合编号],B161)&lt;&gt;1,"组合编号无效",IF(COUNTIFS(FunctionMatrix[编号],E161)=0,"功能编号无效",IF(H161="不适用",IF(J161="已实测","适用性冲突",IF(I161="","待补不适用依据","不适用（非实测）")),IF(J161="阻塞",IF(I161="","待补阻塞原因","阻塞（非实测）"),IF(J161&lt;&gt;"已实测",IF(F161="","待展开路径","未实测"),IF(H161&lt;&gt;"适用","待确认适用性",IF(INDEX(Equipment[登记状态（自动）],MATCH(B161,Equipment[组合编号],0))&lt;&gt;"已登记","待补设备组合",IF(AND(F161&lt;&gt;"",G161&lt;&gt;"",K161&lt;&gt;"",L161&lt;&gt;"",M161&lt;&gt;"",N161&lt;&gt;"",ISNUMBER(O161),O161&gt;0,P161&lt;&gt;""),"记录齐全","待补实测记录")))))))))))</x:f>
        <x:v>待展开路径</x:v>
      </x:c>
    </x:row>
    <x:row r="162" ht="43.5" customHeight="1">
      <x:c r="A162" s="20" t="str">
        <x:v>REC-00153</x:v>
      </x:c>
      <x:c r="B162" s="20" t="str">
        <x:v>P1-B2-01</x:v>
      </x:c>
      <x:c r="C162" s="30" t="str">
        <x:f>IF(B162="","",IF(COUNTIFS(Equipment[组合编号],B162)&lt;&gt;1,"组合编号无效",INDEX(Equipment[PLC组],MATCH(B162,Equipment[组合编号],0))))</x:f>
        <x:v>汇川小型</x:v>
      </x:c>
      <x:c r="D162" s="30" t="str">
        <x:f>IF(B162="","",IF(COUNTIFS(Equipment[组合编号],B162)&lt;&gt;1,"组合编号无效",INDEX(Equipment[驱动品牌],MATCH(B162,Equipment[组合编号],0))))</x:f>
        <x:v>台达</x:v>
      </x:c>
      <x:c r="E162" s="20" t="str">
        <x:v>H10</x:v>
      </x:c>
      <x:c r="F162" s="20"/>
      <x:c r="G162" s="20"/>
      <x:c r="H162" s="20" t="str">
        <x:v>待判定</x:v>
      </x:c>
      <x:c r="I162" s="20"/>
      <x:c r="J162" s="20" t="str">
        <x:v>未测试</x:v>
      </x:c>
      <x:c r="K162" s="20"/>
      <x:c r="L162" s="20"/>
      <x:c r="M162" s="20"/>
      <x:c r="N162" s="20"/>
      <x:c r="O162" s="31"/>
      <x:c r="P162" s="20"/>
      <x:c r="Q162" s="20"/>
      <x:c r="R162" s="20" t="str">
        <x:v>待展开</x:v>
      </x:c>
      <x:c r="S162" s="20"/>
      <x:c r="T162" s="31"/>
      <x:c r="U162" s="30" t="str">
        <x:f>IF(A162="","缺记录编号",IF(COUNTIFS(PathRecords[记录编号],A162)&lt;&gt;1,"记录编号重复",IF(OR(B162="",E162=""),"缺组合/功能",IF(COUNTIFS(Equipment[组合编号],B162)&lt;&gt;1,"组合编号无效",IF(COUNTIFS(FunctionMatrix[编号],E162)=0,"功能编号无效",IF(H162="不适用",IF(J162="已实测","适用性冲突",IF(I162="","待补不适用依据","不适用（非实测）")),IF(J162="阻塞",IF(I162="","待补阻塞原因","阻塞（非实测）"),IF(J162&lt;&gt;"已实测",IF(F162="","待展开路径","未实测"),IF(H162&lt;&gt;"适用","待确认适用性",IF(INDEX(Equipment[登记状态（自动）],MATCH(B162,Equipment[组合编号],0))&lt;&gt;"已登记","待补设备组合",IF(AND(F162&lt;&gt;"",G162&lt;&gt;"",K162&lt;&gt;"",L162&lt;&gt;"",M162&lt;&gt;"",N162&lt;&gt;"",ISNUMBER(O162),O162&gt;0,P162&lt;&gt;""),"记录齐全","待补实测记录")))))))))))</x:f>
        <x:v>待展开路径</x:v>
      </x:c>
    </x:row>
    <x:row r="163" ht="43.5" customHeight="1">
      <x:c r="A163" s="20" t="str">
        <x:v>REC-00154</x:v>
      </x:c>
      <x:c r="B163" s="20" t="str">
        <x:v>P1-B2-01</x:v>
      </x:c>
      <x:c r="C163" s="30" t="str">
        <x:f>IF(B163="","",IF(COUNTIFS(Equipment[组合编号],B163)&lt;&gt;1,"组合编号无效",INDEX(Equipment[PLC组],MATCH(B163,Equipment[组合编号],0))))</x:f>
        <x:v>汇川小型</x:v>
      </x:c>
      <x:c r="D163" s="30" t="str">
        <x:f>IF(B163="","",IF(COUNTIFS(Equipment[组合编号],B163)&lt;&gt;1,"组合编号无效",INDEX(Equipment[驱动品牌],MATCH(B163,Equipment[组合编号],0))))</x:f>
        <x:v>台达</x:v>
      </x:c>
      <x:c r="E163" s="20" t="str">
        <x:v>H11</x:v>
      </x:c>
      <x:c r="F163" s="20"/>
      <x:c r="G163" s="20"/>
      <x:c r="H163" s="20" t="str">
        <x:v>待判定</x:v>
      </x:c>
      <x:c r="I163" s="20"/>
      <x:c r="J163" s="20" t="str">
        <x:v>未测试</x:v>
      </x:c>
      <x:c r="K163" s="20"/>
      <x:c r="L163" s="20"/>
      <x:c r="M163" s="20"/>
      <x:c r="N163" s="20"/>
      <x:c r="O163" s="31"/>
      <x:c r="P163" s="20"/>
      <x:c r="Q163" s="20"/>
      <x:c r="R163" s="20" t="str">
        <x:v>待展开</x:v>
      </x:c>
      <x:c r="S163" s="20"/>
      <x:c r="T163" s="31"/>
      <x:c r="U163" s="30" t="str">
        <x:f>IF(A163="","缺记录编号",IF(COUNTIFS(PathRecords[记录编号],A163)&lt;&gt;1,"记录编号重复",IF(OR(B163="",E163=""),"缺组合/功能",IF(COUNTIFS(Equipment[组合编号],B163)&lt;&gt;1,"组合编号无效",IF(COUNTIFS(FunctionMatrix[编号],E163)=0,"功能编号无效",IF(H163="不适用",IF(J163="已实测","适用性冲突",IF(I163="","待补不适用依据","不适用（非实测）")),IF(J163="阻塞",IF(I163="","待补阻塞原因","阻塞（非实测）"),IF(J163&lt;&gt;"已实测",IF(F163="","待展开路径","未实测"),IF(H163&lt;&gt;"适用","待确认适用性",IF(INDEX(Equipment[登记状态（自动）],MATCH(B163,Equipment[组合编号],0))&lt;&gt;"已登记","待补设备组合",IF(AND(F163&lt;&gt;"",G163&lt;&gt;"",K163&lt;&gt;"",L163&lt;&gt;"",M163&lt;&gt;"",N163&lt;&gt;"",ISNUMBER(O163),O163&gt;0,P163&lt;&gt;""),"记录齐全","待补实测记录")))))))))))</x:f>
        <x:v>待展开路径</x:v>
      </x:c>
    </x:row>
    <x:row r="164" ht="43.5" customHeight="1">
      <x:c r="A164" s="20" t="str">
        <x:v>REC-00155</x:v>
      </x:c>
      <x:c r="B164" s="20" t="str">
        <x:v>P1-B2-01</x:v>
      </x:c>
      <x:c r="C164" s="30" t="str">
        <x:f>IF(B164="","",IF(COUNTIFS(Equipment[组合编号],B164)&lt;&gt;1,"组合编号无效",INDEX(Equipment[PLC组],MATCH(B164,Equipment[组合编号],0))))</x:f>
        <x:v>汇川小型</x:v>
      </x:c>
      <x:c r="D164" s="30" t="str">
        <x:f>IF(B164="","",IF(COUNTIFS(Equipment[组合编号],B164)&lt;&gt;1,"组合编号无效",INDEX(Equipment[驱动品牌],MATCH(B164,Equipment[组合编号],0))))</x:f>
        <x:v>台达</x:v>
      </x:c>
      <x:c r="E164" s="20" t="str">
        <x:v>N01</x:v>
      </x:c>
      <x:c r="F164" s="20"/>
      <x:c r="G164" s="20"/>
      <x:c r="H164" s="20" t="str">
        <x:v>待判定</x:v>
      </x:c>
      <x:c r="I164" s="20"/>
      <x:c r="J164" s="20" t="str">
        <x:v>未测试</x:v>
      </x:c>
      <x:c r="K164" s="20"/>
      <x:c r="L164" s="20"/>
      <x:c r="M164" s="20"/>
      <x:c r="N164" s="20"/>
      <x:c r="O164" s="31"/>
      <x:c r="P164" s="20"/>
      <x:c r="Q164" s="20"/>
      <x:c r="R164" s="20" t="str">
        <x:v>待展开</x:v>
      </x:c>
      <x:c r="S164" s="20"/>
      <x:c r="T164" s="31"/>
      <x:c r="U164" s="30" t="str">
        <x:f>IF(A164="","缺记录编号",IF(COUNTIFS(PathRecords[记录编号],A164)&lt;&gt;1,"记录编号重复",IF(OR(B164="",E164=""),"缺组合/功能",IF(COUNTIFS(Equipment[组合编号],B164)&lt;&gt;1,"组合编号无效",IF(COUNTIFS(FunctionMatrix[编号],E164)=0,"功能编号无效",IF(H164="不适用",IF(J164="已实测","适用性冲突",IF(I164="","待补不适用依据","不适用（非实测）")),IF(J164="阻塞",IF(I164="","待补阻塞原因","阻塞（非实测）"),IF(J164&lt;&gt;"已实测",IF(F164="","待展开路径","未实测"),IF(H164&lt;&gt;"适用","待确认适用性",IF(INDEX(Equipment[登记状态（自动）],MATCH(B164,Equipment[组合编号],0))&lt;&gt;"已登记","待补设备组合",IF(AND(F164&lt;&gt;"",G164&lt;&gt;"",K164&lt;&gt;"",L164&lt;&gt;"",M164&lt;&gt;"",N164&lt;&gt;"",ISNUMBER(O164),O164&gt;0,P164&lt;&gt;""),"记录齐全","待补实测记录")))))))))))</x:f>
        <x:v>待展开路径</x:v>
      </x:c>
    </x:row>
    <x:row r="165" ht="43.5" customHeight="1">
      <x:c r="A165" s="20" t="str">
        <x:v>REC-00156</x:v>
      </x:c>
      <x:c r="B165" s="20" t="str">
        <x:v>P1-B2-01</x:v>
      </x:c>
      <x:c r="C165" s="30" t="str">
        <x:f>IF(B165="","",IF(COUNTIFS(Equipment[组合编号],B165)&lt;&gt;1,"组合编号无效",INDEX(Equipment[PLC组],MATCH(B165,Equipment[组合编号],0))))</x:f>
        <x:v>汇川小型</x:v>
      </x:c>
      <x:c r="D165" s="30" t="str">
        <x:f>IF(B165="","",IF(COUNTIFS(Equipment[组合编号],B165)&lt;&gt;1,"组合编号无效",INDEX(Equipment[驱动品牌],MATCH(B165,Equipment[组合编号],0))))</x:f>
        <x:v>台达</x:v>
      </x:c>
      <x:c r="E165" s="20" t="str">
        <x:v>N02</x:v>
      </x:c>
      <x:c r="F165" s="20"/>
      <x:c r="G165" s="20"/>
      <x:c r="H165" s="20" t="str">
        <x:v>待判定</x:v>
      </x:c>
      <x:c r="I165" s="20"/>
      <x:c r="J165" s="20" t="str">
        <x:v>未测试</x:v>
      </x:c>
      <x:c r="K165" s="20"/>
      <x:c r="L165" s="20"/>
      <x:c r="M165" s="20"/>
      <x:c r="N165" s="20"/>
      <x:c r="O165" s="31"/>
      <x:c r="P165" s="20"/>
      <x:c r="Q165" s="20"/>
      <x:c r="R165" s="20" t="str">
        <x:v>待展开</x:v>
      </x:c>
      <x:c r="S165" s="20"/>
      <x:c r="T165" s="31"/>
      <x:c r="U165" s="30" t="str">
        <x:f>IF(A165="","缺记录编号",IF(COUNTIFS(PathRecords[记录编号],A165)&lt;&gt;1,"记录编号重复",IF(OR(B165="",E165=""),"缺组合/功能",IF(COUNTIFS(Equipment[组合编号],B165)&lt;&gt;1,"组合编号无效",IF(COUNTIFS(FunctionMatrix[编号],E165)=0,"功能编号无效",IF(H165="不适用",IF(J165="已实测","适用性冲突",IF(I165="","待补不适用依据","不适用（非实测）")),IF(J165="阻塞",IF(I165="","待补阻塞原因","阻塞（非实测）"),IF(J165&lt;&gt;"已实测",IF(F165="","待展开路径","未实测"),IF(H165&lt;&gt;"适用","待确认适用性",IF(INDEX(Equipment[登记状态（自动）],MATCH(B165,Equipment[组合编号],0))&lt;&gt;"已登记","待补设备组合",IF(AND(F165&lt;&gt;"",G165&lt;&gt;"",K165&lt;&gt;"",L165&lt;&gt;"",M165&lt;&gt;"",N165&lt;&gt;"",ISNUMBER(O165),O165&gt;0,P165&lt;&gt;""),"记录齐全","待补实测记录")))))))))))</x:f>
        <x:v>待展开路径</x:v>
      </x:c>
    </x:row>
    <x:row r="166" ht="43.5" customHeight="1">
      <x:c r="A166" s="20" t="str">
        <x:v>REC-00157</x:v>
      </x:c>
      <x:c r="B166" s="20" t="str">
        <x:v>P1-B2-01</x:v>
      </x:c>
      <x:c r="C166" s="30" t="str">
        <x:f>IF(B166="","",IF(COUNTIFS(Equipment[组合编号],B166)&lt;&gt;1,"组合编号无效",INDEX(Equipment[PLC组],MATCH(B166,Equipment[组合编号],0))))</x:f>
        <x:v>汇川小型</x:v>
      </x:c>
      <x:c r="D166" s="30" t="str">
        <x:f>IF(B166="","",IF(COUNTIFS(Equipment[组合编号],B166)&lt;&gt;1,"组合编号无效",INDEX(Equipment[驱动品牌],MATCH(B166,Equipment[组合编号],0))))</x:f>
        <x:v>台达</x:v>
      </x:c>
      <x:c r="E166" s="20" t="str">
        <x:v>N03</x:v>
      </x:c>
      <x:c r="F166" s="20"/>
      <x:c r="G166" s="20"/>
      <x:c r="H166" s="20" t="str">
        <x:v>待判定</x:v>
      </x:c>
      <x:c r="I166" s="20"/>
      <x:c r="J166" s="20" t="str">
        <x:v>未测试</x:v>
      </x:c>
      <x:c r="K166" s="20"/>
      <x:c r="L166" s="20"/>
      <x:c r="M166" s="20"/>
      <x:c r="N166" s="20"/>
      <x:c r="O166" s="31"/>
      <x:c r="P166" s="20"/>
      <x:c r="Q166" s="20"/>
      <x:c r="R166" s="20" t="str">
        <x:v>待展开</x:v>
      </x:c>
      <x:c r="S166" s="20"/>
      <x:c r="T166" s="31"/>
      <x:c r="U166" s="30" t="str">
        <x:f>IF(A166="","缺记录编号",IF(COUNTIFS(PathRecords[记录编号],A166)&lt;&gt;1,"记录编号重复",IF(OR(B166="",E166=""),"缺组合/功能",IF(COUNTIFS(Equipment[组合编号],B166)&lt;&gt;1,"组合编号无效",IF(COUNTIFS(FunctionMatrix[编号],E166)=0,"功能编号无效",IF(H166="不适用",IF(J166="已实测","适用性冲突",IF(I166="","待补不适用依据","不适用（非实测）")),IF(J166="阻塞",IF(I166="","待补阻塞原因","阻塞（非实测）"),IF(J166&lt;&gt;"已实测",IF(F166="","待展开路径","未实测"),IF(H166&lt;&gt;"适用","待确认适用性",IF(INDEX(Equipment[登记状态（自动）],MATCH(B166,Equipment[组合编号],0))&lt;&gt;"已登记","待补设备组合",IF(AND(F166&lt;&gt;"",G166&lt;&gt;"",K166&lt;&gt;"",L166&lt;&gt;"",M166&lt;&gt;"",N166&lt;&gt;"",ISNUMBER(O166),O166&gt;0,P166&lt;&gt;""),"记录齐全","待补实测记录")))))))))))</x:f>
        <x:v>待展开路径</x:v>
      </x:c>
    </x:row>
    <x:row r="167" ht="43.5" customHeight="1">
      <x:c r="A167" s="20" t="str">
        <x:v>REC-00158</x:v>
      </x:c>
      <x:c r="B167" s="20" t="str">
        <x:v>P1-B2-01</x:v>
      </x:c>
      <x:c r="C167" s="30" t="str">
        <x:f>IF(B167="","",IF(COUNTIFS(Equipment[组合编号],B167)&lt;&gt;1,"组合编号无效",INDEX(Equipment[PLC组],MATCH(B167,Equipment[组合编号],0))))</x:f>
        <x:v>汇川小型</x:v>
      </x:c>
      <x:c r="D167" s="30" t="str">
        <x:f>IF(B167="","",IF(COUNTIFS(Equipment[组合编号],B167)&lt;&gt;1,"组合编号无效",INDEX(Equipment[驱动品牌],MATCH(B167,Equipment[组合编号],0))))</x:f>
        <x:v>台达</x:v>
      </x:c>
      <x:c r="E167" s="20" t="str">
        <x:v>N04</x:v>
      </x:c>
      <x:c r="F167" s="20"/>
      <x:c r="G167" s="20"/>
      <x:c r="H167" s="20" t="str">
        <x:v>待判定</x:v>
      </x:c>
      <x:c r="I167" s="20"/>
      <x:c r="J167" s="20" t="str">
        <x:v>未测试</x:v>
      </x:c>
      <x:c r="K167" s="20"/>
      <x:c r="L167" s="20"/>
      <x:c r="M167" s="20"/>
      <x:c r="N167" s="20"/>
      <x:c r="O167" s="31"/>
      <x:c r="P167" s="20"/>
      <x:c r="Q167" s="20"/>
      <x:c r="R167" s="20" t="str">
        <x:v>待展开</x:v>
      </x:c>
      <x:c r="S167" s="20"/>
      <x:c r="T167" s="31"/>
      <x:c r="U167" s="30" t="str">
        <x:f>IF(A167="","缺记录编号",IF(COUNTIFS(PathRecords[记录编号],A167)&lt;&gt;1,"记录编号重复",IF(OR(B167="",E167=""),"缺组合/功能",IF(COUNTIFS(Equipment[组合编号],B167)&lt;&gt;1,"组合编号无效",IF(COUNTIFS(FunctionMatrix[编号],E167)=0,"功能编号无效",IF(H167="不适用",IF(J167="已实测","适用性冲突",IF(I167="","待补不适用依据","不适用（非实测）")),IF(J167="阻塞",IF(I167="","待补阻塞原因","阻塞（非实测）"),IF(J167&lt;&gt;"已实测",IF(F167="","待展开路径","未实测"),IF(H167&lt;&gt;"适用","待确认适用性",IF(INDEX(Equipment[登记状态（自动）],MATCH(B167,Equipment[组合编号],0))&lt;&gt;"已登记","待补设备组合",IF(AND(F167&lt;&gt;"",G167&lt;&gt;"",K167&lt;&gt;"",L167&lt;&gt;"",M167&lt;&gt;"",N167&lt;&gt;"",ISNUMBER(O167),O167&gt;0,P167&lt;&gt;""),"记录齐全","待补实测记录")))))))))))</x:f>
        <x:v>待展开路径</x:v>
      </x:c>
    </x:row>
    <x:row r="168" ht="43.5" customHeight="1">
      <x:c r="A168" s="20" t="str">
        <x:v>REC-00159</x:v>
      </x:c>
      <x:c r="B168" s="20" t="str">
        <x:v>P1-B2-01</x:v>
      </x:c>
      <x:c r="C168" s="30" t="str">
        <x:f>IF(B168="","",IF(COUNTIFS(Equipment[组合编号],B168)&lt;&gt;1,"组合编号无效",INDEX(Equipment[PLC组],MATCH(B168,Equipment[组合编号],0))))</x:f>
        <x:v>汇川小型</x:v>
      </x:c>
      <x:c r="D168" s="30" t="str">
        <x:f>IF(B168="","",IF(COUNTIFS(Equipment[组合编号],B168)&lt;&gt;1,"组合编号无效",INDEX(Equipment[驱动品牌],MATCH(B168,Equipment[组合编号],0))))</x:f>
        <x:v>台达</x:v>
      </x:c>
      <x:c r="E168" s="20" t="str">
        <x:v>N05</x:v>
      </x:c>
      <x:c r="F168" s="20"/>
      <x:c r="G168" s="20"/>
      <x:c r="H168" s="20" t="str">
        <x:v>待判定</x:v>
      </x:c>
      <x:c r="I168" s="20"/>
      <x:c r="J168" s="20" t="str">
        <x:v>未测试</x:v>
      </x:c>
      <x:c r="K168" s="20"/>
      <x:c r="L168" s="20"/>
      <x:c r="M168" s="20"/>
      <x:c r="N168" s="20"/>
      <x:c r="O168" s="31"/>
      <x:c r="P168" s="20"/>
      <x:c r="Q168" s="20"/>
      <x:c r="R168" s="20" t="str">
        <x:v>待展开</x:v>
      </x:c>
      <x:c r="S168" s="20"/>
      <x:c r="T168" s="31"/>
      <x:c r="U168" s="30" t="str">
        <x:f>IF(A168="","缺记录编号",IF(COUNTIFS(PathRecords[记录编号],A168)&lt;&gt;1,"记录编号重复",IF(OR(B168="",E168=""),"缺组合/功能",IF(COUNTIFS(Equipment[组合编号],B168)&lt;&gt;1,"组合编号无效",IF(COUNTIFS(FunctionMatrix[编号],E168)=0,"功能编号无效",IF(H168="不适用",IF(J168="已实测","适用性冲突",IF(I168="","待补不适用依据","不适用（非实测）")),IF(J168="阻塞",IF(I168="","待补阻塞原因","阻塞（非实测）"),IF(J168&lt;&gt;"已实测",IF(F168="","待展开路径","未实测"),IF(H168&lt;&gt;"适用","待确认适用性",IF(INDEX(Equipment[登记状态（自动）],MATCH(B168,Equipment[组合编号],0))&lt;&gt;"已登记","待补设备组合",IF(AND(F168&lt;&gt;"",G168&lt;&gt;"",K168&lt;&gt;"",L168&lt;&gt;"",M168&lt;&gt;"",N168&lt;&gt;"",ISNUMBER(O168),O168&gt;0,P168&lt;&gt;""),"记录齐全","待补实测记录")))))))))))</x:f>
        <x:v>待展开路径</x:v>
      </x:c>
    </x:row>
    <x:row r="169" ht="43.5" customHeight="1">
      <x:c r="A169" s="20" t="str">
        <x:v>REC-00160</x:v>
      </x:c>
      <x:c r="B169" s="20" t="str">
        <x:v>P1-B2-01</x:v>
      </x:c>
      <x:c r="C169" s="30" t="str">
        <x:f>IF(B169="","",IF(COUNTIFS(Equipment[组合编号],B169)&lt;&gt;1,"组合编号无效",INDEX(Equipment[PLC组],MATCH(B169,Equipment[组合编号],0))))</x:f>
        <x:v>汇川小型</x:v>
      </x:c>
      <x:c r="D169" s="30" t="str">
        <x:f>IF(B169="","",IF(COUNTIFS(Equipment[组合编号],B169)&lt;&gt;1,"组合编号无效",INDEX(Equipment[驱动品牌],MATCH(B169,Equipment[组合编号],0))))</x:f>
        <x:v>台达</x:v>
      </x:c>
      <x:c r="E169" s="20" t="str">
        <x:v>N06</x:v>
      </x:c>
      <x:c r="F169" s="20"/>
      <x:c r="G169" s="20"/>
      <x:c r="H169" s="20" t="str">
        <x:v>待判定</x:v>
      </x:c>
      <x:c r="I169" s="20"/>
      <x:c r="J169" s="20" t="str">
        <x:v>未测试</x:v>
      </x:c>
      <x:c r="K169" s="20"/>
      <x:c r="L169" s="20"/>
      <x:c r="M169" s="20"/>
      <x:c r="N169" s="20"/>
      <x:c r="O169" s="31"/>
      <x:c r="P169" s="20"/>
      <x:c r="Q169" s="20"/>
      <x:c r="R169" s="20" t="str">
        <x:v>待展开</x:v>
      </x:c>
      <x:c r="S169" s="20"/>
      <x:c r="T169" s="31"/>
      <x:c r="U169" s="30" t="str">
        <x:f>IF(A169="","缺记录编号",IF(COUNTIFS(PathRecords[记录编号],A169)&lt;&gt;1,"记录编号重复",IF(OR(B169="",E169=""),"缺组合/功能",IF(COUNTIFS(Equipment[组合编号],B169)&lt;&gt;1,"组合编号无效",IF(COUNTIFS(FunctionMatrix[编号],E169)=0,"功能编号无效",IF(H169="不适用",IF(J169="已实测","适用性冲突",IF(I169="","待补不适用依据","不适用（非实测）")),IF(J169="阻塞",IF(I169="","待补阻塞原因","阻塞（非实测）"),IF(J169&lt;&gt;"已实测",IF(F169="","待展开路径","未实测"),IF(H169&lt;&gt;"适用","待确认适用性",IF(INDEX(Equipment[登记状态（自动）],MATCH(B169,Equipment[组合编号],0))&lt;&gt;"已登记","待补设备组合",IF(AND(F169&lt;&gt;"",G169&lt;&gt;"",K169&lt;&gt;"",L169&lt;&gt;"",M169&lt;&gt;"",N169&lt;&gt;"",ISNUMBER(O169),O169&gt;0,P169&lt;&gt;""),"记录齐全","待补实测记录")))))))))))</x:f>
        <x:v>待展开路径</x:v>
      </x:c>
    </x:row>
    <x:row r="170" ht="43.5" customHeight="1">
      <x:c r="A170" s="20" t="str">
        <x:v>REC-00161</x:v>
      </x:c>
      <x:c r="B170" s="20" t="str">
        <x:v>P1-B2-01</x:v>
      </x:c>
      <x:c r="C170" s="30" t="str">
        <x:f>IF(B170="","",IF(COUNTIFS(Equipment[组合编号],B170)&lt;&gt;1,"组合编号无效",INDEX(Equipment[PLC组],MATCH(B170,Equipment[组合编号],0))))</x:f>
        <x:v>汇川小型</x:v>
      </x:c>
      <x:c r="D170" s="30" t="str">
        <x:f>IF(B170="","",IF(COUNTIFS(Equipment[组合编号],B170)&lt;&gt;1,"组合编号无效",INDEX(Equipment[驱动品牌],MATCH(B170,Equipment[组合编号],0))))</x:f>
        <x:v>台达</x:v>
      </x:c>
      <x:c r="E170" s="20" t="str">
        <x:v>N07</x:v>
      </x:c>
      <x:c r="F170" s="20"/>
      <x:c r="G170" s="20"/>
      <x:c r="H170" s="20" t="str">
        <x:v>待判定</x:v>
      </x:c>
      <x:c r="I170" s="20"/>
      <x:c r="J170" s="20" t="str">
        <x:v>未测试</x:v>
      </x:c>
      <x:c r="K170" s="20"/>
      <x:c r="L170" s="20"/>
      <x:c r="M170" s="20"/>
      <x:c r="N170" s="20"/>
      <x:c r="O170" s="31"/>
      <x:c r="P170" s="20"/>
      <x:c r="Q170" s="20"/>
      <x:c r="R170" s="20" t="str">
        <x:v>待展开</x:v>
      </x:c>
      <x:c r="S170" s="20"/>
      <x:c r="T170" s="31"/>
      <x:c r="U170" s="30" t="str">
        <x:f>IF(A170="","缺记录编号",IF(COUNTIFS(PathRecords[记录编号],A170)&lt;&gt;1,"记录编号重复",IF(OR(B170="",E170=""),"缺组合/功能",IF(COUNTIFS(Equipment[组合编号],B170)&lt;&gt;1,"组合编号无效",IF(COUNTIFS(FunctionMatrix[编号],E170)=0,"功能编号无效",IF(H170="不适用",IF(J170="已实测","适用性冲突",IF(I170="","待补不适用依据","不适用（非实测）")),IF(J170="阻塞",IF(I170="","待补阻塞原因","阻塞（非实测）"),IF(J170&lt;&gt;"已实测",IF(F170="","待展开路径","未实测"),IF(H170&lt;&gt;"适用","待确认适用性",IF(INDEX(Equipment[登记状态（自动）],MATCH(B170,Equipment[组合编号],0))&lt;&gt;"已登记","待补设备组合",IF(AND(F170&lt;&gt;"",G170&lt;&gt;"",K170&lt;&gt;"",L170&lt;&gt;"",M170&lt;&gt;"",N170&lt;&gt;"",ISNUMBER(O170),O170&gt;0,P170&lt;&gt;""),"记录齐全","待补实测记录")))))))))))</x:f>
        <x:v>待展开路径</x:v>
      </x:c>
    </x:row>
    <x:row r="171" ht="43.5" customHeight="1">
      <x:c r="A171" s="20" t="str">
        <x:v>REC-00162</x:v>
      </x:c>
      <x:c r="B171" s="20" t="str">
        <x:v>P1-B2-01</x:v>
      </x:c>
      <x:c r="C171" s="30" t="str">
        <x:f>IF(B171="","",IF(COUNTIFS(Equipment[组合编号],B171)&lt;&gt;1,"组合编号无效",INDEX(Equipment[PLC组],MATCH(B171,Equipment[组合编号],0))))</x:f>
        <x:v>汇川小型</x:v>
      </x:c>
      <x:c r="D171" s="30" t="str">
        <x:f>IF(B171="","",IF(COUNTIFS(Equipment[组合编号],B171)&lt;&gt;1,"组合编号无效",INDEX(Equipment[驱动品牌],MATCH(B171,Equipment[组合编号],0))))</x:f>
        <x:v>台达</x:v>
      </x:c>
      <x:c r="E171" s="20" t="str">
        <x:v>N08</x:v>
      </x:c>
      <x:c r="F171" s="20"/>
      <x:c r="G171" s="20"/>
      <x:c r="H171" s="20" t="str">
        <x:v>待判定</x:v>
      </x:c>
      <x:c r="I171" s="20"/>
      <x:c r="J171" s="20" t="str">
        <x:v>未测试</x:v>
      </x:c>
      <x:c r="K171" s="20"/>
      <x:c r="L171" s="20"/>
      <x:c r="M171" s="20"/>
      <x:c r="N171" s="20"/>
      <x:c r="O171" s="31"/>
      <x:c r="P171" s="20"/>
      <x:c r="Q171" s="20"/>
      <x:c r="R171" s="20" t="str">
        <x:v>待展开</x:v>
      </x:c>
      <x:c r="S171" s="20"/>
      <x:c r="T171" s="31"/>
      <x:c r="U171" s="30" t="str">
        <x:f>IF(A171="","缺记录编号",IF(COUNTIFS(PathRecords[记录编号],A171)&lt;&gt;1,"记录编号重复",IF(OR(B171="",E171=""),"缺组合/功能",IF(COUNTIFS(Equipment[组合编号],B171)&lt;&gt;1,"组合编号无效",IF(COUNTIFS(FunctionMatrix[编号],E171)=0,"功能编号无效",IF(H171="不适用",IF(J171="已实测","适用性冲突",IF(I171="","待补不适用依据","不适用（非实测）")),IF(J171="阻塞",IF(I171="","待补阻塞原因","阻塞（非实测）"),IF(J171&lt;&gt;"已实测",IF(F171="","待展开路径","未实测"),IF(H171&lt;&gt;"适用","待确认适用性",IF(INDEX(Equipment[登记状态（自动）],MATCH(B171,Equipment[组合编号],0))&lt;&gt;"已登记","待补设备组合",IF(AND(F171&lt;&gt;"",G171&lt;&gt;"",K171&lt;&gt;"",L171&lt;&gt;"",M171&lt;&gt;"",N171&lt;&gt;"",ISNUMBER(O171),O171&gt;0,P171&lt;&gt;""),"记录齐全","待补实测记录")))))))))))</x:f>
        <x:v>待展开路径</x:v>
      </x:c>
    </x:row>
    <x:row r="172" ht="43.5" customHeight="1">
      <x:c r="A172" s="20" t="str">
        <x:v>REC-00163</x:v>
      </x:c>
      <x:c r="B172" s="20" t="str">
        <x:v>P1-B2-01</x:v>
      </x:c>
      <x:c r="C172" s="30" t="str">
        <x:f>IF(B172="","",IF(COUNTIFS(Equipment[组合编号],B172)&lt;&gt;1,"组合编号无效",INDEX(Equipment[PLC组],MATCH(B172,Equipment[组合编号],0))))</x:f>
        <x:v>汇川小型</x:v>
      </x:c>
      <x:c r="D172" s="30" t="str">
        <x:f>IF(B172="","",IF(COUNTIFS(Equipment[组合编号],B172)&lt;&gt;1,"组合编号无效",INDEX(Equipment[驱动品牌],MATCH(B172,Equipment[组合编号],0))))</x:f>
        <x:v>台达</x:v>
      </x:c>
      <x:c r="E172" s="20" t="str">
        <x:v>N09</x:v>
      </x:c>
      <x:c r="F172" s="20"/>
      <x:c r="G172" s="20"/>
      <x:c r="H172" s="20" t="str">
        <x:v>待判定</x:v>
      </x:c>
      <x:c r="I172" s="20"/>
      <x:c r="J172" s="20" t="str">
        <x:v>未测试</x:v>
      </x:c>
      <x:c r="K172" s="20"/>
      <x:c r="L172" s="20"/>
      <x:c r="M172" s="20"/>
      <x:c r="N172" s="20"/>
      <x:c r="O172" s="31"/>
      <x:c r="P172" s="20"/>
      <x:c r="Q172" s="20"/>
      <x:c r="R172" s="20" t="str">
        <x:v>待展开</x:v>
      </x:c>
      <x:c r="S172" s="20"/>
      <x:c r="T172" s="31"/>
      <x:c r="U172" s="30" t="str">
        <x:f>IF(A172="","缺记录编号",IF(COUNTIFS(PathRecords[记录编号],A172)&lt;&gt;1,"记录编号重复",IF(OR(B172="",E172=""),"缺组合/功能",IF(COUNTIFS(Equipment[组合编号],B172)&lt;&gt;1,"组合编号无效",IF(COUNTIFS(FunctionMatrix[编号],E172)=0,"功能编号无效",IF(H172="不适用",IF(J172="已实测","适用性冲突",IF(I172="","待补不适用依据","不适用（非实测）")),IF(J172="阻塞",IF(I172="","待补阻塞原因","阻塞（非实测）"),IF(J172&lt;&gt;"已实测",IF(F172="","待展开路径","未实测"),IF(H172&lt;&gt;"适用","待确认适用性",IF(INDEX(Equipment[登记状态（自动）],MATCH(B172,Equipment[组合编号],0))&lt;&gt;"已登记","待补设备组合",IF(AND(F172&lt;&gt;"",G172&lt;&gt;"",K172&lt;&gt;"",L172&lt;&gt;"",M172&lt;&gt;"",N172&lt;&gt;"",ISNUMBER(O172),O172&gt;0,P172&lt;&gt;""),"记录齐全","待补实测记录")))))))))))</x:f>
        <x:v>待展开路径</x:v>
      </x:c>
    </x:row>
    <x:row r="173" ht="43.5" customHeight="1">
      <x:c r="A173" s="20" t="str">
        <x:v>REC-00164</x:v>
      </x:c>
      <x:c r="B173" s="20" t="str">
        <x:v>P1-B2-01</x:v>
      </x:c>
      <x:c r="C173" s="30" t="str">
        <x:f>IF(B173="","",IF(COUNTIFS(Equipment[组合编号],B173)&lt;&gt;1,"组合编号无效",INDEX(Equipment[PLC组],MATCH(B173,Equipment[组合编号],0))))</x:f>
        <x:v>汇川小型</x:v>
      </x:c>
      <x:c r="D173" s="30" t="str">
        <x:f>IF(B173="","",IF(COUNTIFS(Equipment[组合编号],B173)&lt;&gt;1,"组合编号无效",INDEX(Equipment[驱动品牌],MATCH(B173,Equipment[组合编号],0))))</x:f>
        <x:v>台达</x:v>
      </x:c>
      <x:c r="E173" s="20" t="str">
        <x:v>N10</x:v>
      </x:c>
      <x:c r="F173" s="20"/>
      <x:c r="G173" s="20"/>
      <x:c r="H173" s="20" t="str">
        <x:v>待判定</x:v>
      </x:c>
      <x:c r="I173" s="20"/>
      <x:c r="J173" s="20" t="str">
        <x:v>未测试</x:v>
      </x:c>
      <x:c r="K173" s="20"/>
      <x:c r="L173" s="20"/>
      <x:c r="M173" s="20"/>
      <x:c r="N173" s="20"/>
      <x:c r="O173" s="31"/>
      <x:c r="P173" s="20"/>
      <x:c r="Q173" s="20"/>
      <x:c r="R173" s="20" t="str">
        <x:v>待展开</x:v>
      </x:c>
      <x:c r="S173" s="20"/>
      <x:c r="T173" s="31"/>
      <x:c r="U173" s="30" t="str">
        <x:f>IF(A173="","缺记录编号",IF(COUNTIFS(PathRecords[记录编号],A173)&lt;&gt;1,"记录编号重复",IF(OR(B173="",E173=""),"缺组合/功能",IF(COUNTIFS(Equipment[组合编号],B173)&lt;&gt;1,"组合编号无效",IF(COUNTIFS(FunctionMatrix[编号],E173)=0,"功能编号无效",IF(H173="不适用",IF(J173="已实测","适用性冲突",IF(I173="","待补不适用依据","不适用（非实测）")),IF(J173="阻塞",IF(I173="","待补阻塞原因","阻塞（非实测）"),IF(J173&lt;&gt;"已实测",IF(F173="","待展开路径","未实测"),IF(H173&lt;&gt;"适用","待确认适用性",IF(INDEX(Equipment[登记状态（自动）],MATCH(B173,Equipment[组合编号],0))&lt;&gt;"已登记","待补设备组合",IF(AND(F173&lt;&gt;"",G173&lt;&gt;"",K173&lt;&gt;"",L173&lt;&gt;"",M173&lt;&gt;"",N173&lt;&gt;"",ISNUMBER(O173),O173&gt;0,P173&lt;&gt;""),"记录齐全","待补实测记录")))))))))))</x:f>
        <x:v>待展开路径</x:v>
      </x:c>
    </x:row>
    <x:row r="174" ht="43.5" customHeight="1">
      <x:c r="A174" s="20" t="str">
        <x:v>REC-00165</x:v>
      </x:c>
      <x:c r="B174" s="20" t="str">
        <x:v>P1-B2-01</x:v>
      </x:c>
      <x:c r="C174" s="30" t="str">
        <x:f>IF(B174="","",IF(COUNTIFS(Equipment[组合编号],B174)&lt;&gt;1,"组合编号无效",INDEX(Equipment[PLC组],MATCH(B174,Equipment[组合编号],0))))</x:f>
        <x:v>汇川小型</x:v>
      </x:c>
      <x:c r="D174" s="30" t="str">
        <x:f>IF(B174="","",IF(COUNTIFS(Equipment[组合编号],B174)&lt;&gt;1,"组合编号无效",INDEX(Equipment[驱动品牌],MATCH(B174,Equipment[组合编号],0))))</x:f>
        <x:v>台达</x:v>
      </x:c>
      <x:c r="E174" s="20" t="str">
        <x:v>N11</x:v>
      </x:c>
      <x:c r="F174" s="20"/>
      <x:c r="G174" s="20"/>
      <x:c r="H174" s="20" t="str">
        <x:v>待判定</x:v>
      </x:c>
      <x:c r="I174" s="20"/>
      <x:c r="J174" s="20" t="str">
        <x:v>未测试</x:v>
      </x:c>
      <x:c r="K174" s="20"/>
      <x:c r="L174" s="20"/>
      <x:c r="M174" s="20"/>
      <x:c r="N174" s="20"/>
      <x:c r="O174" s="31"/>
      <x:c r="P174" s="20"/>
      <x:c r="Q174" s="20"/>
      <x:c r="R174" s="20" t="str">
        <x:v>待展开</x:v>
      </x:c>
      <x:c r="S174" s="20"/>
      <x:c r="T174" s="31"/>
      <x:c r="U174" s="30" t="str">
        <x:f>IF(A174="","缺记录编号",IF(COUNTIFS(PathRecords[记录编号],A174)&lt;&gt;1,"记录编号重复",IF(OR(B174="",E174=""),"缺组合/功能",IF(COUNTIFS(Equipment[组合编号],B174)&lt;&gt;1,"组合编号无效",IF(COUNTIFS(FunctionMatrix[编号],E174)=0,"功能编号无效",IF(H174="不适用",IF(J174="已实测","适用性冲突",IF(I174="","待补不适用依据","不适用（非实测）")),IF(J174="阻塞",IF(I174="","待补阻塞原因","阻塞（非实测）"),IF(J174&lt;&gt;"已实测",IF(F174="","待展开路径","未实测"),IF(H174&lt;&gt;"适用","待确认适用性",IF(INDEX(Equipment[登记状态（自动）],MATCH(B174,Equipment[组合编号],0))&lt;&gt;"已登记","待补设备组合",IF(AND(F174&lt;&gt;"",G174&lt;&gt;"",K174&lt;&gt;"",L174&lt;&gt;"",M174&lt;&gt;"",N174&lt;&gt;"",ISNUMBER(O174),O174&gt;0,P174&lt;&gt;""),"记录齐全","待补实测记录")))))))))))</x:f>
        <x:v>待展开路径</x:v>
      </x:c>
    </x:row>
    <x:row r="175" ht="43.5" customHeight="1">
      <x:c r="A175" s="20" t="str">
        <x:v>REC-00166</x:v>
      </x:c>
      <x:c r="B175" s="20" t="str">
        <x:v>P1-B2-01</x:v>
      </x:c>
      <x:c r="C175" s="30" t="str">
        <x:f>IF(B175="","",IF(COUNTIFS(Equipment[组合编号],B175)&lt;&gt;1,"组合编号无效",INDEX(Equipment[PLC组],MATCH(B175,Equipment[组合编号],0))))</x:f>
        <x:v>汇川小型</x:v>
      </x:c>
      <x:c r="D175" s="30" t="str">
        <x:f>IF(B175="","",IF(COUNTIFS(Equipment[组合编号],B175)&lt;&gt;1,"组合编号无效",INDEX(Equipment[驱动品牌],MATCH(B175,Equipment[组合编号],0))))</x:f>
        <x:v>台达</x:v>
      </x:c>
      <x:c r="E175" s="20" t="str">
        <x:v>N12</x:v>
      </x:c>
      <x:c r="F175" s="20"/>
      <x:c r="G175" s="20"/>
      <x:c r="H175" s="20" t="str">
        <x:v>待判定</x:v>
      </x:c>
      <x:c r="I175" s="20"/>
      <x:c r="J175" s="20" t="str">
        <x:v>未测试</x:v>
      </x:c>
      <x:c r="K175" s="20"/>
      <x:c r="L175" s="20"/>
      <x:c r="M175" s="20"/>
      <x:c r="N175" s="20"/>
      <x:c r="O175" s="31"/>
      <x:c r="P175" s="20"/>
      <x:c r="Q175" s="20"/>
      <x:c r="R175" s="20" t="str">
        <x:v>待展开</x:v>
      </x:c>
      <x:c r="S175" s="20"/>
      <x:c r="T175" s="31"/>
      <x:c r="U175" s="30" t="str">
        <x:f>IF(A175="","缺记录编号",IF(COUNTIFS(PathRecords[记录编号],A175)&lt;&gt;1,"记录编号重复",IF(OR(B175="",E175=""),"缺组合/功能",IF(COUNTIFS(Equipment[组合编号],B175)&lt;&gt;1,"组合编号无效",IF(COUNTIFS(FunctionMatrix[编号],E175)=0,"功能编号无效",IF(H175="不适用",IF(J175="已实测","适用性冲突",IF(I175="","待补不适用依据","不适用（非实测）")),IF(J175="阻塞",IF(I175="","待补阻塞原因","阻塞（非实测）"),IF(J175&lt;&gt;"已实测",IF(F175="","待展开路径","未实测"),IF(H175&lt;&gt;"适用","待确认适用性",IF(INDEX(Equipment[登记状态（自动）],MATCH(B175,Equipment[组合编号],0))&lt;&gt;"已登记","待补设备组合",IF(AND(F175&lt;&gt;"",G175&lt;&gt;"",K175&lt;&gt;"",L175&lt;&gt;"",M175&lt;&gt;"",N175&lt;&gt;"",ISNUMBER(O175),O175&gt;0,P175&lt;&gt;""),"记录齐全","待补实测记录")))))))))))</x:f>
        <x:v>待展开路径</x:v>
      </x:c>
    </x:row>
    <x:row r="176" ht="43.5" customHeight="1">
      <x:c r="A176" s="20" t="str">
        <x:v>REC-00167</x:v>
      </x:c>
      <x:c r="B176" s="20" t="str">
        <x:v>P1-B2-01</x:v>
      </x:c>
      <x:c r="C176" s="30" t="str">
        <x:f>IF(B176="","",IF(COUNTIFS(Equipment[组合编号],B176)&lt;&gt;1,"组合编号无效",INDEX(Equipment[PLC组],MATCH(B176,Equipment[组合编号],0))))</x:f>
        <x:v>汇川小型</x:v>
      </x:c>
      <x:c r="D176" s="30" t="str">
        <x:f>IF(B176="","",IF(COUNTIFS(Equipment[组合编号],B176)&lt;&gt;1,"组合编号无效",INDEX(Equipment[驱动品牌],MATCH(B176,Equipment[组合编号],0))))</x:f>
        <x:v>台达</x:v>
      </x:c>
      <x:c r="E176" s="20" t="str">
        <x:v>P01</x:v>
      </x:c>
      <x:c r="F176" s="20"/>
      <x:c r="G176" s="20"/>
      <x:c r="H176" s="20" t="str">
        <x:v>待判定</x:v>
      </x:c>
      <x:c r="I176" s="20"/>
      <x:c r="J176" s="20" t="str">
        <x:v>未测试</x:v>
      </x:c>
      <x:c r="K176" s="20"/>
      <x:c r="L176" s="20"/>
      <x:c r="M176" s="20"/>
      <x:c r="N176" s="20"/>
      <x:c r="O176" s="31"/>
      <x:c r="P176" s="20"/>
      <x:c r="Q176" s="20"/>
      <x:c r="R176" s="20" t="str">
        <x:v>待展开</x:v>
      </x:c>
      <x:c r="S176" s="20"/>
      <x:c r="T176" s="31"/>
      <x:c r="U176" s="30" t="str">
        <x:f>IF(A176="","缺记录编号",IF(COUNTIFS(PathRecords[记录编号],A176)&lt;&gt;1,"记录编号重复",IF(OR(B176="",E176=""),"缺组合/功能",IF(COUNTIFS(Equipment[组合编号],B176)&lt;&gt;1,"组合编号无效",IF(COUNTIFS(FunctionMatrix[编号],E176)=0,"功能编号无效",IF(H176="不适用",IF(J176="已实测","适用性冲突",IF(I176="","待补不适用依据","不适用（非实测）")),IF(J176="阻塞",IF(I176="","待补阻塞原因","阻塞（非实测）"),IF(J176&lt;&gt;"已实测",IF(F176="","待展开路径","未实测"),IF(H176&lt;&gt;"适用","待确认适用性",IF(INDEX(Equipment[登记状态（自动）],MATCH(B176,Equipment[组合编号],0))&lt;&gt;"已登记","待补设备组合",IF(AND(F176&lt;&gt;"",G176&lt;&gt;"",K176&lt;&gt;"",L176&lt;&gt;"",M176&lt;&gt;"",N176&lt;&gt;"",ISNUMBER(O176),O176&gt;0,P176&lt;&gt;""),"记录齐全","待补实测记录")))))))))))</x:f>
        <x:v>待展开路径</x:v>
      </x:c>
    </x:row>
    <x:row r="177" ht="43.5" customHeight="1">
      <x:c r="A177" s="20" t="str">
        <x:v>REC-00168</x:v>
      </x:c>
      <x:c r="B177" s="20" t="str">
        <x:v>P1-B2-01</x:v>
      </x:c>
      <x:c r="C177" s="30" t="str">
        <x:f>IF(B177="","",IF(COUNTIFS(Equipment[组合编号],B177)&lt;&gt;1,"组合编号无效",INDEX(Equipment[PLC组],MATCH(B177,Equipment[组合编号],0))))</x:f>
        <x:v>汇川小型</x:v>
      </x:c>
      <x:c r="D177" s="30" t="str">
        <x:f>IF(B177="","",IF(COUNTIFS(Equipment[组合编号],B177)&lt;&gt;1,"组合编号无效",INDEX(Equipment[驱动品牌],MATCH(B177,Equipment[组合编号],0))))</x:f>
        <x:v>台达</x:v>
      </x:c>
      <x:c r="E177" s="20" t="str">
        <x:v>P02</x:v>
      </x:c>
      <x:c r="F177" s="20"/>
      <x:c r="G177" s="20"/>
      <x:c r="H177" s="20" t="str">
        <x:v>待判定</x:v>
      </x:c>
      <x:c r="I177" s="20"/>
      <x:c r="J177" s="20" t="str">
        <x:v>未测试</x:v>
      </x:c>
      <x:c r="K177" s="20"/>
      <x:c r="L177" s="20"/>
      <x:c r="M177" s="20"/>
      <x:c r="N177" s="20"/>
      <x:c r="O177" s="31"/>
      <x:c r="P177" s="20"/>
      <x:c r="Q177" s="20"/>
      <x:c r="R177" s="20" t="str">
        <x:v>待展开</x:v>
      </x:c>
      <x:c r="S177" s="20"/>
      <x:c r="T177" s="31"/>
      <x:c r="U177" s="30" t="str">
        <x:f>IF(A177="","缺记录编号",IF(COUNTIFS(PathRecords[记录编号],A177)&lt;&gt;1,"记录编号重复",IF(OR(B177="",E177=""),"缺组合/功能",IF(COUNTIFS(Equipment[组合编号],B177)&lt;&gt;1,"组合编号无效",IF(COUNTIFS(FunctionMatrix[编号],E177)=0,"功能编号无效",IF(H177="不适用",IF(J177="已实测","适用性冲突",IF(I177="","待补不适用依据","不适用（非实测）")),IF(J177="阻塞",IF(I177="","待补阻塞原因","阻塞（非实测）"),IF(J177&lt;&gt;"已实测",IF(F177="","待展开路径","未实测"),IF(H177&lt;&gt;"适用","待确认适用性",IF(INDEX(Equipment[登记状态（自动）],MATCH(B177,Equipment[组合编号],0))&lt;&gt;"已登记","待补设备组合",IF(AND(F177&lt;&gt;"",G177&lt;&gt;"",K177&lt;&gt;"",L177&lt;&gt;"",M177&lt;&gt;"",N177&lt;&gt;"",ISNUMBER(O177),O177&gt;0,P177&lt;&gt;""),"记录齐全","待补实测记录")))))))))))</x:f>
        <x:v>待展开路径</x:v>
      </x:c>
    </x:row>
    <x:row r="178" ht="43.5" customHeight="1">
      <x:c r="A178" s="20" t="str">
        <x:v>REC-00169</x:v>
      </x:c>
      <x:c r="B178" s="20" t="str">
        <x:v>P1-B2-01</x:v>
      </x:c>
      <x:c r="C178" s="30" t="str">
        <x:f>IF(B178="","",IF(COUNTIFS(Equipment[组合编号],B178)&lt;&gt;1,"组合编号无效",INDEX(Equipment[PLC组],MATCH(B178,Equipment[组合编号],0))))</x:f>
        <x:v>汇川小型</x:v>
      </x:c>
      <x:c r="D178" s="30" t="str">
        <x:f>IF(B178="","",IF(COUNTIFS(Equipment[组合编号],B178)&lt;&gt;1,"组合编号无效",INDEX(Equipment[驱动品牌],MATCH(B178,Equipment[组合编号],0))))</x:f>
        <x:v>台达</x:v>
      </x:c>
      <x:c r="E178" s="20" t="str">
        <x:v>P03</x:v>
      </x:c>
      <x:c r="F178" s="20"/>
      <x:c r="G178" s="20"/>
      <x:c r="H178" s="20" t="str">
        <x:v>待判定</x:v>
      </x:c>
      <x:c r="I178" s="20"/>
      <x:c r="J178" s="20" t="str">
        <x:v>未测试</x:v>
      </x:c>
      <x:c r="K178" s="20"/>
      <x:c r="L178" s="20"/>
      <x:c r="M178" s="20"/>
      <x:c r="N178" s="20"/>
      <x:c r="O178" s="31"/>
      <x:c r="P178" s="20"/>
      <x:c r="Q178" s="20"/>
      <x:c r="R178" s="20" t="str">
        <x:v>待展开</x:v>
      </x:c>
      <x:c r="S178" s="20"/>
      <x:c r="T178" s="31"/>
      <x:c r="U178" s="30" t="str">
        <x:f>IF(A178="","缺记录编号",IF(COUNTIFS(PathRecords[记录编号],A178)&lt;&gt;1,"记录编号重复",IF(OR(B178="",E178=""),"缺组合/功能",IF(COUNTIFS(Equipment[组合编号],B178)&lt;&gt;1,"组合编号无效",IF(COUNTIFS(FunctionMatrix[编号],E178)=0,"功能编号无效",IF(H178="不适用",IF(J178="已实测","适用性冲突",IF(I178="","待补不适用依据","不适用（非实测）")),IF(J178="阻塞",IF(I178="","待补阻塞原因","阻塞（非实测）"),IF(J178&lt;&gt;"已实测",IF(F178="","待展开路径","未实测"),IF(H178&lt;&gt;"适用","待确认适用性",IF(INDEX(Equipment[登记状态（自动）],MATCH(B178,Equipment[组合编号],0))&lt;&gt;"已登记","待补设备组合",IF(AND(F178&lt;&gt;"",G178&lt;&gt;"",K178&lt;&gt;"",L178&lt;&gt;"",M178&lt;&gt;"",N178&lt;&gt;"",ISNUMBER(O178),O178&gt;0,P178&lt;&gt;""),"记录齐全","待补实测记录")))))))))))</x:f>
        <x:v>待展开路径</x:v>
      </x:c>
    </x:row>
    <x:row r="179" ht="43.5" customHeight="1">
      <x:c r="A179" s="20" t="str">
        <x:v>REC-00170</x:v>
      </x:c>
      <x:c r="B179" s="20" t="str">
        <x:v>P1-B2-01</x:v>
      </x:c>
      <x:c r="C179" s="30" t="str">
        <x:f>IF(B179="","",IF(COUNTIFS(Equipment[组合编号],B179)&lt;&gt;1,"组合编号无效",INDEX(Equipment[PLC组],MATCH(B179,Equipment[组合编号],0))))</x:f>
        <x:v>汇川小型</x:v>
      </x:c>
      <x:c r="D179" s="30" t="str">
        <x:f>IF(B179="","",IF(COUNTIFS(Equipment[组合编号],B179)&lt;&gt;1,"组合编号无效",INDEX(Equipment[驱动品牌],MATCH(B179,Equipment[组合编号],0))))</x:f>
        <x:v>台达</x:v>
      </x:c>
      <x:c r="E179" s="20" t="str">
        <x:v>P04</x:v>
      </x:c>
      <x:c r="F179" s="20"/>
      <x:c r="G179" s="20"/>
      <x:c r="H179" s="20" t="str">
        <x:v>待判定</x:v>
      </x:c>
      <x:c r="I179" s="20"/>
      <x:c r="J179" s="20" t="str">
        <x:v>未测试</x:v>
      </x:c>
      <x:c r="K179" s="20"/>
      <x:c r="L179" s="20"/>
      <x:c r="M179" s="20"/>
      <x:c r="N179" s="20"/>
      <x:c r="O179" s="31"/>
      <x:c r="P179" s="20"/>
      <x:c r="Q179" s="20"/>
      <x:c r="R179" s="20" t="str">
        <x:v>待展开</x:v>
      </x:c>
      <x:c r="S179" s="20"/>
      <x:c r="T179" s="31"/>
      <x:c r="U179" s="30" t="str">
        <x:f>IF(A179="","缺记录编号",IF(COUNTIFS(PathRecords[记录编号],A179)&lt;&gt;1,"记录编号重复",IF(OR(B179="",E179=""),"缺组合/功能",IF(COUNTIFS(Equipment[组合编号],B179)&lt;&gt;1,"组合编号无效",IF(COUNTIFS(FunctionMatrix[编号],E179)=0,"功能编号无效",IF(H179="不适用",IF(J179="已实测","适用性冲突",IF(I179="","待补不适用依据","不适用（非实测）")),IF(J179="阻塞",IF(I179="","待补阻塞原因","阻塞（非实测）"),IF(J179&lt;&gt;"已实测",IF(F179="","待展开路径","未实测"),IF(H179&lt;&gt;"适用","待确认适用性",IF(INDEX(Equipment[登记状态（自动）],MATCH(B179,Equipment[组合编号],0))&lt;&gt;"已登记","待补设备组合",IF(AND(F179&lt;&gt;"",G179&lt;&gt;"",K179&lt;&gt;"",L179&lt;&gt;"",M179&lt;&gt;"",N179&lt;&gt;"",ISNUMBER(O179),O179&gt;0,P179&lt;&gt;""),"记录齐全","待补实测记录")))))))))))</x:f>
        <x:v>待展开路径</x:v>
      </x:c>
    </x:row>
    <x:row r="180" ht="43.5" customHeight="1">
      <x:c r="A180" s="20" t="str">
        <x:v>REC-00171</x:v>
      </x:c>
      <x:c r="B180" s="20" t="str">
        <x:v>P1-B2-01</x:v>
      </x:c>
      <x:c r="C180" s="30" t="str">
        <x:f>IF(B180="","",IF(COUNTIFS(Equipment[组合编号],B180)&lt;&gt;1,"组合编号无效",INDEX(Equipment[PLC组],MATCH(B180,Equipment[组合编号],0))))</x:f>
        <x:v>汇川小型</x:v>
      </x:c>
      <x:c r="D180" s="30" t="str">
        <x:f>IF(B180="","",IF(COUNTIFS(Equipment[组合编号],B180)&lt;&gt;1,"组合编号无效",INDEX(Equipment[驱动品牌],MATCH(B180,Equipment[组合编号],0))))</x:f>
        <x:v>台达</x:v>
      </x:c>
      <x:c r="E180" s="20" t="str">
        <x:v>P05</x:v>
      </x:c>
      <x:c r="F180" s="20"/>
      <x:c r="G180" s="20"/>
      <x:c r="H180" s="20" t="str">
        <x:v>待判定</x:v>
      </x:c>
      <x:c r="I180" s="20"/>
      <x:c r="J180" s="20" t="str">
        <x:v>未测试</x:v>
      </x:c>
      <x:c r="K180" s="20"/>
      <x:c r="L180" s="20"/>
      <x:c r="M180" s="20"/>
      <x:c r="N180" s="20"/>
      <x:c r="O180" s="31"/>
      <x:c r="P180" s="20"/>
      <x:c r="Q180" s="20"/>
      <x:c r="R180" s="20" t="str">
        <x:v>待展开</x:v>
      </x:c>
      <x:c r="S180" s="20"/>
      <x:c r="T180" s="31"/>
      <x:c r="U180" s="30" t="str">
        <x:f>IF(A180="","缺记录编号",IF(COUNTIFS(PathRecords[记录编号],A180)&lt;&gt;1,"记录编号重复",IF(OR(B180="",E180=""),"缺组合/功能",IF(COUNTIFS(Equipment[组合编号],B180)&lt;&gt;1,"组合编号无效",IF(COUNTIFS(FunctionMatrix[编号],E180)=0,"功能编号无效",IF(H180="不适用",IF(J180="已实测","适用性冲突",IF(I180="","待补不适用依据","不适用（非实测）")),IF(J180="阻塞",IF(I180="","待补阻塞原因","阻塞（非实测）"),IF(J180&lt;&gt;"已实测",IF(F180="","待展开路径","未实测"),IF(H180&lt;&gt;"适用","待确认适用性",IF(INDEX(Equipment[登记状态（自动）],MATCH(B180,Equipment[组合编号],0))&lt;&gt;"已登记","待补设备组合",IF(AND(F180&lt;&gt;"",G180&lt;&gt;"",K180&lt;&gt;"",L180&lt;&gt;"",M180&lt;&gt;"",N180&lt;&gt;"",ISNUMBER(O180),O180&gt;0,P180&lt;&gt;""),"记录齐全","待补实测记录")))))))))))</x:f>
        <x:v>待展开路径</x:v>
      </x:c>
    </x:row>
    <x:row r="181" ht="43.5" customHeight="1">
      <x:c r="A181" s="20" t="str">
        <x:v>REC-00172</x:v>
      </x:c>
      <x:c r="B181" s="20" t="str">
        <x:v>P1-B2-01</x:v>
      </x:c>
      <x:c r="C181" s="30" t="str">
        <x:f>IF(B181="","",IF(COUNTIFS(Equipment[组合编号],B181)&lt;&gt;1,"组合编号无效",INDEX(Equipment[PLC组],MATCH(B181,Equipment[组合编号],0))))</x:f>
        <x:v>汇川小型</x:v>
      </x:c>
      <x:c r="D181" s="30" t="str">
        <x:f>IF(B181="","",IF(COUNTIFS(Equipment[组合编号],B181)&lt;&gt;1,"组合编号无效",INDEX(Equipment[驱动品牌],MATCH(B181,Equipment[组合编号],0))))</x:f>
        <x:v>台达</x:v>
      </x:c>
      <x:c r="E181" s="20" t="str">
        <x:v>P06</x:v>
      </x:c>
      <x:c r="F181" s="20"/>
      <x:c r="G181" s="20"/>
      <x:c r="H181" s="20" t="str">
        <x:v>待判定</x:v>
      </x:c>
      <x:c r="I181" s="20"/>
      <x:c r="J181" s="20" t="str">
        <x:v>未测试</x:v>
      </x:c>
      <x:c r="K181" s="20"/>
      <x:c r="L181" s="20"/>
      <x:c r="M181" s="20"/>
      <x:c r="N181" s="20"/>
      <x:c r="O181" s="31"/>
      <x:c r="P181" s="20"/>
      <x:c r="Q181" s="20"/>
      <x:c r="R181" s="20" t="str">
        <x:v>待展开</x:v>
      </x:c>
      <x:c r="S181" s="20"/>
      <x:c r="T181" s="31"/>
      <x:c r="U181" s="30" t="str">
        <x:f>IF(A181="","缺记录编号",IF(COUNTIFS(PathRecords[记录编号],A181)&lt;&gt;1,"记录编号重复",IF(OR(B181="",E181=""),"缺组合/功能",IF(COUNTIFS(Equipment[组合编号],B181)&lt;&gt;1,"组合编号无效",IF(COUNTIFS(FunctionMatrix[编号],E181)=0,"功能编号无效",IF(H181="不适用",IF(J181="已实测","适用性冲突",IF(I181="","待补不适用依据","不适用（非实测）")),IF(J181="阻塞",IF(I181="","待补阻塞原因","阻塞（非实测）"),IF(J181&lt;&gt;"已实测",IF(F181="","待展开路径","未实测"),IF(H181&lt;&gt;"适用","待确认适用性",IF(INDEX(Equipment[登记状态（自动）],MATCH(B181,Equipment[组合编号],0))&lt;&gt;"已登记","待补设备组合",IF(AND(F181&lt;&gt;"",G181&lt;&gt;"",K181&lt;&gt;"",L181&lt;&gt;"",M181&lt;&gt;"",N181&lt;&gt;"",ISNUMBER(O181),O181&gt;0,P181&lt;&gt;""),"记录齐全","待补实测记录")))))))))))</x:f>
        <x:v>待展开路径</x:v>
      </x:c>
    </x:row>
    <x:row r="182" ht="43.5" customHeight="1">
      <x:c r="A182" s="20" t="str">
        <x:v>REC-00173</x:v>
      </x:c>
      <x:c r="B182" s="20" t="str">
        <x:v>P1-B2-01</x:v>
      </x:c>
      <x:c r="C182" s="30" t="str">
        <x:f>IF(B182="","",IF(COUNTIFS(Equipment[组合编号],B182)&lt;&gt;1,"组合编号无效",INDEX(Equipment[PLC组],MATCH(B182,Equipment[组合编号],0))))</x:f>
        <x:v>汇川小型</x:v>
      </x:c>
      <x:c r="D182" s="30" t="str">
        <x:f>IF(B182="","",IF(COUNTIFS(Equipment[组合编号],B182)&lt;&gt;1,"组合编号无效",INDEX(Equipment[驱动品牌],MATCH(B182,Equipment[组合编号],0))))</x:f>
        <x:v>台达</x:v>
      </x:c>
      <x:c r="E182" s="20" t="str">
        <x:v>P07</x:v>
      </x:c>
      <x:c r="F182" s="20"/>
      <x:c r="G182" s="20"/>
      <x:c r="H182" s="20" t="str">
        <x:v>待判定</x:v>
      </x:c>
      <x:c r="I182" s="20"/>
      <x:c r="J182" s="20" t="str">
        <x:v>未测试</x:v>
      </x:c>
      <x:c r="K182" s="20"/>
      <x:c r="L182" s="20"/>
      <x:c r="M182" s="20"/>
      <x:c r="N182" s="20"/>
      <x:c r="O182" s="31"/>
      <x:c r="P182" s="20"/>
      <x:c r="Q182" s="20"/>
      <x:c r="R182" s="20" t="str">
        <x:v>待展开</x:v>
      </x:c>
      <x:c r="S182" s="20"/>
      <x:c r="T182" s="31"/>
      <x:c r="U182" s="30" t="str">
        <x:f>IF(A182="","缺记录编号",IF(COUNTIFS(PathRecords[记录编号],A182)&lt;&gt;1,"记录编号重复",IF(OR(B182="",E182=""),"缺组合/功能",IF(COUNTIFS(Equipment[组合编号],B182)&lt;&gt;1,"组合编号无效",IF(COUNTIFS(FunctionMatrix[编号],E182)=0,"功能编号无效",IF(H182="不适用",IF(J182="已实测","适用性冲突",IF(I182="","待补不适用依据","不适用（非实测）")),IF(J182="阻塞",IF(I182="","待补阻塞原因","阻塞（非实测）"),IF(J182&lt;&gt;"已实测",IF(F182="","待展开路径","未实测"),IF(H182&lt;&gt;"适用","待确认适用性",IF(INDEX(Equipment[登记状态（自动）],MATCH(B182,Equipment[组合编号],0))&lt;&gt;"已登记","待补设备组合",IF(AND(F182&lt;&gt;"",G182&lt;&gt;"",K182&lt;&gt;"",L182&lt;&gt;"",M182&lt;&gt;"",N182&lt;&gt;"",ISNUMBER(O182),O182&gt;0,P182&lt;&gt;""),"记录齐全","待补实测记录")))))))))))</x:f>
        <x:v>待展开路径</x:v>
      </x:c>
    </x:row>
    <x:row r="183" ht="43.5" customHeight="1">
      <x:c r="A183" s="20" t="str">
        <x:v>REC-00174</x:v>
      </x:c>
      <x:c r="B183" s="20" t="str">
        <x:v>P1-B2-01</x:v>
      </x:c>
      <x:c r="C183" s="30" t="str">
        <x:f>IF(B183="","",IF(COUNTIFS(Equipment[组合编号],B183)&lt;&gt;1,"组合编号无效",INDEX(Equipment[PLC组],MATCH(B183,Equipment[组合编号],0))))</x:f>
        <x:v>汇川小型</x:v>
      </x:c>
      <x:c r="D183" s="30" t="str">
        <x:f>IF(B183="","",IF(COUNTIFS(Equipment[组合编号],B183)&lt;&gt;1,"组合编号无效",INDEX(Equipment[驱动品牌],MATCH(B183,Equipment[组合编号],0))))</x:f>
        <x:v>台达</x:v>
      </x:c>
      <x:c r="E183" s="20" t="str">
        <x:v>P08</x:v>
      </x:c>
      <x:c r="F183" s="20"/>
      <x:c r="G183" s="20"/>
      <x:c r="H183" s="20" t="str">
        <x:v>待判定</x:v>
      </x:c>
      <x:c r="I183" s="20"/>
      <x:c r="J183" s="20" t="str">
        <x:v>未测试</x:v>
      </x:c>
      <x:c r="K183" s="20"/>
      <x:c r="L183" s="20"/>
      <x:c r="M183" s="20"/>
      <x:c r="N183" s="20"/>
      <x:c r="O183" s="31"/>
      <x:c r="P183" s="20"/>
      <x:c r="Q183" s="20"/>
      <x:c r="R183" s="20" t="str">
        <x:v>待展开</x:v>
      </x:c>
      <x:c r="S183" s="20"/>
      <x:c r="T183" s="31"/>
      <x:c r="U183" s="30" t="str">
        <x:f>IF(A183="","缺记录编号",IF(COUNTIFS(PathRecords[记录编号],A183)&lt;&gt;1,"记录编号重复",IF(OR(B183="",E183=""),"缺组合/功能",IF(COUNTIFS(Equipment[组合编号],B183)&lt;&gt;1,"组合编号无效",IF(COUNTIFS(FunctionMatrix[编号],E183)=0,"功能编号无效",IF(H183="不适用",IF(J183="已实测","适用性冲突",IF(I183="","待补不适用依据","不适用（非实测）")),IF(J183="阻塞",IF(I183="","待补阻塞原因","阻塞（非实测）"),IF(J183&lt;&gt;"已实测",IF(F183="","待展开路径","未实测"),IF(H183&lt;&gt;"适用","待确认适用性",IF(INDEX(Equipment[登记状态（自动）],MATCH(B183,Equipment[组合编号],0))&lt;&gt;"已登记","待补设备组合",IF(AND(F183&lt;&gt;"",G183&lt;&gt;"",K183&lt;&gt;"",L183&lt;&gt;"",M183&lt;&gt;"",N183&lt;&gt;"",ISNUMBER(O183),O183&gt;0,P183&lt;&gt;""),"记录齐全","待补实测记录")))))))))))</x:f>
        <x:v>待展开路径</x:v>
      </x:c>
    </x:row>
    <x:row r="184" ht="43.5" customHeight="1">
      <x:c r="A184" s="20" t="str">
        <x:v>REC-00175</x:v>
      </x:c>
      <x:c r="B184" s="20" t="str">
        <x:v>P1-B2-01</x:v>
      </x:c>
      <x:c r="C184" s="30" t="str">
        <x:f>IF(B184="","",IF(COUNTIFS(Equipment[组合编号],B184)&lt;&gt;1,"组合编号无效",INDEX(Equipment[PLC组],MATCH(B184,Equipment[组合编号],0))))</x:f>
        <x:v>汇川小型</x:v>
      </x:c>
      <x:c r="D184" s="30" t="str">
        <x:f>IF(B184="","",IF(COUNTIFS(Equipment[组合编号],B184)&lt;&gt;1,"组合编号无效",INDEX(Equipment[驱动品牌],MATCH(B184,Equipment[组合编号],0))))</x:f>
        <x:v>台达</x:v>
      </x:c>
      <x:c r="E184" s="20" t="str">
        <x:v>P09</x:v>
      </x:c>
      <x:c r="F184" s="20"/>
      <x:c r="G184" s="20"/>
      <x:c r="H184" s="20" t="str">
        <x:v>待判定</x:v>
      </x:c>
      <x:c r="I184" s="20"/>
      <x:c r="J184" s="20" t="str">
        <x:v>未测试</x:v>
      </x:c>
      <x:c r="K184" s="20"/>
      <x:c r="L184" s="20"/>
      <x:c r="M184" s="20"/>
      <x:c r="N184" s="20"/>
      <x:c r="O184" s="31"/>
      <x:c r="P184" s="20"/>
      <x:c r="Q184" s="20"/>
      <x:c r="R184" s="20" t="str">
        <x:v>待展开</x:v>
      </x:c>
      <x:c r="S184" s="20"/>
      <x:c r="T184" s="31"/>
      <x:c r="U184" s="30" t="str">
        <x:f>IF(A184="","缺记录编号",IF(COUNTIFS(PathRecords[记录编号],A184)&lt;&gt;1,"记录编号重复",IF(OR(B184="",E184=""),"缺组合/功能",IF(COUNTIFS(Equipment[组合编号],B184)&lt;&gt;1,"组合编号无效",IF(COUNTIFS(FunctionMatrix[编号],E184)=0,"功能编号无效",IF(H184="不适用",IF(J184="已实测","适用性冲突",IF(I184="","待补不适用依据","不适用（非实测）")),IF(J184="阻塞",IF(I184="","待补阻塞原因","阻塞（非实测）"),IF(J184&lt;&gt;"已实测",IF(F184="","待展开路径","未实测"),IF(H184&lt;&gt;"适用","待确认适用性",IF(INDEX(Equipment[登记状态（自动）],MATCH(B184,Equipment[组合编号],0))&lt;&gt;"已登记","待补设备组合",IF(AND(F184&lt;&gt;"",G184&lt;&gt;"",K184&lt;&gt;"",L184&lt;&gt;"",M184&lt;&gt;"",N184&lt;&gt;"",ISNUMBER(O184),O184&gt;0,P184&lt;&gt;""),"记录齐全","待补实测记录")))))))))))</x:f>
        <x:v>待展开路径</x:v>
      </x:c>
    </x:row>
    <x:row r="185" ht="43.5" customHeight="1">
      <x:c r="A185" s="20" t="str">
        <x:v>REC-00176</x:v>
      </x:c>
      <x:c r="B185" s="20" t="str">
        <x:v>P1-B2-01</x:v>
      </x:c>
      <x:c r="C185" s="30" t="str">
        <x:f>IF(B185="","",IF(COUNTIFS(Equipment[组合编号],B185)&lt;&gt;1,"组合编号无效",INDEX(Equipment[PLC组],MATCH(B185,Equipment[组合编号],0))))</x:f>
        <x:v>汇川小型</x:v>
      </x:c>
      <x:c r="D185" s="30" t="str">
        <x:f>IF(B185="","",IF(COUNTIFS(Equipment[组合编号],B185)&lt;&gt;1,"组合编号无效",INDEX(Equipment[驱动品牌],MATCH(B185,Equipment[组合编号],0))))</x:f>
        <x:v>台达</x:v>
      </x:c>
      <x:c r="E185" s="20" t="str">
        <x:v>P10</x:v>
      </x:c>
      <x:c r="F185" s="20"/>
      <x:c r="G185" s="20"/>
      <x:c r="H185" s="20" t="str">
        <x:v>待判定</x:v>
      </x:c>
      <x:c r="I185" s="20"/>
      <x:c r="J185" s="20" t="str">
        <x:v>未测试</x:v>
      </x:c>
      <x:c r="K185" s="20"/>
      <x:c r="L185" s="20"/>
      <x:c r="M185" s="20"/>
      <x:c r="N185" s="20"/>
      <x:c r="O185" s="31"/>
      <x:c r="P185" s="20"/>
      <x:c r="Q185" s="20"/>
      <x:c r="R185" s="20" t="str">
        <x:v>待展开</x:v>
      </x:c>
      <x:c r="S185" s="20"/>
      <x:c r="T185" s="31"/>
      <x:c r="U185" s="30" t="str">
        <x:f>IF(A185="","缺记录编号",IF(COUNTIFS(PathRecords[记录编号],A185)&lt;&gt;1,"记录编号重复",IF(OR(B185="",E185=""),"缺组合/功能",IF(COUNTIFS(Equipment[组合编号],B185)&lt;&gt;1,"组合编号无效",IF(COUNTIFS(FunctionMatrix[编号],E185)=0,"功能编号无效",IF(H185="不适用",IF(J185="已实测","适用性冲突",IF(I185="","待补不适用依据","不适用（非实测）")),IF(J185="阻塞",IF(I185="","待补阻塞原因","阻塞（非实测）"),IF(J185&lt;&gt;"已实测",IF(F185="","待展开路径","未实测"),IF(H185&lt;&gt;"适用","待确认适用性",IF(INDEX(Equipment[登记状态（自动）],MATCH(B185,Equipment[组合编号],0))&lt;&gt;"已登记","待补设备组合",IF(AND(F185&lt;&gt;"",G185&lt;&gt;"",K185&lt;&gt;"",L185&lt;&gt;"",M185&lt;&gt;"",N185&lt;&gt;"",ISNUMBER(O185),O185&gt;0,P185&lt;&gt;""),"记录齐全","待补实测记录")))))))))))</x:f>
        <x:v>待展开路径</x:v>
      </x:c>
    </x:row>
    <x:row r="186" ht="43.5" customHeight="1">
      <x:c r="A186" s="20" t="str">
        <x:v>REC-00177</x:v>
      </x:c>
      <x:c r="B186" s="20" t="str">
        <x:v>P1-B2-01</x:v>
      </x:c>
      <x:c r="C186" s="30" t="str">
        <x:f>IF(B186="","",IF(COUNTIFS(Equipment[组合编号],B186)&lt;&gt;1,"组合编号无效",INDEX(Equipment[PLC组],MATCH(B186,Equipment[组合编号],0))))</x:f>
        <x:v>汇川小型</x:v>
      </x:c>
      <x:c r="D186" s="30" t="str">
        <x:f>IF(B186="","",IF(COUNTIFS(Equipment[组合编号],B186)&lt;&gt;1,"组合编号无效",INDEX(Equipment[驱动品牌],MATCH(B186,Equipment[组合编号],0))))</x:f>
        <x:v>台达</x:v>
      </x:c>
      <x:c r="E186" s="20" t="str">
        <x:v>A01</x:v>
      </x:c>
      <x:c r="F186" s="20"/>
      <x:c r="G186" s="20"/>
      <x:c r="H186" s="20" t="str">
        <x:v>待判定</x:v>
      </x:c>
      <x:c r="I186" s="20"/>
      <x:c r="J186" s="20" t="str">
        <x:v>未测试</x:v>
      </x:c>
      <x:c r="K186" s="20"/>
      <x:c r="L186" s="20"/>
      <x:c r="M186" s="20"/>
      <x:c r="N186" s="20"/>
      <x:c r="O186" s="31"/>
      <x:c r="P186" s="20"/>
      <x:c r="Q186" s="20"/>
      <x:c r="R186" s="20" t="str">
        <x:v>待展开</x:v>
      </x:c>
      <x:c r="S186" s="20"/>
      <x:c r="T186" s="31"/>
      <x:c r="U186" s="30" t="str">
        <x:f>IF(A186="","缺记录编号",IF(COUNTIFS(PathRecords[记录编号],A186)&lt;&gt;1,"记录编号重复",IF(OR(B186="",E186=""),"缺组合/功能",IF(COUNTIFS(Equipment[组合编号],B186)&lt;&gt;1,"组合编号无效",IF(COUNTIFS(FunctionMatrix[编号],E186)=0,"功能编号无效",IF(H186="不适用",IF(J186="已实测","适用性冲突",IF(I186="","待补不适用依据","不适用（非实测）")),IF(J186="阻塞",IF(I186="","待补阻塞原因","阻塞（非实测）"),IF(J186&lt;&gt;"已实测",IF(F186="","待展开路径","未实测"),IF(H186&lt;&gt;"适用","待确认适用性",IF(INDEX(Equipment[登记状态（自动）],MATCH(B186,Equipment[组合编号],0))&lt;&gt;"已登记","待补设备组合",IF(AND(F186&lt;&gt;"",G186&lt;&gt;"",K186&lt;&gt;"",L186&lt;&gt;"",M186&lt;&gt;"",N186&lt;&gt;"",ISNUMBER(O186),O186&gt;0,P186&lt;&gt;""),"记录齐全","待补实测记录")))))))))))</x:f>
        <x:v>待展开路径</x:v>
      </x:c>
    </x:row>
    <x:row r="187" ht="43.5" customHeight="1">
      <x:c r="A187" s="20" t="str">
        <x:v>REC-00178</x:v>
      </x:c>
      <x:c r="B187" s="20" t="str">
        <x:v>P1-B2-01</x:v>
      </x:c>
      <x:c r="C187" s="30" t="str">
        <x:f>IF(B187="","",IF(COUNTIFS(Equipment[组合编号],B187)&lt;&gt;1,"组合编号无效",INDEX(Equipment[PLC组],MATCH(B187,Equipment[组合编号],0))))</x:f>
        <x:v>汇川小型</x:v>
      </x:c>
      <x:c r="D187" s="30" t="str">
        <x:f>IF(B187="","",IF(COUNTIFS(Equipment[组合编号],B187)&lt;&gt;1,"组合编号无效",INDEX(Equipment[驱动品牌],MATCH(B187,Equipment[组合编号],0))))</x:f>
        <x:v>台达</x:v>
      </x:c>
      <x:c r="E187" s="20" t="str">
        <x:v>A02</x:v>
      </x:c>
      <x:c r="F187" s="20"/>
      <x:c r="G187" s="20"/>
      <x:c r="H187" s="20" t="str">
        <x:v>待判定</x:v>
      </x:c>
      <x:c r="I187" s="20"/>
      <x:c r="J187" s="20" t="str">
        <x:v>未测试</x:v>
      </x:c>
      <x:c r="K187" s="20"/>
      <x:c r="L187" s="20"/>
      <x:c r="M187" s="20"/>
      <x:c r="N187" s="20"/>
      <x:c r="O187" s="31"/>
      <x:c r="P187" s="20"/>
      <x:c r="Q187" s="20"/>
      <x:c r="R187" s="20" t="str">
        <x:v>待展开</x:v>
      </x:c>
      <x:c r="S187" s="20"/>
      <x:c r="T187" s="31"/>
      <x:c r="U187" s="30" t="str">
        <x:f>IF(A187="","缺记录编号",IF(COUNTIFS(PathRecords[记录编号],A187)&lt;&gt;1,"记录编号重复",IF(OR(B187="",E187=""),"缺组合/功能",IF(COUNTIFS(Equipment[组合编号],B187)&lt;&gt;1,"组合编号无效",IF(COUNTIFS(FunctionMatrix[编号],E187)=0,"功能编号无效",IF(H187="不适用",IF(J187="已实测","适用性冲突",IF(I187="","待补不适用依据","不适用（非实测）")),IF(J187="阻塞",IF(I187="","待补阻塞原因","阻塞（非实测）"),IF(J187&lt;&gt;"已实测",IF(F187="","待展开路径","未实测"),IF(H187&lt;&gt;"适用","待确认适用性",IF(INDEX(Equipment[登记状态（自动）],MATCH(B187,Equipment[组合编号],0))&lt;&gt;"已登记","待补设备组合",IF(AND(F187&lt;&gt;"",G187&lt;&gt;"",K187&lt;&gt;"",L187&lt;&gt;"",M187&lt;&gt;"",N187&lt;&gt;"",ISNUMBER(O187),O187&gt;0,P187&lt;&gt;""),"记录齐全","待补实测记录")))))))))))</x:f>
        <x:v>待展开路径</x:v>
      </x:c>
    </x:row>
    <x:row r="188" ht="43.5" customHeight="1">
      <x:c r="A188" s="20" t="str">
        <x:v>REC-00179</x:v>
      </x:c>
      <x:c r="B188" s="20" t="str">
        <x:v>P1-B2-01</x:v>
      </x:c>
      <x:c r="C188" s="30" t="str">
        <x:f>IF(B188="","",IF(COUNTIFS(Equipment[组合编号],B188)&lt;&gt;1,"组合编号无效",INDEX(Equipment[PLC组],MATCH(B188,Equipment[组合编号],0))))</x:f>
        <x:v>汇川小型</x:v>
      </x:c>
      <x:c r="D188" s="30" t="str">
        <x:f>IF(B188="","",IF(COUNTIFS(Equipment[组合编号],B188)&lt;&gt;1,"组合编号无效",INDEX(Equipment[驱动品牌],MATCH(B188,Equipment[组合编号],0))))</x:f>
        <x:v>台达</x:v>
      </x:c>
      <x:c r="E188" s="20" t="str">
        <x:v>A03</x:v>
      </x:c>
      <x:c r="F188" s="20"/>
      <x:c r="G188" s="20"/>
      <x:c r="H188" s="20" t="str">
        <x:v>待判定</x:v>
      </x:c>
      <x:c r="I188" s="20"/>
      <x:c r="J188" s="20" t="str">
        <x:v>未测试</x:v>
      </x:c>
      <x:c r="K188" s="20"/>
      <x:c r="L188" s="20"/>
      <x:c r="M188" s="20"/>
      <x:c r="N188" s="20"/>
      <x:c r="O188" s="31"/>
      <x:c r="P188" s="20"/>
      <x:c r="Q188" s="20"/>
      <x:c r="R188" s="20" t="str">
        <x:v>待展开</x:v>
      </x:c>
      <x:c r="S188" s="20"/>
      <x:c r="T188" s="31"/>
      <x:c r="U188" s="30" t="str">
        <x:f>IF(A188="","缺记录编号",IF(COUNTIFS(PathRecords[记录编号],A188)&lt;&gt;1,"记录编号重复",IF(OR(B188="",E188=""),"缺组合/功能",IF(COUNTIFS(Equipment[组合编号],B188)&lt;&gt;1,"组合编号无效",IF(COUNTIFS(FunctionMatrix[编号],E188)=0,"功能编号无效",IF(H188="不适用",IF(J188="已实测","适用性冲突",IF(I188="","待补不适用依据","不适用（非实测）")),IF(J188="阻塞",IF(I188="","待补阻塞原因","阻塞（非实测）"),IF(J188&lt;&gt;"已实测",IF(F188="","待展开路径","未实测"),IF(H188&lt;&gt;"适用","待确认适用性",IF(INDEX(Equipment[登记状态（自动）],MATCH(B188,Equipment[组合编号],0))&lt;&gt;"已登记","待补设备组合",IF(AND(F188&lt;&gt;"",G188&lt;&gt;"",K188&lt;&gt;"",L188&lt;&gt;"",M188&lt;&gt;"",N188&lt;&gt;"",ISNUMBER(O188),O188&gt;0,P188&lt;&gt;""),"记录齐全","待补实测记录")))))))))))</x:f>
        <x:v>待展开路径</x:v>
      </x:c>
    </x:row>
    <x:row r="189" ht="43.5" customHeight="1">
      <x:c r="A189" s="20" t="str">
        <x:v>REC-00180</x:v>
      </x:c>
      <x:c r="B189" s="20" t="str">
        <x:v>P1-B2-01</x:v>
      </x:c>
      <x:c r="C189" s="30" t="str">
        <x:f>IF(B189="","",IF(COUNTIFS(Equipment[组合编号],B189)&lt;&gt;1,"组合编号无效",INDEX(Equipment[PLC组],MATCH(B189,Equipment[组合编号],0))))</x:f>
        <x:v>汇川小型</x:v>
      </x:c>
      <x:c r="D189" s="30" t="str">
        <x:f>IF(B189="","",IF(COUNTIFS(Equipment[组合编号],B189)&lt;&gt;1,"组合编号无效",INDEX(Equipment[驱动品牌],MATCH(B189,Equipment[组合编号],0))))</x:f>
        <x:v>台达</x:v>
      </x:c>
      <x:c r="E189" s="20" t="str">
        <x:v>A04</x:v>
      </x:c>
      <x:c r="F189" s="20"/>
      <x:c r="G189" s="20"/>
      <x:c r="H189" s="20" t="str">
        <x:v>待判定</x:v>
      </x:c>
      <x:c r="I189" s="20"/>
      <x:c r="J189" s="20" t="str">
        <x:v>未测试</x:v>
      </x:c>
      <x:c r="K189" s="20"/>
      <x:c r="L189" s="20"/>
      <x:c r="M189" s="20"/>
      <x:c r="N189" s="20"/>
      <x:c r="O189" s="31"/>
      <x:c r="P189" s="20"/>
      <x:c r="Q189" s="20"/>
      <x:c r="R189" s="20" t="str">
        <x:v>待展开</x:v>
      </x:c>
      <x:c r="S189" s="20"/>
      <x:c r="T189" s="31"/>
      <x:c r="U189" s="30" t="str">
        <x:f>IF(A189="","缺记录编号",IF(COUNTIFS(PathRecords[记录编号],A189)&lt;&gt;1,"记录编号重复",IF(OR(B189="",E189=""),"缺组合/功能",IF(COUNTIFS(Equipment[组合编号],B189)&lt;&gt;1,"组合编号无效",IF(COUNTIFS(FunctionMatrix[编号],E189)=0,"功能编号无效",IF(H189="不适用",IF(J189="已实测","适用性冲突",IF(I189="","待补不适用依据","不适用（非实测）")),IF(J189="阻塞",IF(I189="","待补阻塞原因","阻塞（非实测）"),IF(J189&lt;&gt;"已实测",IF(F189="","待展开路径","未实测"),IF(H189&lt;&gt;"适用","待确认适用性",IF(INDEX(Equipment[登记状态（自动）],MATCH(B189,Equipment[组合编号],0))&lt;&gt;"已登记","待补设备组合",IF(AND(F189&lt;&gt;"",G189&lt;&gt;"",K189&lt;&gt;"",L189&lt;&gt;"",M189&lt;&gt;"",N189&lt;&gt;"",ISNUMBER(O189),O189&gt;0,P189&lt;&gt;""),"记录齐全","待补实测记录")))))))))))</x:f>
        <x:v>待展开路径</x:v>
      </x:c>
    </x:row>
    <x:row r="190" ht="43.5" customHeight="1">
      <x:c r="A190" s="20" t="str">
        <x:v>REC-00181</x:v>
      </x:c>
      <x:c r="B190" s="20" t="str">
        <x:v>P1-B2-01</x:v>
      </x:c>
      <x:c r="C190" s="30" t="str">
        <x:f>IF(B190="","",IF(COUNTIFS(Equipment[组合编号],B190)&lt;&gt;1,"组合编号无效",INDEX(Equipment[PLC组],MATCH(B190,Equipment[组合编号],0))))</x:f>
        <x:v>汇川小型</x:v>
      </x:c>
      <x:c r="D190" s="30" t="str">
        <x:f>IF(B190="","",IF(COUNTIFS(Equipment[组合编号],B190)&lt;&gt;1,"组合编号无效",INDEX(Equipment[驱动品牌],MATCH(B190,Equipment[组合编号],0))))</x:f>
        <x:v>台达</x:v>
      </x:c>
      <x:c r="E190" s="20" t="str">
        <x:v>A05</x:v>
      </x:c>
      <x:c r="F190" s="20"/>
      <x:c r="G190" s="20"/>
      <x:c r="H190" s="20" t="str">
        <x:v>待判定</x:v>
      </x:c>
      <x:c r="I190" s="20"/>
      <x:c r="J190" s="20" t="str">
        <x:v>未测试</x:v>
      </x:c>
      <x:c r="K190" s="20"/>
      <x:c r="L190" s="20"/>
      <x:c r="M190" s="20"/>
      <x:c r="N190" s="20"/>
      <x:c r="O190" s="31"/>
      <x:c r="P190" s="20"/>
      <x:c r="Q190" s="20"/>
      <x:c r="R190" s="20" t="str">
        <x:v>待展开</x:v>
      </x:c>
      <x:c r="S190" s="20"/>
      <x:c r="T190" s="31"/>
      <x:c r="U190" s="30" t="str">
        <x:f>IF(A190="","缺记录编号",IF(COUNTIFS(PathRecords[记录编号],A190)&lt;&gt;1,"记录编号重复",IF(OR(B190="",E190=""),"缺组合/功能",IF(COUNTIFS(Equipment[组合编号],B190)&lt;&gt;1,"组合编号无效",IF(COUNTIFS(FunctionMatrix[编号],E190)=0,"功能编号无效",IF(H190="不适用",IF(J190="已实测","适用性冲突",IF(I190="","待补不适用依据","不适用（非实测）")),IF(J190="阻塞",IF(I190="","待补阻塞原因","阻塞（非实测）"),IF(J190&lt;&gt;"已实测",IF(F190="","待展开路径","未实测"),IF(H190&lt;&gt;"适用","待确认适用性",IF(INDEX(Equipment[登记状态（自动）],MATCH(B190,Equipment[组合编号],0))&lt;&gt;"已登记","待补设备组合",IF(AND(F190&lt;&gt;"",G190&lt;&gt;"",K190&lt;&gt;"",L190&lt;&gt;"",M190&lt;&gt;"",N190&lt;&gt;"",ISNUMBER(O190),O190&gt;0,P190&lt;&gt;""),"记录齐全","待补实测记录")))))))))))</x:f>
        <x:v>待展开路径</x:v>
      </x:c>
    </x:row>
    <x:row r="191" ht="43.5" customHeight="1">
      <x:c r="A191" s="20" t="str">
        <x:v>REC-00182</x:v>
      </x:c>
      <x:c r="B191" s="20" t="str">
        <x:v>P1-B2-01</x:v>
      </x:c>
      <x:c r="C191" s="30" t="str">
        <x:f>IF(B191="","",IF(COUNTIFS(Equipment[组合编号],B191)&lt;&gt;1,"组合编号无效",INDEX(Equipment[PLC组],MATCH(B191,Equipment[组合编号],0))))</x:f>
        <x:v>汇川小型</x:v>
      </x:c>
      <x:c r="D191" s="30" t="str">
        <x:f>IF(B191="","",IF(COUNTIFS(Equipment[组合编号],B191)&lt;&gt;1,"组合编号无效",INDEX(Equipment[驱动品牌],MATCH(B191,Equipment[组合编号],0))))</x:f>
        <x:v>台达</x:v>
      </x:c>
      <x:c r="E191" s="20" t="str">
        <x:v>A06</x:v>
      </x:c>
      <x:c r="F191" s="20"/>
      <x:c r="G191" s="20"/>
      <x:c r="H191" s="20" t="str">
        <x:v>待判定</x:v>
      </x:c>
      <x:c r="I191" s="20"/>
      <x:c r="J191" s="20" t="str">
        <x:v>未测试</x:v>
      </x:c>
      <x:c r="K191" s="20"/>
      <x:c r="L191" s="20"/>
      <x:c r="M191" s="20"/>
      <x:c r="N191" s="20"/>
      <x:c r="O191" s="31"/>
      <x:c r="P191" s="20"/>
      <x:c r="Q191" s="20"/>
      <x:c r="R191" s="20" t="str">
        <x:v>待展开</x:v>
      </x:c>
      <x:c r="S191" s="20"/>
      <x:c r="T191" s="31"/>
      <x:c r="U191" s="30" t="str">
        <x:f>IF(A191="","缺记录编号",IF(COUNTIFS(PathRecords[记录编号],A191)&lt;&gt;1,"记录编号重复",IF(OR(B191="",E191=""),"缺组合/功能",IF(COUNTIFS(Equipment[组合编号],B191)&lt;&gt;1,"组合编号无效",IF(COUNTIFS(FunctionMatrix[编号],E191)=0,"功能编号无效",IF(H191="不适用",IF(J191="已实测","适用性冲突",IF(I191="","待补不适用依据","不适用（非实测）")),IF(J191="阻塞",IF(I191="","待补阻塞原因","阻塞（非实测）"),IF(J191&lt;&gt;"已实测",IF(F191="","待展开路径","未实测"),IF(H191&lt;&gt;"适用","待确认适用性",IF(INDEX(Equipment[登记状态（自动）],MATCH(B191,Equipment[组合编号],0))&lt;&gt;"已登记","待补设备组合",IF(AND(F191&lt;&gt;"",G191&lt;&gt;"",K191&lt;&gt;"",L191&lt;&gt;"",M191&lt;&gt;"",N191&lt;&gt;"",ISNUMBER(O191),O191&gt;0,P191&lt;&gt;""),"记录齐全","待补实测记录")))))))))))</x:f>
        <x:v>待展开路径</x:v>
      </x:c>
    </x:row>
    <x:row r="192" ht="43.5" customHeight="1">
      <x:c r="A192" s="20" t="str">
        <x:v>REC-00183</x:v>
      </x:c>
      <x:c r="B192" s="20" t="str">
        <x:v>P1-B2-01</x:v>
      </x:c>
      <x:c r="C192" s="30" t="str">
        <x:f>IF(B192="","",IF(COUNTIFS(Equipment[组合编号],B192)&lt;&gt;1,"组合编号无效",INDEX(Equipment[PLC组],MATCH(B192,Equipment[组合编号],0))))</x:f>
        <x:v>汇川小型</x:v>
      </x:c>
      <x:c r="D192" s="30" t="str">
        <x:f>IF(B192="","",IF(COUNTIFS(Equipment[组合编号],B192)&lt;&gt;1,"组合编号无效",INDEX(Equipment[驱动品牌],MATCH(B192,Equipment[组合编号],0))))</x:f>
        <x:v>台达</x:v>
      </x:c>
      <x:c r="E192" s="20" t="str">
        <x:v>A07</x:v>
      </x:c>
      <x:c r="F192" s="20"/>
      <x:c r="G192" s="20"/>
      <x:c r="H192" s="20" t="str">
        <x:v>待判定</x:v>
      </x:c>
      <x:c r="I192" s="20"/>
      <x:c r="J192" s="20" t="str">
        <x:v>未测试</x:v>
      </x:c>
      <x:c r="K192" s="20"/>
      <x:c r="L192" s="20"/>
      <x:c r="M192" s="20"/>
      <x:c r="N192" s="20"/>
      <x:c r="O192" s="31"/>
      <x:c r="P192" s="20"/>
      <x:c r="Q192" s="20"/>
      <x:c r="R192" s="20" t="str">
        <x:v>待展开</x:v>
      </x:c>
      <x:c r="S192" s="20"/>
      <x:c r="T192" s="31"/>
      <x:c r="U192" s="30" t="str">
        <x:f>IF(A192="","缺记录编号",IF(COUNTIFS(PathRecords[记录编号],A192)&lt;&gt;1,"记录编号重复",IF(OR(B192="",E192=""),"缺组合/功能",IF(COUNTIFS(Equipment[组合编号],B192)&lt;&gt;1,"组合编号无效",IF(COUNTIFS(FunctionMatrix[编号],E192)=0,"功能编号无效",IF(H192="不适用",IF(J192="已实测","适用性冲突",IF(I192="","待补不适用依据","不适用（非实测）")),IF(J192="阻塞",IF(I192="","待补阻塞原因","阻塞（非实测）"),IF(J192&lt;&gt;"已实测",IF(F192="","待展开路径","未实测"),IF(H192&lt;&gt;"适用","待确认适用性",IF(INDEX(Equipment[登记状态（自动）],MATCH(B192,Equipment[组合编号],0))&lt;&gt;"已登记","待补设备组合",IF(AND(F192&lt;&gt;"",G192&lt;&gt;"",K192&lt;&gt;"",L192&lt;&gt;"",M192&lt;&gt;"",N192&lt;&gt;"",ISNUMBER(O192),O192&gt;0,P192&lt;&gt;""),"记录齐全","待补实测记录")))))))))))</x:f>
        <x:v>待展开路径</x:v>
      </x:c>
    </x:row>
    <x:row r="193" ht="43.5" customHeight="1">
      <x:c r="A193" s="20" t="str">
        <x:v>REC-00184</x:v>
      </x:c>
      <x:c r="B193" s="20" t="str">
        <x:v>P1-B2-01</x:v>
      </x:c>
      <x:c r="C193" s="30" t="str">
        <x:f>IF(B193="","",IF(COUNTIFS(Equipment[组合编号],B193)&lt;&gt;1,"组合编号无效",INDEX(Equipment[PLC组],MATCH(B193,Equipment[组合编号],0))))</x:f>
        <x:v>汇川小型</x:v>
      </x:c>
      <x:c r="D193" s="30" t="str">
        <x:f>IF(B193="","",IF(COUNTIFS(Equipment[组合编号],B193)&lt;&gt;1,"组合编号无效",INDEX(Equipment[驱动品牌],MATCH(B193,Equipment[组合编号],0))))</x:f>
        <x:v>台达</x:v>
      </x:c>
      <x:c r="E193" s="20" t="str">
        <x:v>A08</x:v>
      </x:c>
      <x:c r="F193" s="20"/>
      <x:c r="G193" s="20"/>
      <x:c r="H193" s="20" t="str">
        <x:v>待判定</x:v>
      </x:c>
      <x:c r="I193" s="20"/>
      <x:c r="J193" s="20" t="str">
        <x:v>未测试</x:v>
      </x:c>
      <x:c r="K193" s="20"/>
      <x:c r="L193" s="20"/>
      <x:c r="M193" s="20"/>
      <x:c r="N193" s="20"/>
      <x:c r="O193" s="31"/>
      <x:c r="P193" s="20"/>
      <x:c r="Q193" s="20"/>
      <x:c r="R193" s="20" t="str">
        <x:v>待展开</x:v>
      </x:c>
      <x:c r="S193" s="20"/>
      <x:c r="T193" s="31"/>
      <x:c r="U193" s="30" t="str">
        <x:f>IF(A193="","缺记录编号",IF(COUNTIFS(PathRecords[记录编号],A193)&lt;&gt;1,"记录编号重复",IF(OR(B193="",E193=""),"缺组合/功能",IF(COUNTIFS(Equipment[组合编号],B193)&lt;&gt;1,"组合编号无效",IF(COUNTIFS(FunctionMatrix[编号],E193)=0,"功能编号无效",IF(H193="不适用",IF(J193="已实测","适用性冲突",IF(I193="","待补不适用依据","不适用（非实测）")),IF(J193="阻塞",IF(I193="","待补阻塞原因","阻塞（非实测）"),IF(J193&lt;&gt;"已实测",IF(F193="","待展开路径","未实测"),IF(H193&lt;&gt;"适用","待确认适用性",IF(INDEX(Equipment[登记状态（自动）],MATCH(B193,Equipment[组合编号],0))&lt;&gt;"已登记","待补设备组合",IF(AND(F193&lt;&gt;"",G193&lt;&gt;"",K193&lt;&gt;"",L193&lt;&gt;"",M193&lt;&gt;"",N193&lt;&gt;"",ISNUMBER(O193),O193&gt;0,P193&lt;&gt;""),"记录齐全","待补实测记录")))))))))))</x:f>
        <x:v>待展开路径</x:v>
      </x:c>
    </x:row>
    <x:row r="194" ht="43.5" customHeight="1">
      <x:c r="A194" s="20" t="str">
        <x:v>REC-00185</x:v>
      </x:c>
      <x:c r="B194" s="20" t="str">
        <x:v>P1-B2-01</x:v>
      </x:c>
      <x:c r="C194" s="30" t="str">
        <x:f>IF(B194="","",IF(COUNTIFS(Equipment[组合编号],B194)&lt;&gt;1,"组合编号无效",INDEX(Equipment[PLC组],MATCH(B194,Equipment[组合编号],0))))</x:f>
        <x:v>汇川小型</x:v>
      </x:c>
      <x:c r="D194" s="30" t="str">
        <x:f>IF(B194="","",IF(COUNTIFS(Equipment[组合编号],B194)&lt;&gt;1,"组合编号无效",INDEX(Equipment[驱动品牌],MATCH(B194,Equipment[组合编号],0))))</x:f>
        <x:v>台达</x:v>
      </x:c>
      <x:c r="E194" s="20" t="str">
        <x:v>A09</x:v>
      </x:c>
      <x:c r="F194" s="20"/>
      <x:c r="G194" s="20"/>
      <x:c r="H194" s="20" t="str">
        <x:v>待判定</x:v>
      </x:c>
      <x:c r="I194" s="20"/>
      <x:c r="J194" s="20" t="str">
        <x:v>未测试</x:v>
      </x:c>
      <x:c r="K194" s="20"/>
      <x:c r="L194" s="20"/>
      <x:c r="M194" s="20"/>
      <x:c r="N194" s="20"/>
      <x:c r="O194" s="31"/>
      <x:c r="P194" s="20"/>
      <x:c r="Q194" s="20"/>
      <x:c r="R194" s="20" t="str">
        <x:v>待展开</x:v>
      </x:c>
      <x:c r="S194" s="20"/>
      <x:c r="T194" s="31"/>
      <x:c r="U194" s="30" t="str">
        <x:f>IF(A194="","缺记录编号",IF(COUNTIFS(PathRecords[记录编号],A194)&lt;&gt;1,"记录编号重复",IF(OR(B194="",E194=""),"缺组合/功能",IF(COUNTIFS(Equipment[组合编号],B194)&lt;&gt;1,"组合编号无效",IF(COUNTIFS(FunctionMatrix[编号],E194)=0,"功能编号无效",IF(H194="不适用",IF(J194="已实测","适用性冲突",IF(I194="","待补不适用依据","不适用（非实测）")),IF(J194="阻塞",IF(I194="","待补阻塞原因","阻塞（非实测）"),IF(J194&lt;&gt;"已实测",IF(F194="","待展开路径","未实测"),IF(H194&lt;&gt;"适用","待确认适用性",IF(INDEX(Equipment[登记状态（自动）],MATCH(B194,Equipment[组合编号],0))&lt;&gt;"已登记","待补设备组合",IF(AND(F194&lt;&gt;"",G194&lt;&gt;"",K194&lt;&gt;"",L194&lt;&gt;"",M194&lt;&gt;"",N194&lt;&gt;"",ISNUMBER(O194),O194&gt;0,P194&lt;&gt;""),"记录齐全","待补实测记录")))))))))))</x:f>
        <x:v>待展开路径</x:v>
      </x:c>
    </x:row>
    <x:row r="195" ht="43.5" customHeight="1">
      <x:c r="A195" s="20" t="str">
        <x:v>REC-00186</x:v>
      </x:c>
      <x:c r="B195" s="20" t="str">
        <x:v>P1-B2-01</x:v>
      </x:c>
      <x:c r="C195" s="30" t="str">
        <x:f>IF(B195="","",IF(COUNTIFS(Equipment[组合编号],B195)&lt;&gt;1,"组合编号无效",INDEX(Equipment[PLC组],MATCH(B195,Equipment[组合编号],0))))</x:f>
        <x:v>汇川小型</x:v>
      </x:c>
      <x:c r="D195" s="30" t="str">
        <x:f>IF(B195="","",IF(COUNTIFS(Equipment[组合编号],B195)&lt;&gt;1,"组合编号无效",INDEX(Equipment[驱动品牌],MATCH(B195,Equipment[组合编号],0))))</x:f>
        <x:v>台达</x:v>
      </x:c>
      <x:c r="E195" s="20" t="str">
        <x:v>C01</x:v>
      </x:c>
      <x:c r="F195" s="20"/>
      <x:c r="G195" s="20"/>
      <x:c r="H195" s="20" t="str">
        <x:v>待判定</x:v>
      </x:c>
      <x:c r="I195" s="20"/>
      <x:c r="J195" s="20" t="str">
        <x:v>未测试</x:v>
      </x:c>
      <x:c r="K195" s="20"/>
      <x:c r="L195" s="20"/>
      <x:c r="M195" s="20"/>
      <x:c r="N195" s="20"/>
      <x:c r="O195" s="31"/>
      <x:c r="P195" s="20"/>
      <x:c r="Q195" s="20"/>
      <x:c r="R195" s="20" t="str">
        <x:v>待展开</x:v>
      </x:c>
      <x:c r="S195" s="20"/>
      <x:c r="T195" s="31"/>
      <x:c r="U195" s="30" t="str">
        <x:f>IF(A195="","缺记录编号",IF(COUNTIFS(PathRecords[记录编号],A195)&lt;&gt;1,"记录编号重复",IF(OR(B195="",E195=""),"缺组合/功能",IF(COUNTIFS(Equipment[组合编号],B195)&lt;&gt;1,"组合编号无效",IF(COUNTIFS(FunctionMatrix[编号],E195)=0,"功能编号无效",IF(H195="不适用",IF(J195="已实测","适用性冲突",IF(I195="","待补不适用依据","不适用（非实测）")),IF(J195="阻塞",IF(I195="","待补阻塞原因","阻塞（非实测）"),IF(J195&lt;&gt;"已实测",IF(F195="","待展开路径","未实测"),IF(H195&lt;&gt;"适用","待确认适用性",IF(INDEX(Equipment[登记状态（自动）],MATCH(B195,Equipment[组合编号],0))&lt;&gt;"已登记","待补设备组合",IF(AND(F195&lt;&gt;"",G195&lt;&gt;"",K195&lt;&gt;"",L195&lt;&gt;"",M195&lt;&gt;"",N195&lt;&gt;"",ISNUMBER(O195),O195&gt;0,P195&lt;&gt;""),"记录齐全","待补实测记录")))))))))))</x:f>
        <x:v>待展开路径</x:v>
      </x:c>
    </x:row>
    <x:row r="196" ht="43.5" customHeight="1">
      <x:c r="A196" s="20" t="str">
        <x:v>REC-00187</x:v>
      </x:c>
      <x:c r="B196" s="20" t="str">
        <x:v>P1-B2-01</x:v>
      </x:c>
      <x:c r="C196" s="30" t="str">
        <x:f>IF(B196="","",IF(COUNTIFS(Equipment[组合编号],B196)&lt;&gt;1,"组合编号无效",INDEX(Equipment[PLC组],MATCH(B196,Equipment[组合编号],0))))</x:f>
        <x:v>汇川小型</x:v>
      </x:c>
      <x:c r="D196" s="30" t="str">
        <x:f>IF(B196="","",IF(COUNTIFS(Equipment[组合编号],B196)&lt;&gt;1,"组合编号无效",INDEX(Equipment[驱动品牌],MATCH(B196,Equipment[组合编号],0))))</x:f>
        <x:v>台达</x:v>
      </x:c>
      <x:c r="E196" s="20" t="str">
        <x:v>C02</x:v>
      </x:c>
      <x:c r="F196" s="20"/>
      <x:c r="G196" s="20"/>
      <x:c r="H196" s="20" t="str">
        <x:v>待判定</x:v>
      </x:c>
      <x:c r="I196" s="20"/>
      <x:c r="J196" s="20" t="str">
        <x:v>未测试</x:v>
      </x:c>
      <x:c r="K196" s="20"/>
      <x:c r="L196" s="20"/>
      <x:c r="M196" s="20"/>
      <x:c r="N196" s="20"/>
      <x:c r="O196" s="31"/>
      <x:c r="P196" s="20"/>
      <x:c r="Q196" s="20"/>
      <x:c r="R196" s="20" t="str">
        <x:v>待展开</x:v>
      </x:c>
      <x:c r="S196" s="20"/>
      <x:c r="T196" s="31"/>
      <x:c r="U196" s="30" t="str">
        <x:f>IF(A196="","缺记录编号",IF(COUNTIFS(PathRecords[记录编号],A196)&lt;&gt;1,"记录编号重复",IF(OR(B196="",E196=""),"缺组合/功能",IF(COUNTIFS(Equipment[组合编号],B196)&lt;&gt;1,"组合编号无效",IF(COUNTIFS(FunctionMatrix[编号],E196)=0,"功能编号无效",IF(H196="不适用",IF(J196="已实测","适用性冲突",IF(I196="","待补不适用依据","不适用（非实测）")),IF(J196="阻塞",IF(I196="","待补阻塞原因","阻塞（非实测）"),IF(J196&lt;&gt;"已实测",IF(F196="","待展开路径","未实测"),IF(H196&lt;&gt;"适用","待确认适用性",IF(INDEX(Equipment[登记状态（自动）],MATCH(B196,Equipment[组合编号],0))&lt;&gt;"已登记","待补设备组合",IF(AND(F196&lt;&gt;"",G196&lt;&gt;"",K196&lt;&gt;"",L196&lt;&gt;"",M196&lt;&gt;"",N196&lt;&gt;"",ISNUMBER(O196),O196&gt;0,P196&lt;&gt;""),"记录齐全","待补实测记录")))))))))))</x:f>
        <x:v>待展开路径</x:v>
      </x:c>
    </x:row>
    <x:row r="197" ht="43.5" customHeight="1">
      <x:c r="A197" s="20" t="str">
        <x:v>REC-00188</x:v>
      </x:c>
      <x:c r="B197" s="20" t="str">
        <x:v>P1-B2-01</x:v>
      </x:c>
      <x:c r="C197" s="30" t="str">
        <x:f>IF(B197="","",IF(COUNTIFS(Equipment[组合编号],B197)&lt;&gt;1,"组合编号无效",INDEX(Equipment[PLC组],MATCH(B197,Equipment[组合编号],0))))</x:f>
        <x:v>汇川小型</x:v>
      </x:c>
      <x:c r="D197" s="30" t="str">
        <x:f>IF(B197="","",IF(COUNTIFS(Equipment[组合编号],B197)&lt;&gt;1,"组合编号无效",INDEX(Equipment[驱动品牌],MATCH(B197,Equipment[组合编号],0))))</x:f>
        <x:v>台达</x:v>
      </x:c>
      <x:c r="E197" s="20" t="str">
        <x:v>C03</x:v>
      </x:c>
      <x:c r="F197" s="20"/>
      <x:c r="G197" s="20"/>
      <x:c r="H197" s="20" t="str">
        <x:v>待判定</x:v>
      </x:c>
      <x:c r="I197" s="20"/>
      <x:c r="J197" s="20" t="str">
        <x:v>未测试</x:v>
      </x:c>
      <x:c r="K197" s="20"/>
      <x:c r="L197" s="20"/>
      <x:c r="M197" s="20"/>
      <x:c r="N197" s="20"/>
      <x:c r="O197" s="31"/>
      <x:c r="P197" s="20"/>
      <x:c r="Q197" s="20"/>
      <x:c r="R197" s="20" t="str">
        <x:v>待展开</x:v>
      </x:c>
      <x:c r="S197" s="20"/>
      <x:c r="T197" s="31"/>
      <x:c r="U197" s="30" t="str">
        <x:f>IF(A197="","缺记录编号",IF(COUNTIFS(PathRecords[记录编号],A197)&lt;&gt;1,"记录编号重复",IF(OR(B197="",E197=""),"缺组合/功能",IF(COUNTIFS(Equipment[组合编号],B197)&lt;&gt;1,"组合编号无效",IF(COUNTIFS(FunctionMatrix[编号],E197)=0,"功能编号无效",IF(H197="不适用",IF(J197="已实测","适用性冲突",IF(I197="","待补不适用依据","不适用（非实测）")),IF(J197="阻塞",IF(I197="","待补阻塞原因","阻塞（非实测）"),IF(J197&lt;&gt;"已实测",IF(F197="","待展开路径","未实测"),IF(H197&lt;&gt;"适用","待确认适用性",IF(INDEX(Equipment[登记状态（自动）],MATCH(B197,Equipment[组合编号],0))&lt;&gt;"已登记","待补设备组合",IF(AND(F197&lt;&gt;"",G197&lt;&gt;"",K197&lt;&gt;"",L197&lt;&gt;"",M197&lt;&gt;"",N197&lt;&gt;"",ISNUMBER(O197),O197&gt;0,P197&lt;&gt;""),"记录齐全","待补实测记录")))))))))))</x:f>
        <x:v>待展开路径</x:v>
      </x:c>
    </x:row>
    <x:row r="198" ht="43.5" customHeight="1">
      <x:c r="A198" s="20" t="str">
        <x:v>REC-00189</x:v>
      </x:c>
      <x:c r="B198" s="20" t="str">
        <x:v>P1-B2-01</x:v>
      </x:c>
      <x:c r="C198" s="30" t="str">
        <x:f>IF(B198="","",IF(COUNTIFS(Equipment[组合编号],B198)&lt;&gt;1,"组合编号无效",INDEX(Equipment[PLC组],MATCH(B198,Equipment[组合编号],0))))</x:f>
        <x:v>汇川小型</x:v>
      </x:c>
      <x:c r="D198" s="30" t="str">
        <x:f>IF(B198="","",IF(COUNTIFS(Equipment[组合编号],B198)&lt;&gt;1,"组合编号无效",INDEX(Equipment[驱动品牌],MATCH(B198,Equipment[组合编号],0))))</x:f>
        <x:v>台达</x:v>
      </x:c>
      <x:c r="E198" s="20" t="str">
        <x:v>C04</x:v>
      </x:c>
      <x:c r="F198" s="20"/>
      <x:c r="G198" s="20"/>
      <x:c r="H198" s="20" t="str">
        <x:v>待判定</x:v>
      </x:c>
      <x:c r="I198" s="20"/>
      <x:c r="J198" s="20" t="str">
        <x:v>未测试</x:v>
      </x:c>
      <x:c r="K198" s="20"/>
      <x:c r="L198" s="20"/>
      <x:c r="M198" s="20"/>
      <x:c r="N198" s="20"/>
      <x:c r="O198" s="31"/>
      <x:c r="P198" s="20"/>
      <x:c r="Q198" s="20"/>
      <x:c r="R198" s="20" t="str">
        <x:v>待展开</x:v>
      </x:c>
      <x:c r="S198" s="20"/>
      <x:c r="T198" s="31"/>
      <x:c r="U198" s="30" t="str">
        <x:f>IF(A198="","缺记录编号",IF(COUNTIFS(PathRecords[记录编号],A198)&lt;&gt;1,"记录编号重复",IF(OR(B198="",E198=""),"缺组合/功能",IF(COUNTIFS(Equipment[组合编号],B198)&lt;&gt;1,"组合编号无效",IF(COUNTIFS(FunctionMatrix[编号],E198)=0,"功能编号无效",IF(H198="不适用",IF(J198="已实测","适用性冲突",IF(I198="","待补不适用依据","不适用（非实测）")),IF(J198="阻塞",IF(I198="","待补阻塞原因","阻塞（非实测）"),IF(J198&lt;&gt;"已实测",IF(F198="","待展开路径","未实测"),IF(H198&lt;&gt;"适用","待确认适用性",IF(INDEX(Equipment[登记状态（自动）],MATCH(B198,Equipment[组合编号],0))&lt;&gt;"已登记","待补设备组合",IF(AND(F198&lt;&gt;"",G198&lt;&gt;"",K198&lt;&gt;"",L198&lt;&gt;"",M198&lt;&gt;"",N198&lt;&gt;"",ISNUMBER(O198),O198&gt;0,P198&lt;&gt;""),"记录齐全","待补实测记录")))))))))))</x:f>
        <x:v>待展开路径</x:v>
      </x:c>
    </x:row>
    <x:row r="199" ht="43.5" customHeight="1">
      <x:c r="A199" s="20" t="str">
        <x:v>REC-00190</x:v>
      </x:c>
      <x:c r="B199" s="20" t="str">
        <x:v>P1-B2-01</x:v>
      </x:c>
      <x:c r="C199" s="30" t="str">
        <x:f>IF(B199="","",IF(COUNTIFS(Equipment[组合编号],B199)&lt;&gt;1,"组合编号无效",INDEX(Equipment[PLC组],MATCH(B199,Equipment[组合编号],0))))</x:f>
        <x:v>汇川小型</x:v>
      </x:c>
      <x:c r="D199" s="30" t="str">
        <x:f>IF(B199="","",IF(COUNTIFS(Equipment[组合编号],B199)&lt;&gt;1,"组合编号无效",INDEX(Equipment[驱动品牌],MATCH(B199,Equipment[组合编号],0))))</x:f>
        <x:v>台达</x:v>
      </x:c>
      <x:c r="E199" s="20" t="str">
        <x:v>C05</x:v>
      </x:c>
      <x:c r="F199" s="20"/>
      <x:c r="G199" s="20"/>
      <x:c r="H199" s="20" t="str">
        <x:v>待判定</x:v>
      </x:c>
      <x:c r="I199" s="20"/>
      <x:c r="J199" s="20" t="str">
        <x:v>未测试</x:v>
      </x:c>
      <x:c r="K199" s="20"/>
      <x:c r="L199" s="20"/>
      <x:c r="M199" s="20"/>
      <x:c r="N199" s="20"/>
      <x:c r="O199" s="31"/>
      <x:c r="P199" s="20"/>
      <x:c r="Q199" s="20"/>
      <x:c r="R199" s="20" t="str">
        <x:v>待展开</x:v>
      </x:c>
      <x:c r="S199" s="20"/>
      <x:c r="T199" s="31"/>
      <x:c r="U199" s="30" t="str">
        <x:f>IF(A199="","缺记录编号",IF(COUNTIFS(PathRecords[记录编号],A199)&lt;&gt;1,"记录编号重复",IF(OR(B199="",E199=""),"缺组合/功能",IF(COUNTIFS(Equipment[组合编号],B199)&lt;&gt;1,"组合编号无效",IF(COUNTIFS(FunctionMatrix[编号],E199)=0,"功能编号无效",IF(H199="不适用",IF(J199="已实测","适用性冲突",IF(I199="","待补不适用依据","不适用（非实测）")),IF(J199="阻塞",IF(I199="","待补阻塞原因","阻塞（非实测）"),IF(J199&lt;&gt;"已实测",IF(F199="","待展开路径","未实测"),IF(H199&lt;&gt;"适用","待确认适用性",IF(INDEX(Equipment[登记状态（自动）],MATCH(B199,Equipment[组合编号],0))&lt;&gt;"已登记","待补设备组合",IF(AND(F199&lt;&gt;"",G199&lt;&gt;"",K199&lt;&gt;"",L199&lt;&gt;"",M199&lt;&gt;"",N199&lt;&gt;"",ISNUMBER(O199),O199&gt;0,P199&lt;&gt;""),"记录齐全","待补实测记录")))))))))))</x:f>
        <x:v>待展开路径</x:v>
      </x:c>
    </x:row>
    <x:row r="200" ht="43.5" customHeight="1">
      <x:c r="A200" s="20" t="str">
        <x:v>REC-00191</x:v>
      </x:c>
      <x:c r="B200" s="20" t="str">
        <x:v>P1-B2-01</x:v>
      </x:c>
      <x:c r="C200" s="30" t="str">
        <x:f>IF(B200="","",IF(COUNTIFS(Equipment[组合编号],B200)&lt;&gt;1,"组合编号无效",INDEX(Equipment[PLC组],MATCH(B200,Equipment[组合编号],0))))</x:f>
        <x:v>汇川小型</x:v>
      </x:c>
      <x:c r="D200" s="30" t="str">
        <x:f>IF(B200="","",IF(COUNTIFS(Equipment[组合编号],B200)&lt;&gt;1,"组合编号无效",INDEX(Equipment[驱动品牌],MATCH(B200,Equipment[组合编号],0))))</x:f>
        <x:v>台达</x:v>
      </x:c>
      <x:c r="E200" s="20" t="str">
        <x:v>C06</x:v>
      </x:c>
      <x:c r="F200" s="20"/>
      <x:c r="G200" s="20"/>
      <x:c r="H200" s="20" t="str">
        <x:v>待判定</x:v>
      </x:c>
      <x:c r="I200" s="20"/>
      <x:c r="J200" s="20" t="str">
        <x:v>未测试</x:v>
      </x:c>
      <x:c r="K200" s="20"/>
      <x:c r="L200" s="20"/>
      <x:c r="M200" s="20"/>
      <x:c r="N200" s="20"/>
      <x:c r="O200" s="31"/>
      <x:c r="P200" s="20"/>
      <x:c r="Q200" s="20"/>
      <x:c r="R200" s="20" t="str">
        <x:v>待展开</x:v>
      </x:c>
      <x:c r="S200" s="20"/>
      <x:c r="T200" s="31"/>
      <x:c r="U200" s="30" t="str">
        <x:f>IF(A200="","缺记录编号",IF(COUNTIFS(PathRecords[记录编号],A200)&lt;&gt;1,"记录编号重复",IF(OR(B200="",E200=""),"缺组合/功能",IF(COUNTIFS(Equipment[组合编号],B200)&lt;&gt;1,"组合编号无效",IF(COUNTIFS(FunctionMatrix[编号],E200)=0,"功能编号无效",IF(H200="不适用",IF(J200="已实测","适用性冲突",IF(I200="","待补不适用依据","不适用（非实测）")),IF(J200="阻塞",IF(I200="","待补阻塞原因","阻塞（非实测）"),IF(J200&lt;&gt;"已实测",IF(F200="","待展开路径","未实测"),IF(H200&lt;&gt;"适用","待确认适用性",IF(INDEX(Equipment[登记状态（自动）],MATCH(B200,Equipment[组合编号],0))&lt;&gt;"已登记","待补设备组合",IF(AND(F200&lt;&gt;"",G200&lt;&gt;"",K200&lt;&gt;"",L200&lt;&gt;"",M200&lt;&gt;"",N200&lt;&gt;"",ISNUMBER(O200),O200&gt;0,P200&lt;&gt;""),"记录齐全","待补实测记录")))))))))))</x:f>
        <x:v>待展开路径</x:v>
      </x:c>
    </x:row>
    <x:row r="201" ht="43.5" customHeight="1">
      <x:c r="A201" s="20" t="str">
        <x:v>REC-00192</x:v>
      </x:c>
      <x:c r="B201" s="20" t="str">
        <x:v>P1-B2-01</x:v>
      </x:c>
      <x:c r="C201" s="30" t="str">
        <x:f>IF(B201="","",IF(COUNTIFS(Equipment[组合编号],B201)&lt;&gt;1,"组合编号无效",INDEX(Equipment[PLC组],MATCH(B201,Equipment[组合编号],0))))</x:f>
        <x:v>汇川小型</x:v>
      </x:c>
      <x:c r="D201" s="30" t="str">
        <x:f>IF(B201="","",IF(COUNTIFS(Equipment[组合编号],B201)&lt;&gt;1,"组合编号无效",INDEX(Equipment[驱动品牌],MATCH(B201,Equipment[组合编号],0))))</x:f>
        <x:v>台达</x:v>
      </x:c>
      <x:c r="E201" s="20" t="str">
        <x:v>C07</x:v>
      </x:c>
      <x:c r="F201" s="20"/>
      <x:c r="G201" s="20"/>
      <x:c r="H201" s="20" t="str">
        <x:v>待判定</x:v>
      </x:c>
      <x:c r="I201" s="20"/>
      <x:c r="J201" s="20" t="str">
        <x:v>未测试</x:v>
      </x:c>
      <x:c r="K201" s="20"/>
      <x:c r="L201" s="20"/>
      <x:c r="M201" s="20"/>
      <x:c r="N201" s="20"/>
      <x:c r="O201" s="31"/>
      <x:c r="P201" s="20"/>
      <x:c r="Q201" s="20"/>
      <x:c r="R201" s="20" t="str">
        <x:v>待展开</x:v>
      </x:c>
      <x:c r="S201" s="20"/>
      <x:c r="T201" s="31"/>
      <x:c r="U201" s="30" t="str">
        <x:f>IF(A201="","缺记录编号",IF(COUNTIFS(PathRecords[记录编号],A201)&lt;&gt;1,"记录编号重复",IF(OR(B201="",E201=""),"缺组合/功能",IF(COUNTIFS(Equipment[组合编号],B201)&lt;&gt;1,"组合编号无效",IF(COUNTIFS(FunctionMatrix[编号],E201)=0,"功能编号无效",IF(H201="不适用",IF(J201="已实测","适用性冲突",IF(I201="","待补不适用依据","不适用（非实测）")),IF(J201="阻塞",IF(I201="","待补阻塞原因","阻塞（非实测）"),IF(J201&lt;&gt;"已实测",IF(F201="","待展开路径","未实测"),IF(H201&lt;&gt;"适用","待确认适用性",IF(INDEX(Equipment[登记状态（自动）],MATCH(B201,Equipment[组合编号],0))&lt;&gt;"已登记","待补设备组合",IF(AND(F201&lt;&gt;"",G201&lt;&gt;"",K201&lt;&gt;"",L201&lt;&gt;"",M201&lt;&gt;"",N201&lt;&gt;"",ISNUMBER(O201),O201&gt;0,P201&lt;&gt;""),"记录齐全","待补实测记录")))))))))))</x:f>
        <x:v>待展开路径</x:v>
      </x:c>
    </x:row>
    <x:row r="202" ht="43.5" customHeight="1">
      <x:c r="A202" s="20" t="str">
        <x:v>REC-00193</x:v>
      </x:c>
      <x:c r="B202" s="20" t="str">
        <x:v>P1-B2-01</x:v>
      </x:c>
      <x:c r="C202" s="30" t="str">
        <x:f>IF(B202="","",IF(COUNTIFS(Equipment[组合编号],B202)&lt;&gt;1,"组合编号无效",INDEX(Equipment[PLC组],MATCH(B202,Equipment[组合编号],0))))</x:f>
        <x:v>汇川小型</x:v>
      </x:c>
      <x:c r="D202" s="30" t="str">
        <x:f>IF(B202="","",IF(COUNTIFS(Equipment[组合编号],B202)&lt;&gt;1,"组合编号无效",INDEX(Equipment[驱动品牌],MATCH(B202,Equipment[组合编号],0))))</x:f>
        <x:v>台达</x:v>
      </x:c>
      <x:c r="E202" s="20" t="str">
        <x:v>C08</x:v>
      </x:c>
      <x:c r="F202" s="20"/>
      <x:c r="G202" s="20"/>
      <x:c r="H202" s="20" t="str">
        <x:v>待判定</x:v>
      </x:c>
      <x:c r="I202" s="20"/>
      <x:c r="J202" s="20" t="str">
        <x:v>未测试</x:v>
      </x:c>
      <x:c r="K202" s="20"/>
      <x:c r="L202" s="20"/>
      <x:c r="M202" s="20"/>
      <x:c r="N202" s="20"/>
      <x:c r="O202" s="31"/>
      <x:c r="P202" s="20"/>
      <x:c r="Q202" s="20"/>
      <x:c r="R202" s="20" t="str">
        <x:v>待展开</x:v>
      </x:c>
      <x:c r="S202" s="20"/>
      <x:c r="T202" s="31"/>
      <x:c r="U202" s="30" t="str">
        <x:f>IF(A202="","缺记录编号",IF(COUNTIFS(PathRecords[记录编号],A202)&lt;&gt;1,"记录编号重复",IF(OR(B202="",E202=""),"缺组合/功能",IF(COUNTIFS(Equipment[组合编号],B202)&lt;&gt;1,"组合编号无效",IF(COUNTIFS(FunctionMatrix[编号],E202)=0,"功能编号无效",IF(H202="不适用",IF(J202="已实测","适用性冲突",IF(I202="","待补不适用依据","不适用（非实测）")),IF(J202="阻塞",IF(I202="","待补阻塞原因","阻塞（非实测）"),IF(J202&lt;&gt;"已实测",IF(F202="","待展开路径","未实测"),IF(H202&lt;&gt;"适用","待确认适用性",IF(INDEX(Equipment[登记状态（自动）],MATCH(B202,Equipment[组合编号],0))&lt;&gt;"已登记","待补设备组合",IF(AND(F202&lt;&gt;"",G202&lt;&gt;"",K202&lt;&gt;"",L202&lt;&gt;"",M202&lt;&gt;"",N202&lt;&gt;"",ISNUMBER(O202),O202&gt;0,P202&lt;&gt;""),"记录齐全","待补实测记录")))))))))))</x:f>
        <x:v>待展开路径</x:v>
      </x:c>
    </x:row>
    <x:row r="203" ht="43.5" customHeight="1">
      <x:c r="A203" s="20" t="str">
        <x:v>REC-00194</x:v>
      </x:c>
      <x:c r="B203" s="20" t="str">
        <x:v>P1-B2-01</x:v>
      </x:c>
      <x:c r="C203" s="30" t="str">
        <x:f>IF(B203="","",IF(COUNTIFS(Equipment[组合编号],B203)&lt;&gt;1,"组合编号无效",INDEX(Equipment[PLC组],MATCH(B203,Equipment[组合编号],0))))</x:f>
        <x:v>汇川小型</x:v>
      </x:c>
      <x:c r="D203" s="30" t="str">
        <x:f>IF(B203="","",IF(COUNTIFS(Equipment[组合编号],B203)&lt;&gt;1,"组合编号无效",INDEX(Equipment[驱动品牌],MATCH(B203,Equipment[组合编号],0))))</x:f>
        <x:v>台达</x:v>
      </x:c>
      <x:c r="E203" s="20" t="str">
        <x:v>C09</x:v>
      </x:c>
      <x:c r="F203" s="20"/>
      <x:c r="G203" s="20"/>
      <x:c r="H203" s="20" t="str">
        <x:v>待判定</x:v>
      </x:c>
      <x:c r="I203" s="20"/>
      <x:c r="J203" s="20" t="str">
        <x:v>未测试</x:v>
      </x:c>
      <x:c r="K203" s="20"/>
      <x:c r="L203" s="20"/>
      <x:c r="M203" s="20"/>
      <x:c r="N203" s="20"/>
      <x:c r="O203" s="31"/>
      <x:c r="P203" s="20"/>
      <x:c r="Q203" s="20"/>
      <x:c r="R203" s="20" t="str">
        <x:v>待展开</x:v>
      </x:c>
      <x:c r="S203" s="20"/>
      <x:c r="T203" s="31"/>
      <x:c r="U203" s="30" t="str">
        <x:f>IF(A203="","缺记录编号",IF(COUNTIFS(PathRecords[记录编号],A203)&lt;&gt;1,"记录编号重复",IF(OR(B203="",E203=""),"缺组合/功能",IF(COUNTIFS(Equipment[组合编号],B203)&lt;&gt;1,"组合编号无效",IF(COUNTIFS(FunctionMatrix[编号],E203)=0,"功能编号无效",IF(H203="不适用",IF(J203="已实测","适用性冲突",IF(I203="","待补不适用依据","不适用（非实测）")),IF(J203="阻塞",IF(I203="","待补阻塞原因","阻塞（非实测）"),IF(J203&lt;&gt;"已实测",IF(F203="","待展开路径","未实测"),IF(H203&lt;&gt;"适用","待确认适用性",IF(INDEX(Equipment[登记状态（自动）],MATCH(B203,Equipment[组合编号],0))&lt;&gt;"已登记","待补设备组合",IF(AND(F203&lt;&gt;"",G203&lt;&gt;"",K203&lt;&gt;"",L203&lt;&gt;"",M203&lt;&gt;"",N203&lt;&gt;"",ISNUMBER(O203),O203&gt;0,P203&lt;&gt;""),"记录齐全","待补实测记录")))))))))))</x:f>
        <x:v>待展开路径</x:v>
      </x:c>
    </x:row>
    <x:row r="204" ht="43.5" customHeight="1">
      <x:c r="A204" s="20" t="str">
        <x:v>REC-00195</x:v>
      </x:c>
      <x:c r="B204" s="20" t="str">
        <x:v>P1-B2-01</x:v>
      </x:c>
      <x:c r="C204" s="30" t="str">
        <x:f>IF(B204="","",IF(COUNTIFS(Equipment[组合编号],B204)&lt;&gt;1,"组合编号无效",INDEX(Equipment[PLC组],MATCH(B204,Equipment[组合编号],0))))</x:f>
        <x:v>汇川小型</x:v>
      </x:c>
      <x:c r="D204" s="30" t="str">
        <x:f>IF(B204="","",IF(COUNTIFS(Equipment[组合编号],B204)&lt;&gt;1,"组合编号无效",INDEX(Equipment[驱动品牌],MATCH(B204,Equipment[组合编号],0))))</x:f>
        <x:v>台达</x:v>
      </x:c>
      <x:c r="E204" s="20" t="str">
        <x:v>C10</x:v>
      </x:c>
      <x:c r="F204" s="20"/>
      <x:c r="G204" s="20"/>
      <x:c r="H204" s="20" t="str">
        <x:v>待判定</x:v>
      </x:c>
      <x:c r="I204" s="20"/>
      <x:c r="J204" s="20" t="str">
        <x:v>未测试</x:v>
      </x:c>
      <x:c r="K204" s="20"/>
      <x:c r="L204" s="20"/>
      <x:c r="M204" s="20"/>
      <x:c r="N204" s="20"/>
      <x:c r="O204" s="31"/>
      <x:c r="P204" s="20"/>
      <x:c r="Q204" s="20"/>
      <x:c r="R204" s="20" t="str">
        <x:v>待展开</x:v>
      </x:c>
      <x:c r="S204" s="20"/>
      <x:c r="T204" s="31"/>
      <x:c r="U204" s="30" t="str">
        <x:f>IF(A204="","缺记录编号",IF(COUNTIFS(PathRecords[记录编号],A204)&lt;&gt;1,"记录编号重复",IF(OR(B204="",E204=""),"缺组合/功能",IF(COUNTIFS(Equipment[组合编号],B204)&lt;&gt;1,"组合编号无效",IF(COUNTIFS(FunctionMatrix[编号],E204)=0,"功能编号无效",IF(H204="不适用",IF(J204="已实测","适用性冲突",IF(I204="","待补不适用依据","不适用（非实测）")),IF(J204="阻塞",IF(I204="","待补阻塞原因","阻塞（非实测）"),IF(J204&lt;&gt;"已实测",IF(F204="","待展开路径","未实测"),IF(H204&lt;&gt;"适用","待确认适用性",IF(INDEX(Equipment[登记状态（自动）],MATCH(B204,Equipment[组合编号],0))&lt;&gt;"已登记","待补设备组合",IF(AND(F204&lt;&gt;"",G204&lt;&gt;"",K204&lt;&gt;"",L204&lt;&gt;"",M204&lt;&gt;"",N204&lt;&gt;"",ISNUMBER(O204),O204&gt;0,P204&lt;&gt;""),"记录齐全","待补实测记录")))))))))))</x:f>
        <x:v>待展开路径</x:v>
      </x:c>
    </x:row>
    <x:row r="205" ht="43.5" customHeight="1">
      <x:c r="A205" s="20" t="str">
        <x:v>REC-00196</x:v>
      </x:c>
      <x:c r="B205" s="20" t="str">
        <x:v>P1-B2-01</x:v>
      </x:c>
      <x:c r="C205" s="30" t="str">
        <x:f>IF(B205="","",IF(COUNTIFS(Equipment[组合编号],B205)&lt;&gt;1,"组合编号无效",INDEX(Equipment[PLC组],MATCH(B205,Equipment[组合编号],0))))</x:f>
        <x:v>汇川小型</x:v>
      </x:c>
      <x:c r="D205" s="30" t="str">
        <x:f>IF(B205="","",IF(COUNTIFS(Equipment[组合编号],B205)&lt;&gt;1,"组合编号无效",INDEX(Equipment[驱动品牌],MATCH(B205,Equipment[组合编号],0))))</x:f>
        <x:v>台达</x:v>
      </x:c>
      <x:c r="E205" s="20" t="str">
        <x:v>T01</x:v>
      </x:c>
      <x:c r="F205" s="20"/>
      <x:c r="G205" s="20"/>
      <x:c r="H205" s="20" t="str">
        <x:v>待判定</x:v>
      </x:c>
      <x:c r="I205" s="20"/>
      <x:c r="J205" s="20" t="str">
        <x:v>未测试</x:v>
      </x:c>
      <x:c r="K205" s="20"/>
      <x:c r="L205" s="20"/>
      <x:c r="M205" s="20"/>
      <x:c r="N205" s="20"/>
      <x:c r="O205" s="31"/>
      <x:c r="P205" s="20"/>
      <x:c r="Q205" s="20"/>
      <x:c r="R205" s="20" t="str">
        <x:v>待展开</x:v>
      </x:c>
      <x:c r="S205" s="20"/>
      <x:c r="T205" s="31"/>
      <x:c r="U205" s="30" t="str">
        <x:f>IF(A205="","缺记录编号",IF(COUNTIFS(PathRecords[记录编号],A205)&lt;&gt;1,"记录编号重复",IF(OR(B205="",E205=""),"缺组合/功能",IF(COUNTIFS(Equipment[组合编号],B205)&lt;&gt;1,"组合编号无效",IF(COUNTIFS(FunctionMatrix[编号],E205)=0,"功能编号无效",IF(H205="不适用",IF(J205="已实测","适用性冲突",IF(I205="","待补不适用依据","不适用（非实测）")),IF(J205="阻塞",IF(I205="","待补阻塞原因","阻塞（非实测）"),IF(J205&lt;&gt;"已实测",IF(F205="","待展开路径","未实测"),IF(H205&lt;&gt;"适用","待确认适用性",IF(INDEX(Equipment[登记状态（自动）],MATCH(B205,Equipment[组合编号],0))&lt;&gt;"已登记","待补设备组合",IF(AND(F205&lt;&gt;"",G205&lt;&gt;"",K205&lt;&gt;"",L205&lt;&gt;"",M205&lt;&gt;"",N205&lt;&gt;"",ISNUMBER(O205),O205&gt;0,P205&lt;&gt;""),"记录齐全","待补实测记录")))))))))))</x:f>
        <x:v>待展开路径</x:v>
      </x:c>
    </x:row>
    <x:row r="206" ht="43.5" customHeight="1">
      <x:c r="A206" s="20" t="str">
        <x:v>REC-00197</x:v>
      </x:c>
      <x:c r="B206" s="20" t="str">
        <x:v>P1-B2-01</x:v>
      </x:c>
      <x:c r="C206" s="30" t="str">
        <x:f>IF(B206="","",IF(COUNTIFS(Equipment[组合编号],B206)&lt;&gt;1,"组合编号无效",INDEX(Equipment[PLC组],MATCH(B206,Equipment[组合编号],0))))</x:f>
        <x:v>汇川小型</x:v>
      </x:c>
      <x:c r="D206" s="30" t="str">
        <x:f>IF(B206="","",IF(COUNTIFS(Equipment[组合编号],B206)&lt;&gt;1,"组合编号无效",INDEX(Equipment[驱动品牌],MATCH(B206,Equipment[组合编号],0))))</x:f>
        <x:v>台达</x:v>
      </x:c>
      <x:c r="E206" s="20" t="str">
        <x:v>T02</x:v>
      </x:c>
      <x:c r="F206" s="20"/>
      <x:c r="G206" s="20"/>
      <x:c r="H206" s="20" t="str">
        <x:v>待判定</x:v>
      </x:c>
      <x:c r="I206" s="20"/>
      <x:c r="J206" s="20" t="str">
        <x:v>未测试</x:v>
      </x:c>
      <x:c r="K206" s="20"/>
      <x:c r="L206" s="20"/>
      <x:c r="M206" s="20"/>
      <x:c r="N206" s="20"/>
      <x:c r="O206" s="31"/>
      <x:c r="P206" s="20"/>
      <x:c r="Q206" s="20"/>
      <x:c r="R206" s="20" t="str">
        <x:v>待展开</x:v>
      </x:c>
      <x:c r="S206" s="20"/>
      <x:c r="T206" s="31"/>
      <x:c r="U206" s="30" t="str">
        <x:f>IF(A206="","缺记录编号",IF(COUNTIFS(PathRecords[记录编号],A206)&lt;&gt;1,"记录编号重复",IF(OR(B206="",E206=""),"缺组合/功能",IF(COUNTIFS(Equipment[组合编号],B206)&lt;&gt;1,"组合编号无效",IF(COUNTIFS(FunctionMatrix[编号],E206)=0,"功能编号无效",IF(H206="不适用",IF(J206="已实测","适用性冲突",IF(I206="","待补不适用依据","不适用（非实测）")),IF(J206="阻塞",IF(I206="","待补阻塞原因","阻塞（非实测）"),IF(J206&lt;&gt;"已实测",IF(F206="","待展开路径","未实测"),IF(H206&lt;&gt;"适用","待确认适用性",IF(INDEX(Equipment[登记状态（自动）],MATCH(B206,Equipment[组合编号],0))&lt;&gt;"已登记","待补设备组合",IF(AND(F206&lt;&gt;"",G206&lt;&gt;"",K206&lt;&gt;"",L206&lt;&gt;"",M206&lt;&gt;"",N206&lt;&gt;"",ISNUMBER(O206),O206&gt;0,P206&lt;&gt;""),"记录齐全","待补实测记录")))))))))))</x:f>
        <x:v>待展开路径</x:v>
      </x:c>
    </x:row>
    <x:row r="207" ht="43.5" customHeight="1">
      <x:c r="A207" s="20" t="str">
        <x:v>REC-00198</x:v>
      </x:c>
      <x:c r="B207" s="20" t="str">
        <x:v>P1-B2-01</x:v>
      </x:c>
      <x:c r="C207" s="30" t="str">
        <x:f>IF(B207="","",IF(COUNTIFS(Equipment[组合编号],B207)&lt;&gt;1,"组合编号无效",INDEX(Equipment[PLC组],MATCH(B207,Equipment[组合编号],0))))</x:f>
        <x:v>汇川小型</x:v>
      </x:c>
      <x:c r="D207" s="30" t="str">
        <x:f>IF(B207="","",IF(COUNTIFS(Equipment[组合编号],B207)&lt;&gt;1,"组合编号无效",INDEX(Equipment[驱动品牌],MATCH(B207,Equipment[组合编号],0))))</x:f>
        <x:v>台达</x:v>
      </x:c>
      <x:c r="E207" s="20" t="str">
        <x:v>T03</x:v>
      </x:c>
      <x:c r="F207" s="20"/>
      <x:c r="G207" s="20"/>
      <x:c r="H207" s="20" t="str">
        <x:v>待判定</x:v>
      </x:c>
      <x:c r="I207" s="20"/>
      <x:c r="J207" s="20" t="str">
        <x:v>未测试</x:v>
      </x:c>
      <x:c r="K207" s="20"/>
      <x:c r="L207" s="20"/>
      <x:c r="M207" s="20"/>
      <x:c r="N207" s="20"/>
      <x:c r="O207" s="31"/>
      <x:c r="P207" s="20"/>
      <x:c r="Q207" s="20"/>
      <x:c r="R207" s="20" t="str">
        <x:v>待展开</x:v>
      </x:c>
      <x:c r="S207" s="20"/>
      <x:c r="T207" s="31"/>
      <x:c r="U207" s="30" t="str">
        <x:f>IF(A207="","缺记录编号",IF(COUNTIFS(PathRecords[记录编号],A207)&lt;&gt;1,"记录编号重复",IF(OR(B207="",E207=""),"缺组合/功能",IF(COUNTIFS(Equipment[组合编号],B207)&lt;&gt;1,"组合编号无效",IF(COUNTIFS(FunctionMatrix[编号],E207)=0,"功能编号无效",IF(H207="不适用",IF(J207="已实测","适用性冲突",IF(I207="","待补不适用依据","不适用（非实测）")),IF(J207="阻塞",IF(I207="","待补阻塞原因","阻塞（非实测）"),IF(J207&lt;&gt;"已实测",IF(F207="","待展开路径","未实测"),IF(H207&lt;&gt;"适用","待确认适用性",IF(INDEX(Equipment[登记状态（自动）],MATCH(B207,Equipment[组合编号],0))&lt;&gt;"已登记","待补设备组合",IF(AND(F207&lt;&gt;"",G207&lt;&gt;"",K207&lt;&gt;"",L207&lt;&gt;"",M207&lt;&gt;"",N207&lt;&gt;"",ISNUMBER(O207),O207&gt;0,P207&lt;&gt;""),"记录齐全","待补实测记录")))))))))))</x:f>
        <x:v>待展开路径</x:v>
      </x:c>
    </x:row>
    <x:row r="208" ht="43.5" customHeight="1">
      <x:c r="A208" s="20" t="str">
        <x:v>REC-00199</x:v>
      </x:c>
      <x:c r="B208" s="20" t="str">
        <x:v>P1-B2-01</x:v>
      </x:c>
      <x:c r="C208" s="30" t="str">
        <x:f>IF(B208="","",IF(COUNTIFS(Equipment[组合编号],B208)&lt;&gt;1,"组合编号无效",INDEX(Equipment[PLC组],MATCH(B208,Equipment[组合编号],0))))</x:f>
        <x:v>汇川小型</x:v>
      </x:c>
      <x:c r="D208" s="30" t="str">
        <x:f>IF(B208="","",IF(COUNTIFS(Equipment[组合编号],B208)&lt;&gt;1,"组合编号无效",INDEX(Equipment[驱动品牌],MATCH(B208,Equipment[组合编号],0))))</x:f>
        <x:v>台达</x:v>
      </x:c>
      <x:c r="E208" s="20" t="str">
        <x:v>T04</x:v>
      </x:c>
      <x:c r="F208" s="20"/>
      <x:c r="G208" s="20"/>
      <x:c r="H208" s="20" t="str">
        <x:v>待判定</x:v>
      </x:c>
      <x:c r="I208" s="20"/>
      <x:c r="J208" s="20" t="str">
        <x:v>未测试</x:v>
      </x:c>
      <x:c r="K208" s="20"/>
      <x:c r="L208" s="20"/>
      <x:c r="M208" s="20"/>
      <x:c r="N208" s="20"/>
      <x:c r="O208" s="31"/>
      <x:c r="P208" s="20"/>
      <x:c r="Q208" s="20"/>
      <x:c r="R208" s="20" t="str">
        <x:v>待展开</x:v>
      </x:c>
      <x:c r="S208" s="20"/>
      <x:c r="T208" s="31"/>
      <x:c r="U208" s="30" t="str">
        <x:f>IF(A208="","缺记录编号",IF(COUNTIFS(PathRecords[记录编号],A208)&lt;&gt;1,"记录编号重复",IF(OR(B208="",E208=""),"缺组合/功能",IF(COUNTIFS(Equipment[组合编号],B208)&lt;&gt;1,"组合编号无效",IF(COUNTIFS(FunctionMatrix[编号],E208)=0,"功能编号无效",IF(H208="不适用",IF(J208="已实测","适用性冲突",IF(I208="","待补不适用依据","不适用（非实测）")),IF(J208="阻塞",IF(I208="","待补阻塞原因","阻塞（非实测）"),IF(J208&lt;&gt;"已实测",IF(F208="","待展开路径","未实测"),IF(H208&lt;&gt;"适用","待确认适用性",IF(INDEX(Equipment[登记状态（自动）],MATCH(B208,Equipment[组合编号],0))&lt;&gt;"已登记","待补设备组合",IF(AND(F208&lt;&gt;"",G208&lt;&gt;"",K208&lt;&gt;"",L208&lt;&gt;"",M208&lt;&gt;"",N208&lt;&gt;"",ISNUMBER(O208),O208&gt;0,P208&lt;&gt;""),"记录齐全","待补实测记录")))))))))))</x:f>
        <x:v>待展开路径</x:v>
      </x:c>
    </x:row>
    <x:row r="209" ht="43.5" customHeight="1">
      <x:c r="A209" s="20" t="str">
        <x:v>REC-00200</x:v>
      </x:c>
      <x:c r="B209" s="20" t="str">
        <x:v>P1-B2-01</x:v>
      </x:c>
      <x:c r="C209" s="30" t="str">
        <x:f>IF(B209="","",IF(COUNTIFS(Equipment[组合编号],B209)&lt;&gt;1,"组合编号无效",INDEX(Equipment[PLC组],MATCH(B209,Equipment[组合编号],0))))</x:f>
        <x:v>汇川小型</x:v>
      </x:c>
      <x:c r="D209" s="30" t="str">
        <x:f>IF(B209="","",IF(COUNTIFS(Equipment[组合编号],B209)&lt;&gt;1,"组合编号无效",INDEX(Equipment[驱动品牌],MATCH(B209,Equipment[组合编号],0))))</x:f>
        <x:v>台达</x:v>
      </x:c>
      <x:c r="E209" s="20" t="str">
        <x:v>T05</x:v>
      </x:c>
      <x:c r="F209" s="20"/>
      <x:c r="G209" s="20"/>
      <x:c r="H209" s="20" t="str">
        <x:v>待判定</x:v>
      </x:c>
      <x:c r="I209" s="20"/>
      <x:c r="J209" s="20" t="str">
        <x:v>未测试</x:v>
      </x:c>
      <x:c r="K209" s="20"/>
      <x:c r="L209" s="20"/>
      <x:c r="M209" s="20"/>
      <x:c r="N209" s="20"/>
      <x:c r="O209" s="31"/>
      <x:c r="P209" s="20"/>
      <x:c r="Q209" s="20"/>
      <x:c r="R209" s="20" t="str">
        <x:v>待展开</x:v>
      </x:c>
      <x:c r="S209" s="20"/>
      <x:c r="T209" s="31"/>
      <x:c r="U209" s="30" t="str">
        <x:f>IF(A209="","缺记录编号",IF(COUNTIFS(PathRecords[记录编号],A209)&lt;&gt;1,"记录编号重复",IF(OR(B209="",E209=""),"缺组合/功能",IF(COUNTIFS(Equipment[组合编号],B209)&lt;&gt;1,"组合编号无效",IF(COUNTIFS(FunctionMatrix[编号],E209)=0,"功能编号无效",IF(H209="不适用",IF(J209="已实测","适用性冲突",IF(I209="","待补不适用依据","不适用（非实测）")),IF(J209="阻塞",IF(I209="","待补阻塞原因","阻塞（非实测）"),IF(J209&lt;&gt;"已实测",IF(F209="","待展开路径","未实测"),IF(H209&lt;&gt;"适用","待确认适用性",IF(INDEX(Equipment[登记状态（自动）],MATCH(B209,Equipment[组合编号],0))&lt;&gt;"已登记","待补设备组合",IF(AND(F209&lt;&gt;"",G209&lt;&gt;"",K209&lt;&gt;"",L209&lt;&gt;"",M209&lt;&gt;"",N209&lt;&gt;"",ISNUMBER(O209),O209&gt;0,P209&lt;&gt;""),"记录齐全","待补实测记录")))))))))))</x:f>
        <x:v>待展开路径</x:v>
      </x:c>
    </x:row>
    <x:row r="210" ht="43.5" customHeight="1">
      <x:c r="A210" s="20" t="str">
        <x:v>REC-00201</x:v>
      </x:c>
      <x:c r="B210" s="20" t="str">
        <x:v>P1-B2-01</x:v>
      </x:c>
      <x:c r="C210" s="30" t="str">
        <x:f>IF(B210="","",IF(COUNTIFS(Equipment[组合编号],B210)&lt;&gt;1,"组合编号无效",INDEX(Equipment[PLC组],MATCH(B210,Equipment[组合编号],0))))</x:f>
        <x:v>汇川小型</x:v>
      </x:c>
      <x:c r="D210" s="30" t="str">
        <x:f>IF(B210="","",IF(COUNTIFS(Equipment[组合编号],B210)&lt;&gt;1,"组合编号无效",INDEX(Equipment[驱动品牌],MATCH(B210,Equipment[组合编号],0))))</x:f>
        <x:v>台达</x:v>
      </x:c>
      <x:c r="E210" s="20" t="str">
        <x:v>T06</x:v>
      </x:c>
      <x:c r="F210" s="20"/>
      <x:c r="G210" s="20"/>
      <x:c r="H210" s="20" t="str">
        <x:v>待判定</x:v>
      </x:c>
      <x:c r="I210" s="20"/>
      <x:c r="J210" s="20" t="str">
        <x:v>未测试</x:v>
      </x:c>
      <x:c r="K210" s="20"/>
      <x:c r="L210" s="20"/>
      <x:c r="M210" s="20"/>
      <x:c r="N210" s="20"/>
      <x:c r="O210" s="31"/>
      <x:c r="P210" s="20"/>
      <x:c r="Q210" s="20"/>
      <x:c r="R210" s="20" t="str">
        <x:v>待展开</x:v>
      </x:c>
      <x:c r="S210" s="20"/>
      <x:c r="T210" s="31"/>
      <x:c r="U210" s="30" t="str">
        <x:f>IF(A210="","缺记录编号",IF(COUNTIFS(PathRecords[记录编号],A210)&lt;&gt;1,"记录编号重复",IF(OR(B210="",E210=""),"缺组合/功能",IF(COUNTIFS(Equipment[组合编号],B210)&lt;&gt;1,"组合编号无效",IF(COUNTIFS(FunctionMatrix[编号],E210)=0,"功能编号无效",IF(H210="不适用",IF(J210="已实测","适用性冲突",IF(I210="","待补不适用依据","不适用（非实测）")),IF(J210="阻塞",IF(I210="","待补阻塞原因","阻塞（非实测）"),IF(J210&lt;&gt;"已实测",IF(F210="","待展开路径","未实测"),IF(H210&lt;&gt;"适用","待确认适用性",IF(INDEX(Equipment[登记状态（自动）],MATCH(B210,Equipment[组合编号],0))&lt;&gt;"已登记","待补设备组合",IF(AND(F210&lt;&gt;"",G210&lt;&gt;"",K210&lt;&gt;"",L210&lt;&gt;"",M210&lt;&gt;"",N210&lt;&gt;"",ISNUMBER(O210),O210&gt;0,P210&lt;&gt;""),"记录齐全","待补实测记录")))))))))))</x:f>
        <x:v>待展开路径</x:v>
      </x:c>
    </x:row>
    <x:row r="211" ht="43.5" customHeight="1">
      <x:c r="A211" s="20" t="str">
        <x:v>REC-00202</x:v>
      </x:c>
      <x:c r="B211" s="20" t="str">
        <x:v>P1-B2-01</x:v>
      </x:c>
      <x:c r="C211" s="30" t="str">
        <x:f>IF(B211="","",IF(COUNTIFS(Equipment[组合编号],B211)&lt;&gt;1,"组合编号无效",INDEX(Equipment[PLC组],MATCH(B211,Equipment[组合编号],0))))</x:f>
        <x:v>汇川小型</x:v>
      </x:c>
      <x:c r="D211" s="30" t="str">
        <x:f>IF(B211="","",IF(COUNTIFS(Equipment[组合编号],B211)&lt;&gt;1,"组合编号无效",INDEX(Equipment[驱动品牌],MATCH(B211,Equipment[组合编号],0))))</x:f>
        <x:v>台达</x:v>
      </x:c>
      <x:c r="E211" s="20" t="str">
        <x:v>T07</x:v>
      </x:c>
      <x:c r="F211" s="20"/>
      <x:c r="G211" s="20"/>
      <x:c r="H211" s="20" t="str">
        <x:v>待判定</x:v>
      </x:c>
      <x:c r="I211" s="20"/>
      <x:c r="J211" s="20" t="str">
        <x:v>未测试</x:v>
      </x:c>
      <x:c r="K211" s="20"/>
      <x:c r="L211" s="20"/>
      <x:c r="M211" s="20"/>
      <x:c r="N211" s="20"/>
      <x:c r="O211" s="31"/>
      <x:c r="P211" s="20"/>
      <x:c r="Q211" s="20"/>
      <x:c r="R211" s="20" t="str">
        <x:v>待展开</x:v>
      </x:c>
      <x:c r="S211" s="20"/>
      <x:c r="T211" s="31"/>
      <x:c r="U211" s="30" t="str">
        <x:f>IF(A211="","缺记录编号",IF(COUNTIFS(PathRecords[记录编号],A211)&lt;&gt;1,"记录编号重复",IF(OR(B211="",E211=""),"缺组合/功能",IF(COUNTIFS(Equipment[组合编号],B211)&lt;&gt;1,"组合编号无效",IF(COUNTIFS(FunctionMatrix[编号],E211)=0,"功能编号无效",IF(H211="不适用",IF(J211="已实测","适用性冲突",IF(I211="","待补不适用依据","不适用（非实测）")),IF(J211="阻塞",IF(I211="","待补阻塞原因","阻塞（非实测）"),IF(J211&lt;&gt;"已实测",IF(F211="","待展开路径","未实测"),IF(H211&lt;&gt;"适用","待确认适用性",IF(INDEX(Equipment[登记状态（自动）],MATCH(B211,Equipment[组合编号],0))&lt;&gt;"已登记","待补设备组合",IF(AND(F211&lt;&gt;"",G211&lt;&gt;"",K211&lt;&gt;"",L211&lt;&gt;"",M211&lt;&gt;"",N211&lt;&gt;"",ISNUMBER(O211),O211&gt;0,P211&lt;&gt;""),"记录齐全","待补实测记录")))))))))))</x:f>
        <x:v>待展开路径</x:v>
      </x:c>
    </x:row>
    <x:row r="212" ht="43.5" customHeight="1">
      <x:c r="A212" s="20" t="str">
        <x:v>REC-00203</x:v>
      </x:c>
      <x:c r="B212" s="20" t="str">
        <x:v>P1-B2-01</x:v>
      </x:c>
      <x:c r="C212" s="30" t="str">
        <x:f>IF(B212="","",IF(COUNTIFS(Equipment[组合编号],B212)&lt;&gt;1,"组合编号无效",INDEX(Equipment[PLC组],MATCH(B212,Equipment[组合编号],0))))</x:f>
        <x:v>汇川小型</x:v>
      </x:c>
      <x:c r="D212" s="30" t="str">
        <x:f>IF(B212="","",IF(COUNTIFS(Equipment[组合编号],B212)&lt;&gt;1,"组合编号无效",INDEX(Equipment[驱动品牌],MATCH(B212,Equipment[组合编号],0))))</x:f>
        <x:v>台达</x:v>
      </x:c>
      <x:c r="E212" s="20" t="str">
        <x:v>T08</x:v>
      </x:c>
      <x:c r="F212" s="20"/>
      <x:c r="G212" s="20"/>
      <x:c r="H212" s="20" t="str">
        <x:v>待判定</x:v>
      </x:c>
      <x:c r="I212" s="20"/>
      <x:c r="J212" s="20" t="str">
        <x:v>未测试</x:v>
      </x:c>
      <x:c r="K212" s="20"/>
      <x:c r="L212" s="20"/>
      <x:c r="M212" s="20"/>
      <x:c r="N212" s="20"/>
      <x:c r="O212" s="31"/>
      <x:c r="P212" s="20"/>
      <x:c r="Q212" s="20"/>
      <x:c r="R212" s="20" t="str">
        <x:v>待展开</x:v>
      </x:c>
      <x:c r="S212" s="20"/>
      <x:c r="T212" s="31"/>
      <x:c r="U212" s="30" t="str">
        <x:f>IF(A212="","缺记录编号",IF(COUNTIFS(PathRecords[记录编号],A212)&lt;&gt;1,"记录编号重复",IF(OR(B212="",E212=""),"缺组合/功能",IF(COUNTIFS(Equipment[组合编号],B212)&lt;&gt;1,"组合编号无效",IF(COUNTIFS(FunctionMatrix[编号],E212)=0,"功能编号无效",IF(H212="不适用",IF(J212="已实测","适用性冲突",IF(I212="","待补不适用依据","不适用（非实测）")),IF(J212="阻塞",IF(I212="","待补阻塞原因","阻塞（非实测）"),IF(J212&lt;&gt;"已实测",IF(F212="","待展开路径","未实测"),IF(H212&lt;&gt;"适用","待确认适用性",IF(INDEX(Equipment[登记状态（自动）],MATCH(B212,Equipment[组合编号],0))&lt;&gt;"已登记","待补设备组合",IF(AND(F212&lt;&gt;"",G212&lt;&gt;"",K212&lt;&gt;"",L212&lt;&gt;"",M212&lt;&gt;"",N212&lt;&gt;"",ISNUMBER(O212),O212&gt;0,P212&lt;&gt;""),"记录齐全","待补实测记录")))))))))))</x:f>
        <x:v>待展开路径</x:v>
      </x:c>
    </x:row>
    <x:row r="213" ht="43.5" customHeight="1">
      <x:c r="A213" s="20" t="str">
        <x:v>REC-00204</x:v>
      </x:c>
      <x:c r="B213" s="20" t="str">
        <x:v>P1-B2-01</x:v>
      </x:c>
      <x:c r="C213" s="30" t="str">
        <x:f>IF(B213="","",IF(COUNTIFS(Equipment[组合编号],B213)&lt;&gt;1,"组合编号无效",INDEX(Equipment[PLC组],MATCH(B213,Equipment[组合编号],0))))</x:f>
        <x:v>汇川小型</x:v>
      </x:c>
      <x:c r="D213" s="30" t="str">
        <x:f>IF(B213="","",IF(COUNTIFS(Equipment[组合编号],B213)&lt;&gt;1,"组合编号无效",INDEX(Equipment[驱动品牌],MATCH(B213,Equipment[组合编号],0))))</x:f>
        <x:v>台达</x:v>
      </x:c>
      <x:c r="E213" s="20" t="str">
        <x:v>T09</x:v>
      </x:c>
      <x:c r="F213" s="20"/>
      <x:c r="G213" s="20"/>
      <x:c r="H213" s="20" t="str">
        <x:v>待判定</x:v>
      </x:c>
      <x:c r="I213" s="20"/>
      <x:c r="J213" s="20" t="str">
        <x:v>未测试</x:v>
      </x:c>
      <x:c r="K213" s="20"/>
      <x:c r="L213" s="20"/>
      <x:c r="M213" s="20"/>
      <x:c r="N213" s="20"/>
      <x:c r="O213" s="31"/>
      <x:c r="P213" s="20"/>
      <x:c r="Q213" s="20"/>
      <x:c r="R213" s="20" t="str">
        <x:v>待展开</x:v>
      </x:c>
      <x:c r="S213" s="20"/>
      <x:c r="T213" s="31"/>
      <x:c r="U213" s="30" t="str">
        <x:f>IF(A213="","缺记录编号",IF(COUNTIFS(PathRecords[记录编号],A213)&lt;&gt;1,"记录编号重复",IF(OR(B213="",E213=""),"缺组合/功能",IF(COUNTIFS(Equipment[组合编号],B213)&lt;&gt;1,"组合编号无效",IF(COUNTIFS(FunctionMatrix[编号],E213)=0,"功能编号无效",IF(H213="不适用",IF(J213="已实测","适用性冲突",IF(I213="","待补不适用依据","不适用（非实测）")),IF(J213="阻塞",IF(I213="","待补阻塞原因","阻塞（非实测）"),IF(J213&lt;&gt;"已实测",IF(F213="","待展开路径","未实测"),IF(H213&lt;&gt;"适用","待确认适用性",IF(INDEX(Equipment[登记状态（自动）],MATCH(B213,Equipment[组合编号],0))&lt;&gt;"已登记","待补设备组合",IF(AND(F213&lt;&gt;"",G213&lt;&gt;"",K213&lt;&gt;"",L213&lt;&gt;"",M213&lt;&gt;"",N213&lt;&gt;"",ISNUMBER(O213),O213&gt;0,P213&lt;&gt;""),"记录齐全","待补实测记录")))))))))))</x:f>
        <x:v>待展开路径</x:v>
      </x:c>
    </x:row>
    <x:row r="214" ht="43.5" customHeight="1">
      <x:c r="A214" s="20" t="str">
        <x:v>REC-00205</x:v>
      </x:c>
      <x:c r="B214" s="20" t="str">
        <x:v>P1-B2-01</x:v>
      </x:c>
      <x:c r="C214" s="30" t="str">
        <x:f>IF(B214="","",IF(COUNTIFS(Equipment[组合编号],B214)&lt;&gt;1,"组合编号无效",INDEX(Equipment[PLC组],MATCH(B214,Equipment[组合编号],0))))</x:f>
        <x:v>汇川小型</x:v>
      </x:c>
      <x:c r="D214" s="30" t="str">
        <x:f>IF(B214="","",IF(COUNTIFS(Equipment[组合编号],B214)&lt;&gt;1,"组合编号无效",INDEX(Equipment[驱动品牌],MATCH(B214,Equipment[组合编号],0))))</x:f>
        <x:v>台达</x:v>
      </x:c>
      <x:c r="E214" s="20" t="str">
        <x:v>R01</x:v>
      </x:c>
      <x:c r="F214" s="20"/>
      <x:c r="G214" s="20"/>
      <x:c r="H214" s="20" t="str">
        <x:v>待判定</x:v>
      </x:c>
      <x:c r="I214" s="20"/>
      <x:c r="J214" s="20" t="str">
        <x:v>未测试</x:v>
      </x:c>
      <x:c r="K214" s="20"/>
      <x:c r="L214" s="20"/>
      <x:c r="M214" s="20"/>
      <x:c r="N214" s="20"/>
      <x:c r="O214" s="31"/>
      <x:c r="P214" s="20"/>
      <x:c r="Q214" s="20"/>
      <x:c r="R214" s="20" t="str">
        <x:v>待展开</x:v>
      </x:c>
      <x:c r="S214" s="20"/>
      <x:c r="T214" s="31"/>
      <x:c r="U214" s="30" t="str">
        <x:f>IF(A214="","缺记录编号",IF(COUNTIFS(PathRecords[记录编号],A214)&lt;&gt;1,"记录编号重复",IF(OR(B214="",E214=""),"缺组合/功能",IF(COUNTIFS(Equipment[组合编号],B214)&lt;&gt;1,"组合编号无效",IF(COUNTIFS(FunctionMatrix[编号],E214)=0,"功能编号无效",IF(H214="不适用",IF(J214="已实测","适用性冲突",IF(I214="","待补不适用依据","不适用（非实测）")),IF(J214="阻塞",IF(I214="","待补阻塞原因","阻塞（非实测）"),IF(J214&lt;&gt;"已实测",IF(F214="","待展开路径","未实测"),IF(H214&lt;&gt;"适用","待确认适用性",IF(INDEX(Equipment[登记状态（自动）],MATCH(B214,Equipment[组合编号],0))&lt;&gt;"已登记","待补设备组合",IF(AND(F214&lt;&gt;"",G214&lt;&gt;"",K214&lt;&gt;"",L214&lt;&gt;"",M214&lt;&gt;"",N214&lt;&gt;"",ISNUMBER(O214),O214&gt;0,P214&lt;&gt;""),"记录齐全","待补实测记录")))))))))))</x:f>
        <x:v>待展开路径</x:v>
      </x:c>
    </x:row>
    <x:row r="215" ht="43.5" customHeight="1">
      <x:c r="A215" s="20" t="str">
        <x:v>REC-00206</x:v>
      </x:c>
      <x:c r="B215" s="20" t="str">
        <x:v>P1-B2-01</x:v>
      </x:c>
      <x:c r="C215" s="30" t="str">
        <x:f>IF(B215="","",IF(COUNTIFS(Equipment[组合编号],B215)&lt;&gt;1,"组合编号无效",INDEX(Equipment[PLC组],MATCH(B215,Equipment[组合编号],0))))</x:f>
        <x:v>汇川小型</x:v>
      </x:c>
      <x:c r="D215" s="30" t="str">
        <x:f>IF(B215="","",IF(COUNTIFS(Equipment[组合编号],B215)&lt;&gt;1,"组合编号无效",INDEX(Equipment[驱动品牌],MATCH(B215,Equipment[组合编号],0))))</x:f>
        <x:v>台达</x:v>
      </x:c>
      <x:c r="E215" s="20" t="str">
        <x:v>R02</x:v>
      </x:c>
      <x:c r="F215" s="20"/>
      <x:c r="G215" s="20"/>
      <x:c r="H215" s="20" t="str">
        <x:v>待判定</x:v>
      </x:c>
      <x:c r="I215" s="20"/>
      <x:c r="J215" s="20" t="str">
        <x:v>未测试</x:v>
      </x:c>
      <x:c r="K215" s="20"/>
      <x:c r="L215" s="20"/>
      <x:c r="M215" s="20"/>
      <x:c r="N215" s="20"/>
      <x:c r="O215" s="31"/>
      <x:c r="P215" s="20"/>
      <x:c r="Q215" s="20"/>
      <x:c r="R215" s="20" t="str">
        <x:v>待展开</x:v>
      </x:c>
      <x:c r="S215" s="20"/>
      <x:c r="T215" s="31"/>
      <x:c r="U215" s="30" t="str">
        <x:f>IF(A215="","缺记录编号",IF(COUNTIFS(PathRecords[记录编号],A215)&lt;&gt;1,"记录编号重复",IF(OR(B215="",E215=""),"缺组合/功能",IF(COUNTIFS(Equipment[组合编号],B215)&lt;&gt;1,"组合编号无效",IF(COUNTIFS(FunctionMatrix[编号],E215)=0,"功能编号无效",IF(H215="不适用",IF(J215="已实测","适用性冲突",IF(I215="","待补不适用依据","不适用（非实测）")),IF(J215="阻塞",IF(I215="","待补阻塞原因","阻塞（非实测）"),IF(J215&lt;&gt;"已实测",IF(F215="","待展开路径","未实测"),IF(H215&lt;&gt;"适用","待确认适用性",IF(INDEX(Equipment[登记状态（自动）],MATCH(B215,Equipment[组合编号],0))&lt;&gt;"已登记","待补设备组合",IF(AND(F215&lt;&gt;"",G215&lt;&gt;"",K215&lt;&gt;"",L215&lt;&gt;"",M215&lt;&gt;"",N215&lt;&gt;"",ISNUMBER(O215),O215&gt;0,P215&lt;&gt;""),"记录齐全","待补实测记录")))))))))))</x:f>
        <x:v>待展开路径</x:v>
      </x:c>
    </x:row>
    <x:row r="216" ht="43.5" customHeight="1">
      <x:c r="A216" s="20" t="str">
        <x:v>REC-00207</x:v>
      </x:c>
      <x:c r="B216" s="20" t="str">
        <x:v>P1-B2-01</x:v>
      </x:c>
      <x:c r="C216" s="30" t="str">
        <x:f>IF(B216="","",IF(COUNTIFS(Equipment[组合编号],B216)&lt;&gt;1,"组合编号无效",INDEX(Equipment[PLC组],MATCH(B216,Equipment[组合编号],0))))</x:f>
        <x:v>汇川小型</x:v>
      </x:c>
      <x:c r="D216" s="30" t="str">
        <x:f>IF(B216="","",IF(COUNTIFS(Equipment[组合编号],B216)&lt;&gt;1,"组合编号无效",INDEX(Equipment[驱动品牌],MATCH(B216,Equipment[组合编号],0))))</x:f>
        <x:v>台达</x:v>
      </x:c>
      <x:c r="E216" s="20" t="str">
        <x:v>R03</x:v>
      </x:c>
      <x:c r="F216" s="20"/>
      <x:c r="G216" s="20"/>
      <x:c r="H216" s="20" t="str">
        <x:v>待判定</x:v>
      </x:c>
      <x:c r="I216" s="20"/>
      <x:c r="J216" s="20" t="str">
        <x:v>未测试</x:v>
      </x:c>
      <x:c r="K216" s="20"/>
      <x:c r="L216" s="20"/>
      <x:c r="M216" s="20"/>
      <x:c r="N216" s="20"/>
      <x:c r="O216" s="31"/>
      <x:c r="P216" s="20"/>
      <x:c r="Q216" s="20"/>
      <x:c r="R216" s="20" t="str">
        <x:v>待展开</x:v>
      </x:c>
      <x:c r="S216" s="20"/>
      <x:c r="T216" s="31"/>
      <x:c r="U216" s="30" t="str">
        <x:f>IF(A216="","缺记录编号",IF(COUNTIFS(PathRecords[记录编号],A216)&lt;&gt;1,"记录编号重复",IF(OR(B216="",E216=""),"缺组合/功能",IF(COUNTIFS(Equipment[组合编号],B216)&lt;&gt;1,"组合编号无效",IF(COUNTIFS(FunctionMatrix[编号],E216)=0,"功能编号无效",IF(H216="不适用",IF(J216="已实测","适用性冲突",IF(I216="","待补不适用依据","不适用（非实测）")),IF(J216="阻塞",IF(I216="","待补阻塞原因","阻塞（非实测）"),IF(J216&lt;&gt;"已实测",IF(F216="","待展开路径","未实测"),IF(H216&lt;&gt;"适用","待确认适用性",IF(INDEX(Equipment[登记状态（自动）],MATCH(B216,Equipment[组合编号],0))&lt;&gt;"已登记","待补设备组合",IF(AND(F216&lt;&gt;"",G216&lt;&gt;"",K216&lt;&gt;"",L216&lt;&gt;"",M216&lt;&gt;"",N216&lt;&gt;"",ISNUMBER(O216),O216&gt;0,P216&lt;&gt;""),"记录齐全","待补实测记录")))))))))))</x:f>
        <x:v>待展开路径</x:v>
      </x:c>
    </x:row>
    <x:row r="217" ht="43.5" customHeight="1">
      <x:c r="A217" s="20" t="str">
        <x:v>REC-00208</x:v>
      </x:c>
      <x:c r="B217" s="20" t="str">
        <x:v>P1-B2-01</x:v>
      </x:c>
      <x:c r="C217" s="30" t="str">
        <x:f>IF(B217="","",IF(COUNTIFS(Equipment[组合编号],B217)&lt;&gt;1,"组合编号无效",INDEX(Equipment[PLC组],MATCH(B217,Equipment[组合编号],0))))</x:f>
        <x:v>汇川小型</x:v>
      </x:c>
      <x:c r="D217" s="30" t="str">
        <x:f>IF(B217="","",IF(COUNTIFS(Equipment[组合编号],B217)&lt;&gt;1,"组合编号无效",INDEX(Equipment[驱动品牌],MATCH(B217,Equipment[组合编号],0))))</x:f>
        <x:v>台达</x:v>
      </x:c>
      <x:c r="E217" s="20" t="str">
        <x:v>R04</x:v>
      </x:c>
      <x:c r="F217" s="20"/>
      <x:c r="G217" s="20"/>
      <x:c r="H217" s="20" t="str">
        <x:v>待判定</x:v>
      </x:c>
      <x:c r="I217" s="20"/>
      <x:c r="J217" s="20" t="str">
        <x:v>未测试</x:v>
      </x:c>
      <x:c r="K217" s="20"/>
      <x:c r="L217" s="20"/>
      <x:c r="M217" s="20"/>
      <x:c r="N217" s="20"/>
      <x:c r="O217" s="31"/>
      <x:c r="P217" s="20"/>
      <x:c r="Q217" s="20"/>
      <x:c r="R217" s="20" t="str">
        <x:v>待展开</x:v>
      </x:c>
      <x:c r="S217" s="20"/>
      <x:c r="T217" s="31"/>
      <x:c r="U217" s="30" t="str">
        <x:f>IF(A217="","缺记录编号",IF(COUNTIFS(PathRecords[记录编号],A217)&lt;&gt;1,"记录编号重复",IF(OR(B217="",E217=""),"缺组合/功能",IF(COUNTIFS(Equipment[组合编号],B217)&lt;&gt;1,"组合编号无效",IF(COUNTIFS(FunctionMatrix[编号],E217)=0,"功能编号无效",IF(H217="不适用",IF(J217="已实测","适用性冲突",IF(I217="","待补不适用依据","不适用（非实测）")),IF(J217="阻塞",IF(I217="","待补阻塞原因","阻塞（非实测）"),IF(J217&lt;&gt;"已实测",IF(F217="","待展开路径","未实测"),IF(H217&lt;&gt;"适用","待确认适用性",IF(INDEX(Equipment[登记状态（自动）],MATCH(B217,Equipment[组合编号],0))&lt;&gt;"已登记","待补设备组合",IF(AND(F217&lt;&gt;"",G217&lt;&gt;"",K217&lt;&gt;"",L217&lt;&gt;"",M217&lt;&gt;"",N217&lt;&gt;"",ISNUMBER(O217),O217&gt;0,P217&lt;&gt;""),"记录齐全","待补实测记录")))))))))))</x:f>
        <x:v>待展开路径</x:v>
      </x:c>
    </x:row>
    <x:row r="218" ht="43.5" customHeight="1">
      <x:c r="A218" s="20" t="str">
        <x:v>REC-00209</x:v>
      </x:c>
      <x:c r="B218" s="20" t="str">
        <x:v>P1-B2-01</x:v>
      </x:c>
      <x:c r="C218" s="30" t="str">
        <x:f>IF(B218="","",IF(COUNTIFS(Equipment[组合编号],B218)&lt;&gt;1,"组合编号无效",INDEX(Equipment[PLC组],MATCH(B218,Equipment[组合编号],0))))</x:f>
        <x:v>汇川小型</x:v>
      </x:c>
      <x:c r="D218" s="30" t="str">
        <x:f>IF(B218="","",IF(COUNTIFS(Equipment[组合编号],B218)&lt;&gt;1,"组合编号无效",INDEX(Equipment[驱动品牌],MATCH(B218,Equipment[组合编号],0))))</x:f>
        <x:v>台达</x:v>
      </x:c>
      <x:c r="E218" s="20" t="str">
        <x:v>R05</x:v>
      </x:c>
      <x:c r="F218" s="20"/>
      <x:c r="G218" s="20"/>
      <x:c r="H218" s="20" t="str">
        <x:v>待判定</x:v>
      </x:c>
      <x:c r="I218" s="20"/>
      <x:c r="J218" s="20" t="str">
        <x:v>未测试</x:v>
      </x:c>
      <x:c r="K218" s="20"/>
      <x:c r="L218" s="20"/>
      <x:c r="M218" s="20"/>
      <x:c r="N218" s="20"/>
      <x:c r="O218" s="31"/>
      <x:c r="P218" s="20"/>
      <x:c r="Q218" s="20"/>
      <x:c r="R218" s="20" t="str">
        <x:v>待展开</x:v>
      </x:c>
      <x:c r="S218" s="20"/>
      <x:c r="T218" s="31"/>
      <x:c r="U218" s="30" t="str">
        <x:f>IF(A218="","缺记录编号",IF(COUNTIFS(PathRecords[记录编号],A218)&lt;&gt;1,"记录编号重复",IF(OR(B218="",E218=""),"缺组合/功能",IF(COUNTIFS(Equipment[组合编号],B218)&lt;&gt;1,"组合编号无效",IF(COUNTIFS(FunctionMatrix[编号],E218)=0,"功能编号无效",IF(H218="不适用",IF(J218="已实测","适用性冲突",IF(I218="","待补不适用依据","不适用（非实测）")),IF(J218="阻塞",IF(I218="","待补阻塞原因","阻塞（非实测）"),IF(J218&lt;&gt;"已实测",IF(F218="","待展开路径","未实测"),IF(H218&lt;&gt;"适用","待确认适用性",IF(INDEX(Equipment[登记状态（自动）],MATCH(B218,Equipment[组合编号],0))&lt;&gt;"已登记","待补设备组合",IF(AND(F218&lt;&gt;"",G218&lt;&gt;"",K218&lt;&gt;"",L218&lt;&gt;"",M218&lt;&gt;"",N218&lt;&gt;"",ISNUMBER(O218),O218&gt;0,P218&lt;&gt;""),"记录齐全","待补实测记录")))))))))))</x:f>
        <x:v>待展开路径</x:v>
      </x:c>
    </x:row>
    <x:row r="219" ht="43.5" customHeight="1">
      <x:c r="A219" s="20" t="str">
        <x:v>REC-00210</x:v>
      </x:c>
      <x:c r="B219" s="20" t="str">
        <x:v>P1-B2-01</x:v>
      </x:c>
      <x:c r="C219" s="30" t="str">
        <x:f>IF(B219="","",IF(COUNTIFS(Equipment[组合编号],B219)&lt;&gt;1,"组合编号无效",INDEX(Equipment[PLC组],MATCH(B219,Equipment[组合编号],0))))</x:f>
        <x:v>汇川小型</x:v>
      </x:c>
      <x:c r="D219" s="30" t="str">
        <x:f>IF(B219="","",IF(COUNTIFS(Equipment[组合编号],B219)&lt;&gt;1,"组合编号无效",INDEX(Equipment[驱动品牌],MATCH(B219,Equipment[组合编号],0))))</x:f>
        <x:v>台达</x:v>
      </x:c>
      <x:c r="E219" s="20" t="str">
        <x:v>R06</x:v>
      </x:c>
      <x:c r="F219" s="20"/>
      <x:c r="G219" s="20"/>
      <x:c r="H219" s="20" t="str">
        <x:v>待判定</x:v>
      </x:c>
      <x:c r="I219" s="20"/>
      <x:c r="J219" s="20" t="str">
        <x:v>未测试</x:v>
      </x:c>
      <x:c r="K219" s="20"/>
      <x:c r="L219" s="20"/>
      <x:c r="M219" s="20"/>
      <x:c r="N219" s="20"/>
      <x:c r="O219" s="31"/>
      <x:c r="P219" s="20"/>
      <x:c r="Q219" s="20"/>
      <x:c r="R219" s="20" t="str">
        <x:v>待展开</x:v>
      </x:c>
      <x:c r="S219" s="20"/>
      <x:c r="T219" s="31"/>
      <x:c r="U219" s="30" t="str">
        <x:f>IF(A219="","缺记录编号",IF(COUNTIFS(PathRecords[记录编号],A219)&lt;&gt;1,"记录编号重复",IF(OR(B219="",E219=""),"缺组合/功能",IF(COUNTIFS(Equipment[组合编号],B219)&lt;&gt;1,"组合编号无效",IF(COUNTIFS(FunctionMatrix[编号],E219)=0,"功能编号无效",IF(H219="不适用",IF(J219="已实测","适用性冲突",IF(I219="","待补不适用依据","不适用（非实测）")),IF(J219="阻塞",IF(I219="","待补阻塞原因","阻塞（非实测）"),IF(J219&lt;&gt;"已实测",IF(F219="","待展开路径","未实测"),IF(H219&lt;&gt;"适用","待确认适用性",IF(INDEX(Equipment[登记状态（自动）],MATCH(B219,Equipment[组合编号],0))&lt;&gt;"已登记","待补设备组合",IF(AND(F219&lt;&gt;"",G219&lt;&gt;"",K219&lt;&gt;"",L219&lt;&gt;"",M219&lt;&gt;"",N219&lt;&gt;"",ISNUMBER(O219),O219&gt;0,P219&lt;&gt;""),"记录齐全","待补实测记录")))))))))))</x:f>
        <x:v>待展开路径</x:v>
      </x:c>
    </x:row>
    <x:row r="220" ht="43.5" customHeight="1">
      <x:c r="A220" s="20" t="str">
        <x:v>REC-00211</x:v>
      </x:c>
      <x:c r="B220" s="20" t="str">
        <x:v>P1-B2-01</x:v>
      </x:c>
      <x:c r="C220" s="30" t="str">
        <x:f>IF(B220="","",IF(COUNTIFS(Equipment[组合编号],B220)&lt;&gt;1,"组合编号无效",INDEX(Equipment[PLC组],MATCH(B220,Equipment[组合编号],0))))</x:f>
        <x:v>汇川小型</x:v>
      </x:c>
      <x:c r="D220" s="30" t="str">
        <x:f>IF(B220="","",IF(COUNTIFS(Equipment[组合编号],B220)&lt;&gt;1,"组合编号无效",INDEX(Equipment[驱动品牌],MATCH(B220,Equipment[组合编号],0))))</x:f>
        <x:v>台达</x:v>
      </x:c>
      <x:c r="E220" s="20" t="str">
        <x:v>R07</x:v>
      </x:c>
      <x:c r="F220" s="20"/>
      <x:c r="G220" s="20"/>
      <x:c r="H220" s="20" t="str">
        <x:v>待判定</x:v>
      </x:c>
      <x:c r="I220" s="20"/>
      <x:c r="J220" s="20" t="str">
        <x:v>未测试</x:v>
      </x:c>
      <x:c r="K220" s="20"/>
      <x:c r="L220" s="20"/>
      <x:c r="M220" s="20"/>
      <x:c r="N220" s="20"/>
      <x:c r="O220" s="31"/>
      <x:c r="P220" s="20"/>
      <x:c r="Q220" s="20"/>
      <x:c r="R220" s="20" t="str">
        <x:v>待展开</x:v>
      </x:c>
      <x:c r="S220" s="20"/>
      <x:c r="T220" s="31"/>
      <x:c r="U220" s="30" t="str">
        <x:f>IF(A220="","缺记录编号",IF(COUNTIFS(PathRecords[记录编号],A220)&lt;&gt;1,"记录编号重复",IF(OR(B220="",E220=""),"缺组合/功能",IF(COUNTIFS(Equipment[组合编号],B220)&lt;&gt;1,"组合编号无效",IF(COUNTIFS(FunctionMatrix[编号],E220)=0,"功能编号无效",IF(H220="不适用",IF(J220="已实测","适用性冲突",IF(I220="","待补不适用依据","不适用（非实测）")),IF(J220="阻塞",IF(I220="","待补阻塞原因","阻塞（非实测）"),IF(J220&lt;&gt;"已实测",IF(F220="","待展开路径","未实测"),IF(H220&lt;&gt;"适用","待确认适用性",IF(INDEX(Equipment[登记状态（自动）],MATCH(B220,Equipment[组合编号],0))&lt;&gt;"已登记","待补设备组合",IF(AND(F220&lt;&gt;"",G220&lt;&gt;"",K220&lt;&gt;"",L220&lt;&gt;"",M220&lt;&gt;"",N220&lt;&gt;"",ISNUMBER(O220),O220&gt;0,P220&lt;&gt;""),"记录齐全","待补实测记录")))))))))))</x:f>
        <x:v>待展开路径</x:v>
      </x:c>
    </x:row>
    <x:row r="221" ht="43.5" customHeight="1">
      <x:c r="A221" s="20" t="str">
        <x:v>REC-00212</x:v>
      </x:c>
      <x:c r="B221" s="20" t="str">
        <x:v>P1-B2-01</x:v>
      </x:c>
      <x:c r="C221" s="30" t="str">
        <x:f>IF(B221="","",IF(COUNTIFS(Equipment[组合编号],B221)&lt;&gt;1,"组合编号无效",INDEX(Equipment[PLC组],MATCH(B221,Equipment[组合编号],0))))</x:f>
        <x:v>汇川小型</x:v>
      </x:c>
      <x:c r="D221" s="30" t="str">
        <x:f>IF(B221="","",IF(COUNTIFS(Equipment[组合编号],B221)&lt;&gt;1,"组合编号无效",INDEX(Equipment[驱动品牌],MATCH(B221,Equipment[组合编号],0))))</x:f>
        <x:v>台达</x:v>
      </x:c>
      <x:c r="E221" s="20" t="str">
        <x:v>R08</x:v>
      </x:c>
      <x:c r="F221" s="20"/>
      <x:c r="G221" s="20"/>
      <x:c r="H221" s="20" t="str">
        <x:v>待判定</x:v>
      </x:c>
      <x:c r="I221" s="20"/>
      <x:c r="J221" s="20" t="str">
        <x:v>未测试</x:v>
      </x:c>
      <x:c r="K221" s="20"/>
      <x:c r="L221" s="20"/>
      <x:c r="M221" s="20"/>
      <x:c r="N221" s="20"/>
      <x:c r="O221" s="31"/>
      <x:c r="P221" s="20"/>
      <x:c r="Q221" s="20"/>
      <x:c r="R221" s="20" t="str">
        <x:v>待展开</x:v>
      </x:c>
      <x:c r="S221" s="20"/>
      <x:c r="T221" s="31"/>
      <x:c r="U221" s="30" t="str">
        <x:f>IF(A221="","缺记录编号",IF(COUNTIFS(PathRecords[记录编号],A221)&lt;&gt;1,"记录编号重复",IF(OR(B221="",E221=""),"缺组合/功能",IF(COUNTIFS(Equipment[组合编号],B221)&lt;&gt;1,"组合编号无效",IF(COUNTIFS(FunctionMatrix[编号],E221)=0,"功能编号无效",IF(H221="不适用",IF(J221="已实测","适用性冲突",IF(I221="","待补不适用依据","不适用（非实测）")),IF(J221="阻塞",IF(I221="","待补阻塞原因","阻塞（非实测）"),IF(J221&lt;&gt;"已实测",IF(F221="","待展开路径","未实测"),IF(H221&lt;&gt;"适用","待确认适用性",IF(INDEX(Equipment[登记状态（自动）],MATCH(B221,Equipment[组合编号],0))&lt;&gt;"已登记","待补设备组合",IF(AND(F221&lt;&gt;"",G221&lt;&gt;"",K221&lt;&gt;"",L221&lt;&gt;"",M221&lt;&gt;"",N221&lt;&gt;"",ISNUMBER(O221),O221&gt;0,P221&lt;&gt;""),"记录齐全","待补实测记录")))))))))))</x:f>
        <x:v>待展开路径</x:v>
      </x:c>
    </x:row>
    <x:row r="222" ht="43.5" customHeight="1">
      <x:c r="A222" s="20" t="str">
        <x:v>REC-00213</x:v>
      </x:c>
      <x:c r="B222" s="20" t="str">
        <x:v>P1-B3-01</x:v>
      </x:c>
      <x:c r="C222" s="30" t="str">
        <x:f>IF(B222="","",IF(COUNTIFS(Equipment[组合编号],B222)&lt;&gt;1,"组合编号无效",INDEX(Equipment[PLC组],MATCH(B222,Equipment[组合编号],0))))</x:f>
        <x:v>汇川小型</x:v>
      </x:c>
      <x:c r="D222" s="30" t="str">
        <x:f>IF(B222="","",IF(COUNTIFS(Equipment[组合编号],B222)&lt;&gt;1,"组合编号无效",INDEX(Equipment[驱动品牌],MATCH(B222,Equipment[组合编号],0))))</x:f>
        <x:v>繁易</x:v>
      </x:c>
      <x:c r="E222" s="20" t="str">
        <x:v>M01</x:v>
      </x:c>
      <x:c r="F222" s="20"/>
      <x:c r="G222" s="20"/>
      <x:c r="H222" s="20" t="str">
        <x:v>待判定</x:v>
      </x:c>
      <x:c r="I222" s="20"/>
      <x:c r="J222" s="20" t="str">
        <x:v>未测试</x:v>
      </x:c>
      <x:c r="K222" s="20"/>
      <x:c r="L222" s="20"/>
      <x:c r="M222" s="20"/>
      <x:c r="N222" s="20"/>
      <x:c r="O222" s="31"/>
      <x:c r="P222" s="20"/>
      <x:c r="Q222" s="20"/>
      <x:c r="R222" s="20" t="str">
        <x:v>待展开</x:v>
      </x:c>
      <x:c r="S222" s="20"/>
      <x:c r="T222" s="31"/>
      <x:c r="U222" s="30" t="str">
        <x:f>IF(A222="","缺记录编号",IF(COUNTIFS(PathRecords[记录编号],A222)&lt;&gt;1,"记录编号重复",IF(OR(B222="",E222=""),"缺组合/功能",IF(COUNTIFS(Equipment[组合编号],B222)&lt;&gt;1,"组合编号无效",IF(COUNTIFS(FunctionMatrix[编号],E222)=0,"功能编号无效",IF(H222="不适用",IF(J222="已实测","适用性冲突",IF(I222="","待补不适用依据","不适用（非实测）")),IF(J222="阻塞",IF(I222="","待补阻塞原因","阻塞（非实测）"),IF(J222&lt;&gt;"已实测",IF(F222="","待展开路径","未实测"),IF(H222&lt;&gt;"适用","待确认适用性",IF(INDEX(Equipment[登记状态（自动）],MATCH(B222,Equipment[组合编号],0))&lt;&gt;"已登记","待补设备组合",IF(AND(F222&lt;&gt;"",G222&lt;&gt;"",K222&lt;&gt;"",L222&lt;&gt;"",M222&lt;&gt;"",N222&lt;&gt;"",ISNUMBER(O222),O222&gt;0,P222&lt;&gt;""),"记录齐全","待补实测记录")))))))))))</x:f>
        <x:v>待展开路径</x:v>
      </x:c>
    </x:row>
    <x:row r="223" ht="43.5" customHeight="1">
      <x:c r="A223" s="20" t="str">
        <x:v>REC-00214</x:v>
      </x:c>
      <x:c r="B223" s="20" t="str">
        <x:v>P1-B3-01</x:v>
      </x:c>
      <x:c r="C223" s="30" t="str">
        <x:f>IF(B223="","",IF(COUNTIFS(Equipment[组合编号],B223)&lt;&gt;1,"组合编号无效",INDEX(Equipment[PLC组],MATCH(B223,Equipment[组合编号],0))))</x:f>
        <x:v>汇川小型</x:v>
      </x:c>
      <x:c r="D223" s="30" t="str">
        <x:f>IF(B223="","",IF(COUNTIFS(Equipment[组合编号],B223)&lt;&gt;1,"组合编号无效",INDEX(Equipment[驱动品牌],MATCH(B223,Equipment[组合编号],0))))</x:f>
        <x:v>繁易</x:v>
      </x:c>
      <x:c r="E223" s="20" t="str">
        <x:v>M02</x:v>
      </x:c>
      <x:c r="F223" s="20"/>
      <x:c r="G223" s="20"/>
      <x:c r="H223" s="20" t="str">
        <x:v>待判定</x:v>
      </x:c>
      <x:c r="I223" s="20"/>
      <x:c r="J223" s="20" t="str">
        <x:v>未测试</x:v>
      </x:c>
      <x:c r="K223" s="20"/>
      <x:c r="L223" s="20"/>
      <x:c r="M223" s="20"/>
      <x:c r="N223" s="20"/>
      <x:c r="O223" s="31"/>
      <x:c r="P223" s="20"/>
      <x:c r="Q223" s="20"/>
      <x:c r="R223" s="20" t="str">
        <x:v>待展开</x:v>
      </x:c>
      <x:c r="S223" s="20"/>
      <x:c r="T223" s="31"/>
      <x:c r="U223" s="30" t="str">
        <x:f>IF(A223="","缺记录编号",IF(COUNTIFS(PathRecords[记录编号],A223)&lt;&gt;1,"记录编号重复",IF(OR(B223="",E223=""),"缺组合/功能",IF(COUNTIFS(Equipment[组合编号],B223)&lt;&gt;1,"组合编号无效",IF(COUNTIFS(FunctionMatrix[编号],E223)=0,"功能编号无效",IF(H223="不适用",IF(J223="已实测","适用性冲突",IF(I223="","待补不适用依据","不适用（非实测）")),IF(J223="阻塞",IF(I223="","待补阻塞原因","阻塞（非实测）"),IF(J223&lt;&gt;"已实测",IF(F223="","待展开路径","未实测"),IF(H223&lt;&gt;"适用","待确认适用性",IF(INDEX(Equipment[登记状态（自动）],MATCH(B223,Equipment[组合编号],0))&lt;&gt;"已登记","待补设备组合",IF(AND(F223&lt;&gt;"",G223&lt;&gt;"",K223&lt;&gt;"",L223&lt;&gt;"",M223&lt;&gt;"",N223&lt;&gt;"",ISNUMBER(O223),O223&gt;0,P223&lt;&gt;""),"记录齐全","待补实测记录")))))))))))</x:f>
        <x:v>待展开路径</x:v>
      </x:c>
    </x:row>
    <x:row r="224" ht="43.5" customHeight="1">
      <x:c r="A224" s="20" t="str">
        <x:v>REC-00215</x:v>
      </x:c>
      <x:c r="B224" s="20" t="str">
        <x:v>P1-B3-01</x:v>
      </x:c>
      <x:c r="C224" s="30" t="str">
        <x:f>IF(B224="","",IF(COUNTIFS(Equipment[组合编号],B224)&lt;&gt;1,"组合编号无效",INDEX(Equipment[PLC组],MATCH(B224,Equipment[组合编号],0))))</x:f>
        <x:v>汇川小型</x:v>
      </x:c>
      <x:c r="D224" s="30" t="str">
        <x:f>IF(B224="","",IF(COUNTIFS(Equipment[组合编号],B224)&lt;&gt;1,"组合编号无效",INDEX(Equipment[驱动品牌],MATCH(B224,Equipment[组合编号],0))))</x:f>
        <x:v>繁易</x:v>
      </x:c>
      <x:c r="E224" s="20" t="str">
        <x:v>M03</x:v>
      </x:c>
      <x:c r="F224" s="20"/>
      <x:c r="G224" s="20"/>
      <x:c r="H224" s="20" t="str">
        <x:v>待判定</x:v>
      </x:c>
      <x:c r="I224" s="20"/>
      <x:c r="J224" s="20" t="str">
        <x:v>未测试</x:v>
      </x:c>
      <x:c r="K224" s="20"/>
      <x:c r="L224" s="20"/>
      <x:c r="M224" s="20"/>
      <x:c r="N224" s="20"/>
      <x:c r="O224" s="31"/>
      <x:c r="P224" s="20"/>
      <x:c r="Q224" s="20"/>
      <x:c r="R224" s="20" t="str">
        <x:v>待展开</x:v>
      </x:c>
      <x:c r="S224" s="20"/>
      <x:c r="T224" s="31"/>
      <x:c r="U224" s="30" t="str">
        <x:f>IF(A224="","缺记录编号",IF(COUNTIFS(PathRecords[记录编号],A224)&lt;&gt;1,"记录编号重复",IF(OR(B224="",E224=""),"缺组合/功能",IF(COUNTIFS(Equipment[组合编号],B224)&lt;&gt;1,"组合编号无效",IF(COUNTIFS(FunctionMatrix[编号],E224)=0,"功能编号无效",IF(H224="不适用",IF(J224="已实测","适用性冲突",IF(I224="","待补不适用依据","不适用（非实测）")),IF(J224="阻塞",IF(I224="","待补阻塞原因","阻塞（非实测）"),IF(J224&lt;&gt;"已实测",IF(F224="","待展开路径","未实测"),IF(H224&lt;&gt;"适用","待确认适用性",IF(INDEX(Equipment[登记状态（自动）],MATCH(B224,Equipment[组合编号],0))&lt;&gt;"已登记","待补设备组合",IF(AND(F224&lt;&gt;"",G224&lt;&gt;"",K224&lt;&gt;"",L224&lt;&gt;"",M224&lt;&gt;"",N224&lt;&gt;"",ISNUMBER(O224),O224&gt;0,P224&lt;&gt;""),"记录齐全","待补实测记录")))))))))))</x:f>
        <x:v>待展开路径</x:v>
      </x:c>
    </x:row>
    <x:row r="225" ht="43.5" customHeight="1">
      <x:c r="A225" s="20" t="str">
        <x:v>REC-00216</x:v>
      </x:c>
      <x:c r="B225" s="20" t="str">
        <x:v>P1-B3-01</x:v>
      </x:c>
      <x:c r="C225" s="30" t="str">
        <x:f>IF(B225="","",IF(COUNTIFS(Equipment[组合编号],B225)&lt;&gt;1,"组合编号无效",INDEX(Equipment[PLC组],MATCH(B225,Equipment[组合编号],0))))</x:f>
        <x:v>汇川小型</x:v>
      </x:c>
      <x:c r="D225" s="30" t="str">
        <x:f>IF(B225="","",IF(COUNTIFS(Equipment[组合编号],B225)&lt;&gt;1,"组合编号无效",INDEX(Equipment[驱动品牌],MATCH(B225,Equipment[组合编号],0))))</x:f>
        <x:v>繁易</x:v>
      </x:c>
      <x:c r="E225" s="20" t="str">
        <x:v>M04</x:v>
      </x:c>
      <x:c r="F225" s="20"/>
      <x:c r="G225" s="20"/>
      <x:c r="H225" s="20" t="str">
        <x:v>待判定</x:v>
      </x:c>
      <x:c r="I225" s="20"/>
      <x:c r="J225" s="20" t="str">
        <x:v>未测试</x:v>
      </x:c>
      <x:c r="K225" s="20"/>
      <x:c r="L225" s="20"/>
      <x:c r="M225" s="20"/>
      <x:c r="N225" s="20"/>
      <x:c r="O225" s="31"/>
      <x:c r="P225" s="20"/>
      <x:c r="Q225" s="20"/>
      <x:c r="R225" s="20" t="str">
        <x:v>待展开</x:v>
      </x:c>
      <x:c r="S225" s="20"/>
      <x:c r="T225" s="31"/>
      <x:c r="U225" s="30" t="str">
        <x:f>IF(A225="","缺记录编号",IF(COUNTIFS(PathRecords[记录编号],A225)&lt;&gt;1,"记录编号重复",IF(OR(B225="",E225=""),"缺组合/功能",IF(COUNTIFS(Equipment[组合编号],B225)&lt;&gt;1,"组合编号无效",IF(COUNTIFS(FunctionMatrix[编号],E225)=0,"功能编号无效",IF(H225="不适用",IF(J225="已实测","适用性冲突",IF(I225="","待补不适用依据","不适用（非实测）")),IF(J225="阻塞",IF(I225="","待补阻塞原因","阻塞（非实测）"),IF(J225&lt;&gt;"已实测",IF(F225="","待展开路径","未实测"),IF(H225&lt;&gt;"适用","待确认适用性",IF(INDEX(Equipment[登记状态（自动）],MATCH(B225,Equipment[组合编号],0))&lt;&gt;"已登记","待补设备组合",IF(AND(F225&lt;&gt;"",G225&lt;&gt;"",K225&lt;&gt;"",L225&lt;&gt;"",M225&lt;&gt;"",N225&lt;&gt;"",ISNUMBER(O225),O225&gt;0,P225&lt;&gt;""),"记录齐全","待补实测记录")))))))))))</x:f>
        <x:v>待展开路径</x:v>
      </x:c>
    </x:row>
    <x:row r="226" ht="43.5" customHeight="1">
      <x:c r="A226" s="20" t="str">
        <x:v>REC-00217</x:v>
      </x:c>
      <x:c r="B226" s="20" t="str">
        <x:v>P1-B3-01</x:v>
      </x:c>
      <x:c r="C226" s="30" t="str">
        <x:f>IF(B226="","",IF(COUNTIFS(Equipment[组合编号],B226)&lt;&gt;1,"组合编号无效",INDEX(Equipment[PLC组],MATCH(B226,Equipment[组合编号],0))))</x:f>
        <x:v>汇川小型</x:v>
      </x:c>
      <x:c r="D226" s="30" t="str">
        <x:f>IF(B226="","",IF(COUNTIFS(Equipment[组合编号],B226)&lt;&gt;1,"组合编号无效",INDEX(Equipment[驱动品牌],MATCH(B226,Equipment[组合编号],0))))</x:f>
        <x:v>繁易</x:v>
      </x:c>
      <x:c r="E226" s="20" t="str">
        <x:v>M05</x:v>
      </x:c>
      <x:c r="F226" s="20"/>
      <x:c r="G226" s="20"/>
      <x:c r="H226" s="20" t="str">
        <x:v>待判定</x:v>
      </x:c>
      <x:c r="I226" s="20"/>
      <x:c r="J226" s="20" t="str">
        <x:v>未测试</x:v>
      </x:c>
      <x:c r="K226" s="20"/>
      <x:c r="L226" s="20"/>
      <x:c r="M226" s="20"/>
      <x:c r="N226" s="20"/>
      <x:c r="O226" s="31"/>
      <x:c r="P226" s="20"/>
      <x:c r="Q226" s="20"/>
      <x:c r="R226" s="20" t="str">
        <x:v>待展开</x:v>
      </x:c>
      <x:c r="S226" s="20"/>
      <x:c r="T226" s="31"/>
      <x:c r="U226" s="30" t="str">
        <x:f>IF(A226="","缺记录编号",IF(COUNTIFS(PathRecords[记录编号],A226)&lt;&gt;1,"记录编号重复",IF(OR(B226="",E226=""),"缺组合/功能",IF(COUNTIFS(Equipment[组合编号],B226)&lt;&gt;1,"组合编号无效",IF(COUNTIFS(FunctionMatrix[编号],E226)=0,"功能编号无效",IF(H226="不适用",IF(J226="已实测","适用性冲突",IF(I226="","待补不适用依据","不适用（非实测）")),IF(J226="阻塞",IF(I226="","待补阻塞原因","阻塞（非实测）"),IF(J226&lt;&gt;"已实测",IF(F226="","待展开路径","未实测"),IF(H226&lt;&gt;"适用","待确认适用性",IF(INDEX(Equipment[登记状态（自动）],MATCH(B226,Equipment[组合编号],0))&lt;&gt;"已登记","待补设备组合",IF(AND(F226&lt;&gt;"",G226&lt;&gt;"",K226&lt;&gt;"",L226&lt;&gt;"",M226&lt;&gt;"",N226&lt;&gt;"",ISNUMBER(O226),O226&gt;0,P226&lt;&gt;""),"记录齐全","待补实测记录")))))))))))</x:f>
        <x:v>待展开路径</x:v>
      </x:c>
    </x:row>
    <x:row r="227" ht="43.5" customHeight="1">
      <x:c r="A227" s="20" t="str">
        <x:v>REC-00218</x:v>
      </x:c>
      <x:c r="B227" s="20" t="str">
        <x:v>P1-B3-01</x:v>
      </x:c>
      <x:c r="C227" s="30" t="str">
        <x:f>IF(B227="","",IF(COUNTIFS(Equipment[组合编号],B227)&lt;&gt;1,"组合编号无效",INDEX(Equipment[PLC组],MATCH(B227,Equipment[组合编号],0))))</x:f>
        <x:v>汇川小型</x:v>
      </x:c>
      <x:c r="D227" s="30" t="str">
        <x:f>IF(B227="","",IF(COUNTIFS(Equipment[组合编号],B227)&lt;&gt;1,"组合编号无效",INDEX(Equipment[驱动品牌],MATCH(B227,Equipment[组合编号],0))))</x:f>
        <x:v>繁易</x:v>
      </x:c>
      <x:c r="E227" s="20" t="str">
        <x:v>M06</x:v>
      </x:c>
      <x:c r="F227" s="20"/>
      <x:c r="G227" s="20"/>
      <x:c r="H227" s="20" t="str">
        <x:v>待判定</x:v>
      </x:c>
      <x:c r="I227" s="20"/>
      <x:c r="J227" s="20" t="str">
        <x:v>未测试</x:v>
      </x:c>
      <x:c r="K227" s="20"/>
      <x:c r="L227" s="20"/>
      <x:c r="M227" s="20"/>
      <x:c r="N227" s="20"/>
      <x:c r="O227" s="31"/>
      <x:c r="P227" s="20"/>
      <x:c r="Q227" s="20"/>
      <x:c r="R227" s="20" t="str">
        <x:v>待展开</x:v>
      </x:c>
      <x:c r="S227" s="20"/>
      <x:c r="T227" s="31"/>
      <x:c r="U227" s="30" t="str">
        <x:f>IF(A227="","缺记录编号",IF(COUNTIFS(PathRecords[记录编号],A227)&lt;&gt;1,"记录编号重复",IF(OR(B227="",E227=""),"缺组合/功能",IF(COUNTIFS(Equipment[组合编号],B227)&lt;&gt;1,"组合编号无效",IF(COUNTIFS(FunctionMatrix[编号],E227)=0,"功能编号无效",IF(H227="不适用",IF(J227="已实测","适用性冲突",IF(I227="","待补不适用依据","不适用（非实测）")),IF(J227="阻塞",IF(I227="","待补阻塞原因","阻塞（非实测）"),IF(J227&lt;&gt;"已实测",IF(F227="","待展开路径","未实测"),IF(H227&lt;&gt;"适用","待确认适用性",IF(INDEX(Equipment[登记状态（自动）],MATCH(B227,Equipment[组合编号],0))&lt;&gt;"已登记","待补设备组合",IF(AND(F227&lt;&gt;"",G227&lt;&gt;"",K227&lt;&gt;"",L227&lt;&gt;"",M227&lt;&gt;"",N227&lt;&gt;"",ISNUMBER(O227),O227&gt;0,P227&lt;&gt;""),"记录齐全","待补实测记录")))))))))))</x:f>
        <x:v>待展开路径</x:v>
      </x:c>
    </x:row>
    <x:row r="228" ht="43.5" customHeight="1">
      <x:c r="A228" s="20" t="str">
        <x:v>REC-00219</x:v>
      </x:c>
      <x:c r="B228" s="20" t="str">
        <x:v>P1-B3-01</x:v>
      </x:c>
      <x:c r="C228" s="30" t="str">
        <x:f>IF(B228="","",IF(COUNTIFS(Equipment[组合编号],B228)&lt;&gt;1,"组合编号无效",INDEX(Equipment[PLC组],MATCH(B228,Equipment[组合编号],0))))</x:f>
        <x:v>汇川小型</x:v>
      </x:c>
      <x:c r="D228" s="30" t="str">
        <x:f>IF(B228="","",IF(COUNTIFS(Equipment[组合编号],B228)&lt;&gt;1,"组合编号无效",INDEX(Equipment[驱动品牌],MATCH(B228,Equipment[组合编号],0))))</x:f>
        <x:v>繁易</x:v>
      </x:c>
      <x:c r="E228" s="20" t="str">
        <x:v>M07</x:v>
      </x:c>
      <x:c r="F228" s="20"/>
      <x:c r="G228" s="20"/>
      <x:c r="H228" s="20" t="str">
        <x:v>待判定</x:v>
      </x:c>
      <x:c r="I228" s="20"/>
      <x:c r="J228" s="20" t="str">
        <x:v>未测试</x:v>
      </x:c>
      <x:c r="K228" s="20"/>
      <x:c r="L228" s="20"/>
      <x:c r="M228" s="20"/>
      <x:c r="N228" s="20"/>
      <x:c r="O228" s="31"/>
      <x:c r="P228" s="20"/>
      <x:c r="Q228" s="20"/>
      <x:c r="R228" s="20" t="str">
        <x:v>待展开</x:v>
      </x:c>
      <x:c r="S228" s="20"/>
      <x:c r="T228" s="31"/>
      <x:c r="U228" s="30" t="str">
        <x:f>IF(A228="","缺记录编号",IF(COUNTIFS(PathRecords[记录编号],A228)&lt;&gt;1,"记录编号重复",IF(OR(B228="",E228=""),"缺组合/功能",IF(COUNTIFS(Equipment[组合编号],B228)&lt;&gt;1,"组合编号无效",IF(COUNTIFS(FunctionMatrix[编号],E228)=0,"功能编号无效",IF(H228="不适用",IF(J228="已实测","适用性冲突",IF(I228="","待补不适用依据","不适用（非实测）")),IF(J228="阻塞",IF(I228="","待补阻塞原因","阻塞（非实测）"),IF(J228&lt;&gt;"已实测",IF(F228="","待展开路径","未实测"),IF(H228&lt;&gt;"适用","待确认适用性",IF(INDEX(Equipment[登记状态（自动）],MATCH(B228,Equipment[组合编号],0))&lt;&gt;"已登记","待补设备组合",IF(AND(F228&lt;&gt;"",G228&lt;&gt;"",K228&lt;&gt;"",L228&lt;&gt;"",M228&lt;&gt;"",N228&lt;&gt;"",ISNUMBER(O228),O228&gt;0,P228&lt;&gt;""),"记录齐全","待补实测记录")))))))))))</x:f>
        <x:v>待展开路径</x:v>
      </x:c>
    </x:row>
    <x:row r="229" ht="43.5" customHeight="1">
      <x:c r="A229" s="20" t="str">
        <x:v>REC-00220</x:v>
      </x:c>
      <x:c r="B229" s="20" t="str">
        <x:v>P1-B3-01</x:v>
      </x:c>
      <x:c r="C229" s="30" t="str">
        <x:f>IF(B229="","",IF(COUNTIFS(Equipment[组合编号],B229)&lt;&gt;1,"组合编号无效",INDEX(Equipment[PLC组],MATCH(B229,Equipment[组合编号],0))))</x:f>
        <x:v>汇川小型</x:v>
      </x:c>
      <x:c r="D229" s="30" t="str">
        <x:f>IF(B229="","",IF(COUNTIFS(Equipment[组合编号],B229)&lt;&gt;1,"组合编号无效",INDEX(Equipment[驱动品牌],MATCH(B229,Equipment[组合编号],0))))</x:f>
        <x:v>繁易</x:v>
      </x:c>
      <x:c r="E229" s="20" t="str">
        <x:v>M09</x:v>
      </x:c>
      <x:c r="F229" s="20"/>
      <x:c r="G229" s="20"/>
      <x:c r="H229" s="20" t="str">
        <x:v>待判定</x:v>
      </x:c>
      <x:c r="I229" s="20"/>
      <x:c r="J229" s="20" t="str">
        <x:v>未测试</x:v>
      </x:c>
      <x:c r="K229" s="20"/>
      <x:c r="L229" s="20"/>
      <x:c r="M229" s="20"/>
      <x:c r="N229" s="20"/>
      <x:c r="O229" s="31"/>
      <x:c r="P229" s="20"/>
      <x:c r="Q229" s="20"/>
      <x:c r="R229" s="20" t="str">
        <x:v>待展开</x:v>
      </x:c>
      <x:c r="S229" s="20"/>
      <x:c r="T229" s="31"/>
      <x:c r="U229" s="30" t="str">
        <x:f>IF(A229="","缺记录编号",IF(COUNTIFS(PathRecords[记录编号],A229)&lt;&gt;1,"记录编号重复",IF(OR(B229="",E229=""),"缺组合/功能",IF(COUNTIFS(Equipment[组合编号],B229)&lt;&gt;1,"组合编号无效",IF(COUNTIFS(FunctionMatrix[编号],E229)=0,"功能编号无效",IF(H229="不适用",IF(J229="已实测","适用性冲突",IF(I229="","待补不适用依据","不适用（非实测）")),IF(J229="阻塞",IF(I229="","待补阻塞原因","阻塞（非实测）"),IF(J229&lt;&gt;"已实测",IF(F229="","待展开路径","未实测"),IF(H229&lt;&gt;"适用","待确认适用性",IF(INDEX(Equipment[登记状态（自动）],MATCH(B229,Equipment[组合编号],0))&lt;&gt;"已登记","待补设备组合",IF(AND(F229&lt;&gt;"",G229&lt;&gt;"",K229&lt;&gt;"",L229&lt;&gt;"",M229&lt;&gt;"",N229&lt;&gt;"",ISNUMBER(O229),O229&gt;0,P229&lt;&gt;""),"记录齐全","待补实测记录")))))))))))</x:f>
        <x:v>待展开路径</x:v>
      </x:c>
    </x:row>
    <x:row r="230" ht="43.5" customHeight="1">
      <x:c r="A230" s="20" t="str">
        <x:v>REC-00221</x:v>
      </x:c>
      <x:c r="B230" s="20" t="str">
        <x:v>P1-B3-01</x:v>
      </x:c>
      <x:c r="C230" s="30" t="str">
        <x:f>IF(B230="","",IF(COUNTIFS(Equipment[组合编号],B230)&lt;&gt;1,"组合编号无效",INDEX(Equipment[PLC组],MATCH(B230,Equipment[组合编号],0))))</x:f>
        <x:v>汇川小型</x:v>
      </x:c>
      <x:c r="D230" s="30" t="str">
        <x:f>IF(B230="","",IF(COUNTIFS(Equipment[组合编号],B230)&lt;&gt;1,"组合编号无效",INDEX(Equipment[驱动品牌],MATCH(B230,Equipment[组合编号],0))))</x:f>
        <x:v>繁易</x:v>
      </x:c>
      <x:c r="E230" s="20" t="str">
        <x:v>M10</x:v>
      </x:c>
      <x:c r="F230" s="20"/>
      <x:c r="G230" s="20"/>
      <x:c r="H230" s="20" t="str">
        <x:v>待判定</x:v>
      </x:c>
      <x:c r="I230" s="20"/>
      <x:c r="J230" s="20" t="str">
        <x:v>未测试</x:v>
      </x:c>
      <x:c r="K230" s="20"/>
      <x:c r="L230" s="20"/>
      <x:c r="M230" s="20"/>
      <x:c r="N230" s="20"/>
      <x:c r="O230" s="31"/>
      <x:c r="P230" s="20"/>
      <x:c r="Q230" s="20"/>
      <x:c r="R230" s="20" t="str">
        <x:v>待展开</x:v>
      </x:c>
      <x:c r="S230" s="20"/>
      <x:c r="T230" s="31"/>
      <x:c r="U230" s="30" t="str">
        <x:f>IF(A230="","缺记录编号",IF(COUNTIFS(PathRecords[记录编号],A230)&lt;&gt;1,"记录编号重复",IF(OR(B230="",E230=""),"缺组合/功能",IF(COUNTIFS(Equipment[组合编号],B230)&lt;&gt;1,"组合编号无效",IF(COUNTIFS(FunctionMatrix[编号],E230)=0,"功能编号无效",IF(H230="不适用",IF(J230="已实测","适用性冲突",IF(I230="","待补不适用依据","不适用（非实测）")),IF(J230="阻塞",IF(I230="","待补阻塞原因","阻塞（非实测）"),IF(J230&lt;&gt;"已实测",IF(F230="","待展开路径","未实测"),IF(H230&lt;&gt;"适用","待确认适用性",IF(INDEX(Equipment[登记状态（自动）],MATCH(B230,Equipment[组合编号],0))&lt;&gt;"已登记","待补设备组合",IF(AND(F230&lt;&gt;"",G230&lt;&gt;"",K230&lt;&gt;"",L230&lt;&gt;"",M230&lt;&gt;"",N230&lt;&gt;"",ISNUMBER(O230),O230&gt;0,P230&lt;&gt;""),"记录齐全","待补实测记录")))))))))))</x:f>
        <x:v>待展开路径</x:v>
      </x:c>
    </x:row>
    <x:row r="231" ht="43.5" customHeight="1">
      <x:c r="A231" s="20" t="str">
        <x:v>REC-00222</x:v>
      </x:c>
      <x:c r="B231" s="20" t="str">
        <x:v>P1-B3-01</x:v>
      </x:c>
      <x:c r="C231" s="30" t="str">
        <x:f>IF(B231="","",IF(COUNTIFS(Equipment[组合编号],B231)&lt;&gt;1,"组合编号无效",INDEX(Equipment[PLC组],MATCH(B231,Equipment[组合编号],0))))</x:f>
        <x:v>汇川小型</x:v>
      </x:c>
      <x:c r="D231" s="30" t="str">
        <x:f>IF(B231="","",IF(COUNTIFS(Equipment[组合编号],B231)&lt;&gt;1,"组合编号无效",INDEX(Equipment[驱动品牌],MATCH(B231,Equipment[组合编号],0))))</x:f>
        <x:v>繁易</x:v>
      </x:c>
      <x:c r="E231" s="20" t="str">
        <x:v>D01</x:v>
      </x:c>
      <x:c r="F231" s="20"/>
      <x:c r="G231" s="20"/>
      <x:c r="H231" s="20" t="str">
        <x:v>待判定</x:v>
      </x:c>
      <x:c r="I231" s="20"/>
      <x:c r="J231" s="20" t="str">
        <x:v>未测试</x:v>
      </x:c>
      <x:c r="K231" s="20"/>
      <x:c r="L231" s="20"/>
      <x:c r="M231" s="20"/>
      <x:c r="N231" s="20"/>
      <x:c r="O231" s="31"/>
      <x:c r="P231" s="20"/>
      <x:c r="Q231" s="20"/>
      <x:c r="R231" s="20" t="str">
        <x:v>待展开</x:v>
      </x:c>
      <x:c r="S231" s="20"/>
      <x:c r="T231" s="31"/>
      <x:c r="U231" s="30" t="str">
        <x:f>IF(A231="","缺记录编号",IF(COUNTIFS(PathRecords[记录编号],A231)&lt;&gt;1,"记录编号重复",IF(OR(B231="",E231=""),"缺组合/功能",IF(COUNTIFS(Equipment[组合编号],B231)&lt;&gt;1,"组合编号无效",IF(COUNTIFS(FunctionMatrix[编号],E231)=0,"功能编号无效",IF(H231="不适用",IF(J231="已实测","适用性冲突",IF(I231="","待补不适用依据","不适用（非实测）")),IF(J231="阻塞",IF(I231="","待补阻塞原因","阻塞（非实测）"),IF(J231&lt;&gt;"已实测",IF(F231="","待展开路径","未实测"),IF(H231&lt;&gt;"适用","待确认适用性",IF(INDEX(Equipment[登记状态（自动）],MATCH(B231,Equipment[组合编号],0))&lt;&gt;"已登记","待补设备组合",IF(AND(F231&lt;&gt;"",G231&lt;&gt;"",K231&lt;&gt;"",L231&lt;&gt;"",M231&lt;&gt;"",N231&lt;&gt;"",ISNUMBER(O231),O231&gt;0,P231&lt;&gt;""),"记录齐全","待补实测记录")))))))))))</x:f>
        <x:v>待展开路径</x:v>
      </x:c>
    </x:row>
    <x:row r="232" ht="43.5" customHeight="1">
      <x:c r="A232" s="20" t="str">
        <x:v>REC-00223</x:v>
      </x:c>
      <x:c r="B232" s="20" t="str">
        <x:v>P1-B3-01</x:v>
      </x:c>
      <x:c r="C232" s="30" t="str">
        <x:f>IF(B232="","",IF(COUNTIFS(Equipment[组合编号],B232)&lt;&gt;1,"组合编号无效",INDEX(Equipment[PLC组],MATCH(B232,Equipment[组合编号],0))))</x:f>
        <x:v>汇川小型</x:v>
      </x:c>
      <x:c r="D232" s="30" t="str">
        <x:f>IF(B232="","",IF(COUNTIFS(Equipment[组合编号],B232)&lt;&gt;1,"组合编号无效",INDEX(Equipment[驱动品牌],MATCH(B232,Equipment[组合编号],0))))</x:f>
        <x:v>繁易</x:v>
      </x:c>
      <x:c r="E232" s="20" t="str">
        <x:v>D02</x:v>
      </x:c>
      <x:c r="F232" s="20"/>
      <x:c r="G232" s="20"/>
      <x:c r="H232" s="20" t="str">
        <x:v>待判定</x:v>
      </x:c>
      <x:c r="I232" s="20"/>
      <x:c r="J232" s="20" t="str">
        <x:v>未测试</x:v>
      </x:c>
      <x:c r="K232" s="20"/>
      <x:c r="L232" s="20"/>
      <x:c r="M232" s="20"/>
      <x:c r="N232" s="20"/>
      <x:c r="O232" s="31"/>
      <x:c r="P232" s="20"/>
      <x:c r="Q232" s="20"/>
      <x:c r="R232" s="20" t="str">
        <x:v>待展开</x:v>
      </x:c>
      <x:c r="S232" s="20"/>
      <x:c r="T232" s="31"/>
      <x:c r="U232" s="30" t="str">
        <x:f>IF(A232="","缺记录编号",IF(COUNTIFS(PathRecords[记录编号],A232)&lt;&gt;1,"记录编号重复",IF(OR(B232="",E232=""),"缺组合/功能",IF(COUNTIFS(Equipment[组合编号],B232)&lt;&gt;1,"组合编号无效",IF(COUNTIFS(FunctionMatrix[编号],E232)=0,"功能编号无效",IF(H232="不适用",IF(J232="已实测","适用性冲突",IF(I232="","待补不适用依据","不适用（非实测）")),IF(J232="阻塞",IF(I232="","待补阻塞原因","阻塞（非实测）"),IF(J232&lt;&gt;"已实测",IF(F232="","待展开路径","未实测"),IF(H232&lt;&gt;"适用","待确认适用性",IF(INDEX(Equipment[登记状态（自动）],MATCH(B232,Equipment[组合编号],0))&lt;&gt;"已登记","待补设备组合",IF(AND(F232&lt;&gt;"",G232&lt;&gt;"",K232&lt;&gt;"",L232&lt;&gt;"",M232&lt;&gt;"",N232&lt;&gt;"",ISNUMBER(O232),O232&gt;0,P232&lt;&gt;""),"记录齐全","待补实测记录")))))))))))</x:f>
        <x:v>待展开路径</x:v>
      </x:c>
    </x:row>
    <x:row r="233" ht="43.5" customHeight="1">
      <x:c r="A233" s="20" t="str">
        <x:v>REC-00224</x:v>
      </x:c>
      <x:c r="B233" s="20" t="str">
        <x:v>P1-B3-01</x:v>
      </x:c>
      <x:c r="C233" s="30" t="str">
        <x:f>IF(B233="","",IF(COUNTIFS(Equipment[组合编号],B233)&lt;&gt;1,"组合编号无效",INDEX(Equipment[PLC组],MATCH(B233,Equipment[组合编号],0))))</x:f>
        <x:v>汇川小型</x:v>
      </x:c>
      <x:c r="D233" s="30" t="str">
        <x:f>IF(B233="","",IF(COUNTIFS(Equipment[组合编号],B233)&lt;&gt;1,"组合编号无效",INDEX(Equipment[驱动品牌],MATCH(B233,Equipment[组合编号],0))))</x:f>
        <x:v>繁易</x:v>
      </x:c>
      <x:c r="E233" s="20" t="str">
        <x:v>D03</x:v>
      </x:c>
      <x:c r="F233" s="20"/>
      <x:c r="G233" s="20"/>
      <x:c r="H233" s="20" t="str">
        <x:v>待判定</x:v>
      </x:c>
      <x:c r="I233" s="20"/>
      <x:c r="J233" s="20" t="str">
        <x:v>未测试</x:v>
      </x:c>
      <x:c r="K233" s="20"/>
      <x:c r="L233" s="20"/>
      <x:c r="M233" s="20"/>
      <x:c r="N233" s="20"/>
      <x:c r="O233" s="31"/>
      <x:c r="P233" s="20"/>
      <x:c r="Q233" s="20"/>
      <x:c r="R233" s="20" t="str">
        <x:v>待展开</x:v>
      </x:c>
      <x:c r="S233" s="20"/>
      <x:c r="T233" s="31"/>
      <x:c r="U233" s="30" t="str">
        <x:f>IF(A233="","缺记录编号",IF(COUNTIFS(PathRecords[记录编号],A233)&lt;&gt;1,"记录编号重复",IF(OR(B233="",E233=""),"缺组合/功能",IF(COUNTIFS(Equipment[组合编号],B233)&lt;&gt;1,"组合编号无效",IF(COUNTIFS(FunctionMatrix[编号],E233)=0,"功能编号无效",IF(H233="不适用",IF(J233="已实测","适用性冲突",IF(I233="","待补不适用依据","不适用（非实测）")),IF(J233="阻塞",IF(I233="","待补阻塞原因","阻塞（非实测）"),IF(J233&lt;&gt;"已实测",IF(F233="","待展开路径","未实测"),IF(H233&lt;&gt;"适用","待确认适用性",IF(INDEX(Equipment[登记状态（自动）],MATCH(B233,Equipment[组合编号],0))&lt;&gt;"已登记","待补设备组合",IF(AND(F233&lt;&gt;"",G233&lt;&gt;"",K233&lt;&gt;"",L233&lt;&gt;"",M233&lt;&gt;"",N233&lt;&gt;"",ISNUMBER(O233),O233&gt;0,P233&lt;&gt;""),"记录齐全","待补实测记录")))))))))))</x:f>
        <x:v>待展开路径</x:v>
      </x:c>
    </x:row>
    <x:row r="234" ht="43.5" customHeight="1">
      <x:c r="A234" s="20" t="str">
        <x:v>REC-00225</x:v>
      </x:c>
      <x:c r="B234" s="20" t="str">
        <x:v>P1-B3-01</x:v>
      </x:c>
      <x:c r="C234" s="30" t="str">
        <x:f>IF(B234="","",IF(COUNTIFS(Equipment[组合编号],B234)&lt;&gt;1,"组合编号无效",INDEX(Equipment[PLC组],MATCH(B234,Equipment[组合编号],0))))</x:f>
        <x:v>汇川小型</x:v>
      </x:c>
      <x:c r="D234" s="30" t="str">
        <x:f>IF(B234="","",IF(COUNTIFS(Equipment[组合编号],B234)&lt;&gt;1,"组合编号无效",INDEX(Equipment[驱动品牌],MATCH(B234,Equipment[组合编号],0))))</x:f>
        <x:v>繁易</x:v>
      </x:c>
      <x:c r="E234" s="20" t="str">
        <x:v>D04</x:v>
      </x:c>
      <x:c r="F234" s="20"/>
      <x:c r="G234" s="20"/>
      <x:c r="H234" s="20" t="str">
        <x:v>待判定</x:v>
      </x:c>
      <x:c r="I234" s="20"/>
      <x:c r="J234" s="20" t="str">
        <x:v>未测试</x:v>
      </x:c>
      <x:c r="K234" s="20"/>
      <x:c r="L234" s="20"/>
      <x:c r="M234" s="20"/>
      <x:c r="N234" s="20"/>
      <x:c r="O234" s="31"/>
      <x:c r="P234" s="20"/>
      <x:c r="Q234" s="20"/>
      <x:c r="R234" s="20" t="str">
        <x:v>待展开</x:v>
      </x:c>
      <x:c r="S234" s="20"/>
      <x:c r="T234" s="31"/>
      <x:c r="U234" s="30" t="str">
        <x:f>IF(A234="","缺记录编号",IF(COUNTIFS(PathRecords[记录编号],A234)&lt;&gt;1,"记录编号重复",IF(OR(B234="",E234=""),"缺组合/功能",IF(COUNTIFS(Equipment[组合编号],B234)&lt;&gt;1,"组合编号无效",IF(COUNTIFS(FunctionMatrix[编号],E234)=0,"功能编号无效",IF(H234="不适用",IF(J234="已实测","适用性冲突",IF(I234="","待补不适用依据","不适用（非实测）")),IF(J234="阻塞",IF(I234="","待补阻塞原因","阻塞（非实测）"),IF(J234&lt;&gt;"已实测",IF(F234="","待展开路径","未实测"),IF(H234&lt;&gt;"适用","待确认适用性",IF(INDEX(Equipment[登记状态（自动）],MATCH(B234,Equipment[组合编号],0))&lt;&gt;"已登记","待补设备组合",IF(AND(F234&lt;&gt;"",G234&lt;&gt;"",K234&lt;&gt;"",L234&lt;&gt;"",M234&lt;&gt;"",N234&lt;&gt;"",ISNUMBER(O234),O234&gt;0,P234&lt;&gt;""),"记录齐全","待补实测记录")))))))))))</x:f>
        <x:v>待展开路径</x:v>
      </x:c>
    </x:row>
    <x:row r="235" ht="43.5" customHeight="1">
      <x:c r="A235" s="20" t="str">
        <x:v>REC-00226</x:v>
      </x:c>
      <x:c r="B235" s="20" t="str">
        <x:v>P1-B3-01</x:v>
      </x:c>
      <x:c r="C235" s="30" t="str">
        <x:f>IF(B235="","",IF(COUNTIFS(Equipment[组合编号],B235)&lt;&gt;1,"组合编号无效",INDEX(Equipment[PLC组],MATCH(B235,Equipment[组合编号],0))))</x:f>
        <x:v>汇川小型</x:v>
      </x:c>
      <x:c r="D235" s="30" t="str">
        <x:f>IF(B235="","",IF(COUNTIFS(Equipment[组合编号],B235)&lt;&gt;1,"组合编号无效",INDEX(Equipment[驱动品牌],MATCH(B235,Equipment[组合编号],0))))</x:f>
        <x:v>繁易</x:v>
      </x:c>
      <x:c r="E235" s="20" t="str">
        <x:v>D05</x:v>
      </x:c>
      <x:c r="F235" s="20"/>
      <x:c r="G235" s="20"/>
      <x:c r="H235" s="20" t="str">
        <x:v>待判定</x:v>
      </x:c>
      <x:c r="I235" s="20"/>
      <x:c r="J235" s="20" t="str">
        <x:v>未测试</x:v>
      </x:c>
      <x:c r="K235" s="20"/>
      <x:c r="L235" s="20"/>
      <x:c r="M235" s="20"/>
      <x:c r="N235" s="20"/>
      <x:c r="O235" s="31"/>
      <x:c r="P235" s="20"/>
      <x:c r="Q235" s="20"/>
      <x:c r="R235" s="20" t="str">
        <x:v>待展开</x:v>
      </x:c>
      <x:c r="S235" s="20"/>
      <x:c r="T235" s="31"/>
      <x:c r="U235" s="30" t="str">
        <x:f>IF(A235="","缺记录编号",IF(COUNTIFS(PathRecords[记录编号],A235)&lt;&gt;1,"记录编号重复",IF(OR(B235="",E235=""),"缺组合/功能",IF(COUNTIFS(Equipment[组合编号],B235)&lt;&gt;1,"组合编号无效",IF(COUNTIFS(FunctionMatrix[编号],E235)=0,"功能编号无效",IF(H235="不适用",IF(J235="已实测","适用性冲突",IF(I235="","待补不适用依据","不适用（非实测）")),IF(J235="阻塞",IF(I235="","待补阻塞原因","阻塞（非实测）"),IF(J235&lt;&gt;"已实测",IF(F235="","待展开路径","未实测"),IF(H235&lt;&gt;"适用","待确认适用性",IF(INDEX(Equipment[登记状态（自动）],MATCH(B235,Equipment[组合编号],0))&lt;&gt;"已登记","待补设备组合",IF(AND(F235&lt;&gt;"",G235&lt;&gt;"",K235&lt;&gt;"",L235&lt;&gt;"",M235&lt;&gt;"",N235&lt;&gt;"",ISNUMBER(O235),O235&gt;0,P235&lt;&gt;""),"记录齐全","待补实测记录")))))))))))</x:f>
        <x:v>待展开路径</x:v>
      </x:c>
    </x:row>
    <x:row r="236" ht="43.5" customHeight="1">
      <x:c r="A236" s="20" t="str">
        <x:v>REC-00227</x:v>
      </x:c>
      <x:c r="B236" s="20" t="str">
        <x:v>P1-B3-01</x:v>
      </x:c>
      <x:c r="C236" s="30" t="str">
        <x:f>IF(B236="","",IF(COUNTIFS(Equipment[组合编号],B236)&lt;&gt;1,"组合编号无效",INDEX(Equipment[PLC组],MATCH(B236,Equipment[组合编号],0))))</x:f>
        <x:v>汇川小型</x:v>
      </x:c>
      <x:c r="D236" s="30" t="str">
        <x:f>IF(B236="","",IF(COUNTIFS(Equipment[组合编号],B236)&lt;&gt;1,"组合编号无效",INDEX(Equipment[驱动品牌],MATCH(B236,Equipment[组合编号],0))))</x:f>
        <x:v>繁易</x:v>
      </x:c>
      <x:c r="E236" s="20" t="str">
        <x:v>D06</x:v>
      </x:c>
      <x:c r="F236" s="20"/>
      <x:c r="G236" s="20"/>
      <x:c r="H236" s="20" t="str">
        <x:v>待判定</x:v>
      </x:c>
      <x:c r="I236" s="20"/>
      <x:c r="J236" s="20" t="str">
        <x:v>未测试</x:v>
      </x:c>
      <x:c r="K236" s="20"/>
      <x:c r="L236" s="20"/>
      <x:c r="M236" s="20"/>
      <x:c r="N236" s="20"/>
      <x:c r="O236" s="31"/>
      <x:c r="P236" s="20"/>
      <x:c r="Q236" s="20"/>
      <x:c r="R236" s="20" t="str">
        <x:v>待展开</x:v>
      </x:c>
      <x:c r="S236" s="20"/>
      <x:c r="T236" s="31"/>
      <x:c r="U236" s="30" t="str">
        <x:f>IF(A236="","缺记录编号",IF(COUNTIFS(PathRecords[记录编号],A236)&lt;&gt;1,"记录编号重复",IF(OR(B236="",E236=""),"缺组合/功能",IF(COUNTIFS(Equipment[组合编号],B236)&lt;&gt;1,"组合编号无效",IF(COUNTIFS(FunctionMatrix[编号],E236)=0,"功能编号无效",IF(H236="不适用",IF(J236="已实测","适用性冲突",IF(I236="","待补不适用依据","不适用（非实测）")),IF(J236="阻塞",IF(I236="","待补阻塞原因","阻塞（非实测）"),IF(J236&lt;&gt;"已实测",IF(F236="","待展开路径","未实测"),IF(H236&lt;&gt;"适用","待确认适用性",IF(INDEX(Equipment[登记状态（自动）],MATCH(B236,Equipment[组合编号],0))&lt;&gt;"已登记","待补设备组合",IF(AND(F236&lt;&gt;"",G236&lt;&gt;"",K236&lt;&gt;"",L236&lt;&gt;"",M236&lt;&gt;"",N236&lt;&gt;"",ISNUMBER(O236),O236&gt;0,P236&lt;&gt;""),"记录齐全","待补实测记录")))))))))))</x:f>
        <x:v>待展开路径</x:v>
      </x:c>
    </x:row>
    <x:row r="237" ht="43.5" customHeight="1">
      <x:c r="A237" s="20" t="str">
        <x:v>REC-00228</x:v>
      </x:c>
      <x:c r="B237" s="20" t="str">
        <x:v>P1-B3-01</x:v>
      </x:c>
      <x:c r="C237" s="30" t="str">
        <x:f>IF(B237="","",IF(COUNTIFS(Equipment[组合编号],B237)&lt;&gt;1,"组合编号无效",INDEX(Equipment[PLC组],MATCH(B237,Equipment[组合编号],0))))</x:f>
        <x:v>汇川小型</x:v>
      </x:c>
      <x:c r="D237" s="30" t="str">
        <x:f>IF(B237="","",IF(COUNTIFS(Equipment[组合编号],B237)&lt;&gt;1,"组合编号无效",INDEX(Equipment[驱动品牌],MATCH(B237,Equipment[组合编号],0))))</x:f>
        <x:v>繁易</x:v>
      </x:c>
      <x:c r="E237" s="20" t="str">
        <x:v>D07</x:v>
      </x:c>
      <x:c r="F237" s="20"/>
      <x:c r="G237" s="20"/>
      <x:c r="H237" s="20" t="str">
        <x:v>待判定</x:v>
      </x:c>
      <x:c r="I237" s="20"/>
      <x:c r="J237" s="20" t="str">
        <x:v>未测试</x:v>
      </x:c>
      <x:c r="K237" s="20"/>
      <x:c r="L237" s="20"/>
      <x:c r="M237" s="20"/>
      <x:c r="N237" s="20"/>
      <x:c r="O237" s="31"/>
      <x:c r="P237" s="20"/>
      <x:c r="Q237" s="20"/>
      <x:c r="R237" s="20" t="str">
        <x:v>待展开</x:v>
      </x:c>
      <x:c r="S237" s="20"/>
      <x:c r="T237" s="31"/>
      <x:c r="U237" s="30" t="str">
        <x:f>IF(A237="","缺记录编号",IF(COUNTIFS(PathRecords[记录编号],A237)&lt;&gt;1,"记录编号重复",IF(OR(B237="",E237=""),"缺组合/功能",IF(COUNTIFS(Equipment[组合编号],B237)&lt;&gt;1,"组合编号无效",IF(COUNTIFS(FunctionMatrix[编号],E237)=0,"功能编号无效",IF(H237="不适用",IF(J237="已实测","适用性冲突",IF(I237="","待补不适用依据","不适用（非实测）")),IF(J237="阻塞",IF(I237="","待补阻塞原因","阻塞（非实测）"),IF(J237&lt;&gt;"已实测",IF(F237="","待展开路径","未实测"),IF(H237&lt;&gt;"适用","待确认适用性",IF(INDEX(Equipment[登记状态（自动）],MATCH(B237,Equipment[组合编号],0))&lt;&gt;"已登记","待补设备组合",IF(AND(F237&lt;&gt;"",G237&lt;&gt;"",K237&lt;&gt;"",L237&lt;&gt;"",M237&lt;&gt;"",N237&lt;&gt;"",ISNUMBER(O237),O237&gt;0,P237&lt;&gt;""),"记录齐全","待补实测记录")))))))))))</x:f>
        <x:v>待展开路径</x:v>
      </x:c>
    </x:row>
    <x:row r="238" ht="43.5" customHeight="1">
      <x:c r="A238" s="20" t="str">
        <x:v>REC-00229</x:v>
      </x:c>
      <x:c r="B238" s="20" t="str">
        <x:v>P1-B3-01</x:v>
      </x:c>
      <x:c r="C238" s="30" t="str">
        <x:f>IF(B238="","",IF(COUNTIFS(Equipment[组合编号],B238)&lt;&gt;1,"组合编号无效",INDEX(Equipment[PLC组],MATCH(B238,Equipment[组合编号],0))))</x:f>
        <x:v>汇川小型</x:v>
      </x:c>
      <x:c r="D238" s="30" t="str">
        <x:f>IF(B238="","",IF(COUNTIFS(Equipment[组合编号],B238)&lt;&gt;1,"组合编号无效",INDEX(Equipment[驱动品牌],MATCH(B238,Equipment[组合编号],0))))</x:f>
        <x:v>繁易</x:v>
      </x:c>
      <x:c r="E238" s="20" t="str">
        <x:v>D08</x:v>
      </x:c>
      <x:c r="F238" s="20"/>
      <x:c r="G238" s="20"/>
      <x:c r="H238" s="20" t="str">
        <x:v>待判定</x:v>
      </x:c>
      <x:c r="I238" s="20"/>
      <x:c r="J238" s="20" t="str">
        <x:v>未测试</x:v>
      </x:c>
      <x:c r="K238" s="20"/>
      <x:c r="L238" s="20"/>
      <x:c r="M238" s="20"/>
      <x:c r="N238" s="20"/>
      <x:c r="O238" s="31"/>
      <x:c r="P238" s="20"/>
      <x:c r="Q238" s="20"/>
      <x:c r="R238" s="20" t="str">
        <x:v>待展开</x:v>
      </x:c>
      <x:c r="S238" s="20"/>
      <x:c r="T238" s="31"/>
      <x:c r="U238" s="30" t="str">
        <x:f>IF(A238="","缺记录编号",IF(COUNTIFS(PathRecords[记录编号],A238)&lt;&gt;1,"记录编号重复",IF(OR(B238="",E238=""),"缺组合/功能",IF(COUNTIFS(Equipment[组合编号],B238)&lt;&gt;1,"组合编号无效",IF(COUNTIFS(FunctionMatrix[编号],E238)=0,"功能编号无效",IF(H238="不适用",IF(J238="已实测","适用性冲突",IF(I238="","待补不适用依据","不适用（非实测）")),IF(J238="阻塞",IF(I238="","待补阻塞原因","阻塞（非实测）"),IF(J238&lt;&gt;"已实测",IF(F238="","待展开路径","未实测"),IF(H238&lt;&gt;"适用","待确认适用性",IF(INDEX(Equipment[登记状态（自动）],MATCH(B238,Equipment[组合编号],0))&lt;&gt;"已登记","待补设备组合",IF(AND(F238&lt;&gt;"",G238&lt;&gt;"",K238&lt;&gt;"",L238&lt;&gt;"",M238&lt;&gt;"",N238&lt;&gt;"",ISNUMBER(O238),O238&gt;0,P238&lt;&gt;""),"记录齐全","待补实测记录")))))))))))</x:f>
        <x:v>待展开路径</x:v>
      </x:c>
    </x:row>
    <x:row r="239" ht="43.5" customHeight="1">
      <x:c r="A239" s="20" t="str">
        <x:v>REC-00230</x:v>
      </x:c>
      <x:c r="B239" s="20" t="str">
        <x:v>P1-B3-01</x:v>
      </x:c>
      <x:c r="C239" s="30" t="str">
        <x:f>IF(B239="","",IF(COUNTIFS(Equipment[组合编号],B239)&lt;&gt;1,"组合编号无效",INDEX(Equipment[PLC组],MATCH(B239,Equipment[组合编号],0))))</x:f>
        <x:v>汇川小型</x:v>
      </x:c>
      <x:c r="D239" s="30" t="str">
        <x:f>IF(B239="","",IF(COUNTIFS(Equipment[组合编号],B239)&lt;&gt;1,"组合编号无效",INDEX(Equipment[驱动品牌],MATCH(B239,Equipment[组合编号],0))))</x:f>
        <x:v>繁易</x:v>
      </x:c>
      <x:c r="E239" s="20" t="str">
        <x:v>D09</x:v>
      </x:c>
      <x:c r="F239" s="20"/>
      <x:c r="G239" s="20"/>
      <x:c r="H239" s="20" t="str">
        <x:v>待判定</x:v>
      </x:c>
      <x:c r="I239" s="20"/>
      <x:c r="J239" s="20" t="str">
        <x:v>未测试</x:v>
      </x:c>
      <x:c r="K239" s="20"/>
      <x:c r="L239" s="20"/>
      <x:c r="M239" s="20"/>
      <x:c r="N239" s="20"/>
      <x:c r="O239" s="31"/>
      <x:c r="P239" s="20"/>
      <x:c r="Q239" s="20"/>
      <x:c r="R239" s="20" t="str">
        <x:v>待展开</x:v>
      </x:c>
      <x:c r="S239" s="20"/>
      <x:c r="T239" s="31"/>
      <x:c r="U239" s="30" t="str">
        <x:f>IF(A239="","缺记录编号",IF(COUNTIFS(PathRecords[记录编号],A239)&lt;&gt;1,"记录编号重复",IF(OR(B239="",E239=""),"缺组合/功能",IF(COUNTIFS(Equipment[组合编号],B239)&lt;&gt;1,"组合编号无效",IF(COUNTIFS(FunctionMatrix[编号],E239)=0,"功能编号无效",IF(H239="不适用",IF(J239="已实测","适用性冲突",IF(I239="","待补不适用依据","不适用（非实测）")),IF(J239="阻塞",IF(I239="","待补阻塞原因","阻塞（非实测）"),IF(J239&lt;&gt;"已实测",IF(F239="","待展开路径","未实测"),IF(H239&lt;&gt;"适用","待确认适用性",IF(INDEX(Equipment[登记状态（自动）],MATCH(B239,Equipment[组合编号],0))&lt;&gt;"已登记","待补设备组合",IF(AND(F239&lt;&gt;"",G239&lt;&gt;"",K239&lt;&gt;"",L239&lt;&gt;"",M239&lt;&gt;"",N239&lt;&gt;"",ISNUMBER(O239),O239&gt;0,P239&lt;&gt;""),"记录齐全","待补实测记录")))))))))))</x:f>
        <x:v>待展开路径</x:v>
      </x:c>
    </x:row>
    <x:row r="240" ht="43.5" customHeight="1">
      <x:c r="A240" s="20" t="str">
        <x:v>REC-00231</x:v>
      </x:c>
      <x:c r="B240" s="20" t="str">
        <x:v>P1-B3-01</x:v>
      </x:c>
      <x:c r="C240" s="30" t="str">
        <x:f>IF(B240="","",IF(COUNTIFS(Equipment[组合编号],B240)&lt;&gt;1,"组合编号无效",INDEX(Equipment[PLC组],MATCH(B240,Equipment[组合编号],0))))</x:f>
        <x:v>汇川小型</x:v>
      </x:c>
      <x:c r="D240" s="30" t="str">
        <x:f>IF(B240="","",IF(COUNTIFS(Equipment[组合编号],B240)&lt;&gt;1,"组合编号无效",INDEX(Equipment[驱动品牌],MATCH(B240,Equipment[组合编号],0))))</x:f>
        <x:v>繁易</x:v>
      </x:c>
      <x:c r="E240" s="20" t="str">
        <x:v>S01</x:v>
      </x:c>
      <x:c r="F240" s="20"/>
      <x:c r="G240" s="20"/>
      <x:c r="H240" s="20" t="str">
        <x:v>待判定</x:v>
      </x:c>
      <x:c r="I240" s="20"/>
      <x:c r="J240" s="20" t="str">
        <x:v>未测试</x:v>
      </x:c>
      <x:c r="K240" s="20"/>
      <x:c r="L240" s="20"/>
      <x:c r="M240" s="20"/>
      <x:c r="N240" s="20"/>
      <x:c r="O240" s="31"/>
      <x:c r="P240" s="20"/>
      <x:c r="Q240" s="20"/>
      <x:c r="R240" s="20" t="str">
        <x:v>待展开</x:v>
      </x:c>
      <x:c r="S240" s="20"/>
      <x:c r="T240" s="31"/>
      <x:c r="U240" s="30" t="str">
        <x:f>IF(A240="","缺记录编号",IF(COUNTIFS(PathRecords[记录编号],A240)&lt;&gt;1,"记录编号重复",IF(OR(B240="",E240=""),"缺组合/功能",IF(COUNTIFS(Equipment[组合编号],B240)&lt;&gt;1,"组合编号无效",IF(COUNTIFS(FunctionMatrix[编号],E240)=0,"功能编号无效",IF(H240="不适用",IF(J240="已实测","适用性冲突",IF(I240="","待补不适用依据","不适用（非实测）")),IF(J240="阻塞",IF(I240="","待补阻塞原因","阻塞（非实测）"),IF(J240&lt;&gt;"已实测",IF(F240="","待展开路径","未实测"),IF(H240&lt;&gt;"适用","待确认适用性",IF(INDEX(Equipment[登记状态（自动）],MATCH(B240,Equipment[组合编号],0))&lt;&gt;"已登记","待补设备组合",IF(AND(F240&lt;&gt;"",G240&lt;&gt;"",K240&lt;&gt;"",L240&lt;&gt;"",M240&lt;&gt;"",N240&lt;&gt;"",ISNUMBER(O240),O240&gt;0,P240&lt;&gt;""),"记录齐全","待补实测记录")))))))))))</x:f>
        <x:v>待展开路径</x:v>
      </x:c>
    </x:row>
    <x:row r="241" ht="43.5" customHeight="1">
      <x:c r="A241" s="20" t="str">
        <x:v>REC-00232</x:v>
      </x:c>
      <x:c r="B241" s="20" t="str">
        <x:v>P1-B3-01</x:v>
      </x:c>
      <x:c r="C241" s="30" t="str">
        <x:f>IF(B241="","",IF(COUNTIFS(Equipment[组合编号],B241)&lt;&gt;1,"组合编号无效",INDEX(Equipment[PLC组],MATCH(B241,Equipment[组合编号],0))))</x:f>
        <x:v>汇川小型</x:v>
      </x:c>
      <x:c r="D241" s="30" t="str">
        <x:f>IF(B241="","",IF(COUNTIFS(Equipment[组合编号],B241)&lt;&gt;1,"组合编号无效",INDEX(Equipment[驱动品牌],MATCH(B241,Equipment[组合编号],0))))</x:f>
        <x:v>繁易</x:v>
      </x:c>
      <x:c r="E241" s="20" t="str">
        <x:v>S02</x:v>
      </x:c>
      <x:c r="F241" s="20"/>
      <x:c r="G241" s="20"/>
      <x:c r="H241" s="20" t="str">
        <x:v>待判定</x:v>
      </x:c>
      <x:c r="I241" s="20"/>
      <x:c r="J241" s="20" t="str">
        <x:v>未测试</x:v>
      </x:c>
      <x:c r="K241" s="20"/>
      <x:c r="L241" s="20"/>
      <x:c r="M241" s="20"/>
      <x:c r="N241" s="20"/>
      <x:c r="O241" s="31"/>
      <x:c r="P241" s="20"/>
      <x:c r="Q241" s="20"/>
      <x:c r="R241" s="20" t="str">
        <x:v>待展开</x:v>
      </x:c>
      <x:c r="S241" s="20"/>
      <x:c r="T241" s="31"/>
      <x:c r="U241" s="30" t="str">
        <x:f>IF(A241="","缺记录编号",IF(COUNTIFS(PathRecords[记录编号],A241)&lt;&gt;1,"记录编号重复",IF(OR(B241="",E241=""),"缺组合/功能",IF(COUNTIFS(Equipment[组合编号],B241)&lt;&gt;1,"组合编号无效",IF(COUNTIFS(FunctionMatrix[编号],E241)=0,"功能编号无效",IF(H241="不适用",IF(J241="已实测","适用性冲突",IF(I241="","待补不适用依据","不适用（非实测）")),IF(J241="阻塞",IF(I241="","待补阻塞原因","阻塞（非实测）"),IF(J241&lt;&gt;"已实测",IF(F241="","待展开路径","未实测"),IF(H241&lt;&gt;"适用","待确认适用性",IF(INDEX(Equipment[登记状态（自动）],MATCH(B241,Equipment[组合编号],0))&lt;&gt;"已登记","待补设备组合",IF(AND(F241&lt;&gt;"",G241&lt;&gt;"",K241&lt;&gt;"",L241&lt;&gt;"",M241&lt;&gt;"",N241&lt;&gt;"",ISNUMBER(O241),O241&gt;0,P241&lt;&gt;""),"记录齐全","待补实测记录")))))))))))</x:f>
        <x:v>待展开路径</x:v>
      </x:c>
    </x:row>
    <x:row r="242" ht="43.5" customHeight="1">
      <x:c r="A242" s="20" t="str">
        <x:v>REC-00233</x:v>
      </x:c>
      <x:c r="B242" s="20" t="str">
        <x:v>P1-B3-01</x:v>
      </x:c>
      <x:c r="C242" s="30" t="str">
        <x:f>IF(B242="","",IF(COUNTIFS(Equipment[组合编号],B242)&lt;&gt;1,"组合编号无效",INDEX(Equipment[PLC组],MATCH(B242,Equipment[组合编号],0))))</x:f>
        <x:v>汇川小型</x:v>
      </x:c>
      <x:c r="D242" s="30" t="str">
        <x:f>IF(B242="","",IF(COUNTIFS(Equipment[组合编号],B242)&lt;&gt;1,"组合编号无效",INDEX(Equipment[驱动品牌],MATCH(B242,Equipment[组合编号],0))))</x:f>
        <x:v>繁易</x:v>
      </x:c>
      <x:c r="E242" s="20" t="str">
        <x:v>S03</x:v>
      </x:c>
      <x:c r="F242" s="20"/>
      <x:c r="G242" s="20"/>
      <x:c r="H242" s="20" t="str">
        <x:v>待判定</x:v>
      </x:c>
      <x:c r="I242" s="20"/>
      <x:c r="J242" s="20" t="str">
        <x:v>未测试</x:v>
      </x:c>
      <x:c r="K242" s="20"/>
      <x:c r="L242" s="20"/>
      <x:c r="M242" s="20"/>
      <x:c r="N242" s="20"/>
      <x:c r="O242" s="31"/>
      <x:c r="P242" s="20"/>
      <x:c r="Q242" s="20"/>
      <x:c r="R242" s="20" t="str">
        <x:v>待展开</x:v>
      </x:c>
      <x:c r="S242" s="20"/>
      <x:c r="T242" s="31"/>
      <x:c r="U242" s="30" t="str">
        <x:f>IF(A242="","缺记录编号",IF(COUNTIFS(PathRecords[记录编号],A242)&lt;&gt;1,"记录编号重复",IF(OR(B242="",E242=""),"缺组合/功能",IF(COUNTIFS(Equipment[组合编号],B242)&lt;&gt;1,"组合编号无效",IF(COUNTIFS(FunctionMatrix[编号],E242)=0,"功能编号无效",IF(H242="不适用",IF(J242="已实测","适用性冲突",IF(I242="","待补不适用依据","不适用（非实测）")),IF(J242="阻塞",IF(I242="","待补阻塞原因","阻塞（非实测）"),IF(J242&lt;&gt;"已实测",IF(F242="","待展开路径","未实测"),IF(H242&lt;&gt;"适用","待确认适用性",IF(INDEX(Equipment[登记状态（自动）],MATCH(B242,Equipment[组合编号],0))&lt;&gt;"已登记","待补设备组合",IF(AND(F242&lt;&gt;"",G242&lt;&gt;"",K242&lt;&gt;"",L242&lt;&gt;"",M242&lt;&gt;"",N242&lt;&gt;"",ISNUMBER(O242),O242&gt;0,P242&lt;&gt;""),"记录齐全","待补实测记录")))))))))))</x:f>
        <x:v>待展开路径</x:v>
      </x:c>
    </x:row>
    <x:row r="243" ht="43.5" customHeight="1">
      <x:c r="A243" s="20" t="str">
        <x:v>REC-00234</x:v>
      </x:c>
      <x:c r="B243" s="20" t="str">
        <x:v>P1-B3-01</x:v>
      </x:c>
      <x:c r="C243" s="30" t="str">
        <x:f>IF(B243="","",IF(COUNTIFS(Equipment[组合编号],B243)&lt;&gt;1,"组合编号无效",INDEX(Equipment[PLC组],MATCH(B243,Equipment[组合编号],0))))</x:f>
        <x:v>汇川小型</x:v>
      </x:c>
      <x:c r="D243" s="30" t="str">
        <x:f>IF(B243="","",IF(COUNTIFS(Equipment[组合编号],B243)&lt;&gt;1,"组合编号无效",INDEX(Equipment[驱动品牌],MATCH(B243,Equipment[组合编号],0))))</x:f>
        <x:v>繁易</x:v>
      </x:c>
      <x:c r="E243" s="20" t="str">
        <x:v>S04</x:v>
      </x:c>
      <x:c r="F243" s="20"/>
      <x:c r="G243" s="20"/>
      <x:c r="H243" s="20" t="str">
        <x:v>待判定</x:v>
      </x:c>
      <x:c r="I243" s="20"/>
      <x:c r="J243" s="20" t="str">
        <x:v>未测试</x:v>
      </x:c>
      <x:c r="K243" s="20"/>
      <x:c r="L243" s="20"/>
      <x:c r="M243" s="20"/>
      <x:c r="N243" s="20"/>
      <x:c r="O243" s="31"/>
      <x:c r="P243" s="20"/>
      <x:c r="Q243" s="20"/>
      <x:c r="R243" s="20" t="str">
        <x:v>待展开</x:v>
      </x:c>
      <x:c r="S243" s="20"/>
      <x:c r="T243" s="31"/>
      <x:c r="U243" s="30" t="str">
        <x:f>IF(A243="","缺记录编号",IF(COUNTIFS(PathRecords[记录编号],A243)&lt;&gt;1,"记录编号重复",IF(OR(B243="",E243=""),"缺组合/功能",IF(COUNTIFS(Equipment[组合编号],B243)&lt;&gt;1,"组合编号无效",IF(COUNTIFS(FunctionMatrix[编号],E243)=0,"功能编号无效",IF(H243="不适用",IF(J243="已实测","适用性冲突",IF(I243="","待补不适用依据","不适用（非实测）")),IF(J243="阻塞",IF(I243="","待补阻塞原因","阻塞（非实测）"),IF(J243&lt;&gt;"已实测",IF(F243="","待展开路径","未实测"),IF(H243&lt;&gt;"适用","待确认适用性",IF(INDEX(Equipment[登记状态（自动）],MATCH(B243,Equipment[组合编号],0))&lt;&gt;"已登记","待补设备组合",IF(AND(F243&lt;&gt;"",G243&lt;&gt;"",K243&lt;&gt;"",L243&lt;&gt;"",M243&lt;&gt;"",N243&lt;&gt;"",ISNUMBER(O243),O243&gt;0,P243&lt;&gt;""),"记录齐全","待补实测记录")))))))))))</x:f>
        <x:v>待展开路径</x:v>
      </x:c>
    </x:row>
    <x:row r="244" ht="43.5" customHeight="1">
      <x:c r="A244" s="20" t="str">
        <x:v>REC-00235</x:v>
      </x:c>
      <x:c r="B244" s="20" t="str">
        <x:v>P1-B3-01</x:v>
      </x:c>
      <x:c r="C244" s="30" t="str">
        <x:f>IF(B244="","",IF(COUNTIFS(Equipment[组合编号],B244)&lt;&gt;1,"组合编号无效",INDEX(Equipment[PLC组],MATCH(B244,Equipment[组合编号],0))))</x:f>
        <x:v>汇川小型</x:v>
      </x:c>
      <x:c r="D244" s="30" t="str">
        <x:f>IF(B244="","",IF(COUNTIFS(Equipment[组合编号],B244)&lt;&gt;1,"组合编号无效",INDEX(Equipment[驱动品牌],MATCH(B244,Equipment[组合编号],0))))</x:f>
        <x:v>繁易</x:v>
      </x:c>
      <x:c r="E244" s="20" t="str">
        <x:v>S05</x:v>
      </x:c>
      <x:c r="F244" s="20"/>
      <x:c r="G244" s="20"/>
      <x:c r="H244" s="20" t="str">
        <x:v>待判定</x:v>
      </x:c>
      <x:c r="I244" s="20"/>
      <x:c r="J244" s="20" t="str">
        <x:v>未测试</x:v>
      </x:c>
      <x:c r="K244" s="20"/>
      <x:c r="L244" s="20"/>
      <x:c r="M244" s="20"/>
      <x:c r="N244" s="20"/>
      <x:c r="O244" s="31"/>
      <x:c r="P244" s="20"/>
      <x:c r="Q244" s="20"/>
      <x:c r="R244" s="20" t="str">
        <x:v>待展开</x:v>
      </x:c>
      <x:c r="S244" s="20"/>
      <x:c r="T244" s="31"/>
      <x:c r="U244" s="30" t="str">
        <x:f>IF(A244="","缺记录编号",IF(COUNTIFS(PathRecords[记录编号],A244)&lt;&gt;1,"记录编号重复",IF(OR(B244="",E244=""),"缺组合/功能",IF(COUNTIFS(Equipment[组合编号],B244)&lt;&gt;1,"组合编号无效",IF(COUNTIFS(FunctionMatrix[编号],E244)=0,"功能编号无效",IF(H244="不适用",IF(J244="已实测","适用性冲突",IF(I244="","待补不适用依据","不适用（非实测）")),IF(J244="阻塞",IF(I244="","待补阻塞原因","阻塞（非实测）"),IF(J244&lt;&gt;"已实测",IF(F244="","待展开路径","未实测"),IF(H244&lt;&gt;"适用","待确认适用性",IF(INDEX(Equipment[登记状态（自动）],MATCH(B244,Equipment[组合编号],0))&lt;&gt;"已登记","待补设备组合",IF(AND(F244&lt;&gt;"",G244&lt;&gt;"",K244&lt;&gt;"",L244&lt;&gt;"",M244&lt;&gt;"",N244&lt;&gt;"",ISNUMBER(O244),O244&gt;0,P244&lt;&gt;""),"记录齐全","待补实测记录")))))))))))</x:f>
        <x:v>待展开路径</x:v>
      </x:c>
    </x:row>
    <x:row r="245" ht="43.5" customHeight="1">
      <x:c r="A245" s="20" t="str">
        <x:v>REC-00236</x:v>
      </x:c>
      <x:c r="B245" s="20" t="str">
        <x:v>P1-B3-01</x:v>
      </x:c>
      <x:c r="C245" s="30" t="str">
        <x:f>IF(B245="","",IF(COUNTIFS(Equipment[组合编号],B245)&lt;&gt;1,"组合编号无效",INDEX(Equipment[PLC组],MATCH(B245,Equipment[组合编号],0))))</x:f>
        <x:v>汇川小型</x:v>
      </x:c>
      <x:c r="D245" s="30" t="str">
        <x:f>IF(B245="","",IF(COUNTIFS(Equipment[组合编号],B245)&lt;&gt;1,"组合编号无效",INDEX(Equipment[驱动品牌],MATCH(B245,Equipment[组合编号],0))))</x:f>
        <x:v>繁易</x:v>
      </x:c>
      <x:c r="E245" s="20" t="str">
        <x:v>S06</x:v>
      </x:c>
      <x:c r="F245" s="20"/>
      <x:c r="G245" s="20"/>
      <x:c r="H245" s="20" t="str">
        <x:v>待判定</x:v>
      </x:c>
      <x:c r="I245" s="20"/>
      <x:c r="J245" s="20" t="str">
        <x:v>未测试</x:v>
      </x:c>
      <x:c r="K245" s="20"/>
      <x:c r="L245" s="20"/>
      <x:c r="M245" s="20"/>
      <x:c r="N245" s="20"/>
      <x:c r="O245" s="31"/>
      <x:c r="P245" s="20"/>
      <x:c r="Q245" s="20"/>
      <x:c r="R245" s="20" t="str">
        <x:v>待展开</x:v>
      </x:c>
      <x:c r="S245" s="20"/>
      <x:c r="T245" s="31"/>
      <x:c r="U245" s="30" t="str">
        <x:f>IF(A245="","缺记录编号",IF(COUNTIFS(PathRecords[记录编号],A245)&lt;&gt;1,"记录编号重复",IF(OR(B245="",E245=""),"缺组合/功能",IF(COUNTIFS(Equipment[组合编号],B245)&lt;&gt;1,"组合编号无效",IF(COUNTIFS(FunctionMatrix[编号],E245)=0,"功能编号无效",IF(H245="不适用",IF(J245="已实测","适用性冲突",IF(I245="","待补不适用依据","不适用（非实测）")),IF(J245="阻塞",IF(I245="","待补阻塞原因","阻塞（非实测）"),IF(J245&lt;&gt;"已实测",IF(F245="","待展开路径","未实测"),IF(H245&lt;&gt;"适用","待确认适用性",IF(INDEX(Equipment[登记状态（自动）],MATCH(B245,Equipment[组合编号],0))&lt;&gt;"已登记","待补设备组合",IF(AND(F245&lt;&gt;"",G245&lt;&gt;"",K245&lt;&gt;"",L245&lt;&gt;"",M245&lt;&gt;"",N245&lt;&gt;"",ISNUMBER(O245),O245&gt;0,P245&lt;&gt;""),"记录齐全","待补实测记录")))))))))))</x:f>
        <x:v>待展开路径</x:v>
      </x:c>
    </x:row>
    <x:row r="246" ht="43.5" customHeight="1">
      <x:c r="A246" s="20" t="str">
        <x:v>REC-00237</x:v>
      </x:c>
      <x:c r="B246" s="20" t="str">
        <x:v>P1-B3-01</x:v>
      </x:c>
      <x:c r="C246" s="30" t="str">
        <x:f>IF(B246="","",IF(COUNTIFS(Equipment[组合编号],B246)&lt;&gt;1,"组合编号无效",INDEX(Equipment[PLC组],MATCH(B246,Equipment[组合编号],0))))</x:f>
        <x:v>汇川小型</x:v>
      </x:c>
      <x:c r="D246" s="30" t="str">
        <x:f>IF(B246="","",IF(COUNTIFS(Equipment[组合编号],B246)&lt;&gt;1,"组合编号无效",INDEX(Equipment[驱动品牌],MATCH(B246,Equipment[组合编号],0))))</x:f>
        <x:v>繁易</x:v>
      </x:c>
      <x:c r="E246" s="20" t="str">
        <x:v>S07</x:v>
      </x:c>
      <x:c r="F246" s="20"/>
      <x:c r="G246" s="20"/>
      <x:c r="H246" s="20" t="str">
        <x:v>待判定</x:v>
      </x:c>
      <x:c r="I246" s="20"/>
      <x:c r="J246" s="20" t="str">
        <x:v>未测试</x:v>
      </x:c>
      <x:c r="K246" s="20"/>
      <x:c r="L246" s="20"/>
      <x:c r="M246" s="20"/>
      <x:c r="N246" s="20"/>
      <x:c r="O246" s="31"/>
      <x:c r="P246" s="20"/>
      <x:c r="Q246" s="20"/>
      <x:c r="R246" s="20" t="str">
        <x:v>待展开</x:v>
      </x:c>
      <x:c r="S246" s="20"/>
      <x:c r="T246" s="31"/>
      <x:c r="U246" s="30" t="str">
        <x:f>IF(A246="","缺记录编号",IF(COUNTIFS(PathRecords[记录编号],A246)&lt;&gt;1,"记录编号重复",IF(OR(B246="",E246=""),"缺组合/功能",IF(COUNTIFS(Equipment[组合编号],B246)&lt;&gt;1,"组合编号无效",IF(COUNTIFS(FunctionMatrix[编号],E246)=0,"功能编号无效",IF(H246="不适用",IF(J246="已实测","适用性冲突",IF(I246="","待补不适用依据","不适用（非实测）")),IF(J246="阻塞",IF(I246="","待补阻塞原因","阻塞（非实测）"),IF(J246&lt;&gt;"已实测",IF(F246="","待展开路径","未实测"),IF(H246&lt;&gt;"适用","待确认适用性",IF(INDEX(Equipment[登记状态（自动）],MATCH(B246,Equipment[组合编号],0))&lt;&gt;"已登记","待补设备组合",IF(AND(F246&lt;&gt;"",G246&lt;&gt;"",K246&lt;&gt;"",L246&lt;&gt;"",M246&lt;&gt;"",N246&lt;&gt;"",ISNUMBER(O246),O246&gt;0,P246&lt;&gt;""),"记录齐全","待补实测记录")))))))))))</x:f>
        <x:v>待展开路径</x:v>
      </x:c>
    </x:row>
    <x:row r="247" ht="43.5" customHeight="1">
      <x:c r="A247" s="20" t="str">
        <x:v>REC-00238</x:v>
      </x:c>
      <x:c r="B247" s="20" t="str">
        <x:v>P1-B3-01</x:v>
      </x:c>
      <x:c r="C247" s="30" t="str">
        <x:f>IF(B247="","",IF(COUNTIFS(Equipment[组合编号],B247)&lt;&gt;1,"组合编号无效",INDEX(Equipment[PLC组],MATCH(B247,Equipment[组合编号],0))))</x:f>
        <x:v>汇川小型</x:v>
      </x:c>
      <x:c r="D247" s="30" t="str">
        <x:f>IF(B247="","",IF(COUNTIFS(Equipment[组合编号],B247)&lt;&gt;1,"组合编号无效",INDEX(Equipment[驱动品牌],MATCH(B247,Equipment[组合编号],0))))</x:f>
        <x:v>繁易</x:v>
      </x:c>
      <x:c r="E247" s="20" t="str">
        <x:v>S08</x:v>
      </x:c>
      <x:c r="F247" s="20"/>
      <x:c r="G247" s="20"/>
      <x:c r="H247" s="20" t="str">
        <x:v>待判定</x:v>
      </x:c>
      <x:c r="I247" s="20"/>
      <x:c r="J247" s="20" t="str">
        <x:v>未测试</x:v>
      </x:c>
      <x:c r="K247" s="20"/>
      <x:c r="L247" s="20"/>
      <x:c r="M247" s="20"/>
      <x:c r="N247" s="20"/>
      <x:c r="O247" s="31"/>
      <x:c r="P247" s="20"/>
      <x:c r="Q247" s="20"/>
      <x:c r="R247" s="20" t="str">
        <x:v>待展开</x:v>
      </x:c>
      <x:c r="S247" s="20"/>
      <x:c r="T247" s="31"/>
      <x:c r="U247" s="30" t="str">
        <x:f>IF(A247="","缺记录编号",IF(COUNTIFS(PathRecords[记录编号],A247)&lt;&gt;1,"记录编号重复",IF(OR(B247="",E247=""),"缺组合/功能",IF(COUNTIFS(Equipment[组合编号],B247)&lt;&gt;1,"组合编号无效",IF(COUNTIFS(FunctionMatrix[编号],E247)=0,"功能编号无效",IF(H247="不适用",IF(J247="已实测","适用性冲突",IF(I247="","待补不适用依据","不适用（非实测）")),IF(J247="阻塞",IF(I247="","待补阻塞原因","阻塞（非实测）"),IF(J247&lt;&gt;"已实测",IF(F247="","待展开路径","未实测"),IF(H247&lt;&gt;"适用","待确认适用性",IF(INDEX(Equipment[登记状态（自动）],MATCH(B247,Equipment[组合编号],0))&lt;&gt;"已登记","待补设备组合",IF(AND(F247&lt;&gt;"",G247&lt;&gt;"",K247&lt;&gt;"",L247&lt;&gt;"",M247&lt;&gt;"",N247&lt;&gt;"",ISNUMBER(O247),O247&gt;0,P247&lt;&gt;""),"记录齐全","待补实测记录")))))))))))</x:f>
        <x:v>待展开路径</x:v>
      </x:c>
    </x:row>
    <x:row r="248" ht="43.5" customHeight="1">
      <x:c r="A248" s="20" t="str">
        <x:v>REC-00239</x:v>
      </x:c>
      <x:c r="B248" s="20" t="str">
        <x:v>P1-B3-01</x:v>
      </x:c>
      <x:c r="C248" s="30" t="str">
        <x:f>IF(B248="","",IF(COUNTIFS(Equipment[组合编号],B248)&lt;&gt;1,"组合编号无效",INDEX(Equipment[PLC组],MATCH(B248,Equipment[组合编号],0))))</x:f>
        <x:v>汇川小型</x:v>
      </x:c>
      <x:c r="D248" s="30" t="str">
        <x:f>IF(B248="","",IF(COUNTIFS(Equipment[组合编号],B248)&lt;&gt;1,"组合编号无效",INDEX(Equipment[驱动品牌],MATCH(B248,Equipment[组合编号],0))))</x:f>
        <x:v>繁易</x:v>
      </x:c>
      <x:c r="E248" s="20" t="str">
        <x:v>S09</x:v>
      </x:c>
      <x:c r="F248" s="20"/>
      <x:c r="G248" s="20"/>
      <x:c r="H248" s="20" t="str">
        <x:v>待判定</x:v>
      </x:c>
      <x:c r="I248" s="20"/>
      <x:c r="J248" s="20" t="str">
        <x:v>未测试</x:v>
      </x:c>
      <x:c r="K248" s="20"/>
      <x:c r="L248" s="20"/>
      <x:c r="M248" s="20"/>
      <x:c r="N248" s="20"/>
      <x:c r="O248" s="31"/>
      <x:c r="P248" s="20"/>
      <x:c r="Q248" s="20"/>
      <x:c r="R248" s="20" t="str">
        <x:v>待展开</x:v>
      </x:c>
      <x:c r="S248" s="20"/>
      <x:c r="T248" s="31"/>
      <x:c r="U248" s="30" t="str">
        <x:f>IF(A248="","缺记录编号",IF(COUNTIFS(PathRecords[记录编号],A248)&lt;&gt;1,"记录编号重复",IF(OR(B248="",E248=""),"缺组合/功能",IF(COUNTIFS(Equipment[组合编号],B248)&lt;&gt;1,"组合编号无效",IF(COUNTIFS(FunctionMatrix[编号],E248)=0,"功能编号无效",IF(H248="不适用",IF(J248="已实测","适用性冲突",IF(I248="","待补不适用依据","不适用（非实测）")),IF(J248="阻塞",IF(I248="","待补阻塞原因","阻塞（非实测）"),IF(J248&lt;&gt;"已实测",IF(F248="","待展开路径","未实测"),IF(H248&lt;&gt;"适用","待确认适用性",IF(INDEX(Equipment[登记状态（自动）],MATCH(B248,Equipment[组合编号],0))&lt;&gt;"已登记","待补设备组合",IF(AND(F248&lt;&gt;"",G248&lt;&gt;"",K248&lt;&gt;"",L248&lt;&gt;"",M248&lt;&gt;"",N248&lt;&gt;"",ISNUMBER(O248),O248&gt;0,P248&lt;&gt;""),"记录齐全","待补实测记录")))))))))))</x:f>
        <x:v>待展开路径</x:v>
      </x:c>
    </x:row>
    <x:row r="249" ht="43.5" customHeight="1">
      <x:c r="A249" s="20" t="str">
        <x:v>REC-00240</x:v>
      </x:c>
      <x:c r="B249" s="20" t="str">
        <x:v>P1-B3-01</x:v>
      </x:c>
      <x:c r="C249" s="30" t="str">
        <x:f>IF(B249="","",IF(COUNTIFS(Equipment[组合编号],B249)&lt;&gt;1,"组合编号无效",INDEX(Equipment[PLC组],MATCH(B249,Equipment[组合编号],0))))</x:f>
        <x:v>汇川小型</x:v>
      </x:c>
      <x:c r="D249" s="30" t="str">
        <x:f>IF(B249="","",IF(COUNTIFS(Equipment[组合编号],B249)&lt;&gt;1,"组合编号无效",INDEX(Equipment[驱动品牌],MATCH(B249,Equipment[组合编号],0))))</x:f>
        <x:v>繁易</x:v>
      </x:c>
      <x:c r="E249" s="20" t="str">
        <x:v>U01</x:v>
      </x:c>
      <x:c r="F249" s="20"/>
      <x:c r="G249" s="20"/>
      <x:c r="H249" s="20" t="str">
        <x:v>待判定</x:v>
      </x:c>
      <x:c r="I249" s="20"/>
      <x:c r="J249" s="20" t="str">
        <x:v>未测试</x:v>
      </x:c>
      <x:c r="K249" s="20"/>
      <x:c r="L249" s="20"/>
      <x:c r="M249" s="20"/>
      <x:c r="N249" s="20"/>
      <x:c r="O249" s="31"/>
      <x:c r="P249" s="20"/>
      <x:c r="Q249" s="20"/>
      <x:c r="R249" s="20" t="str">
        <x:v>待展开</x:v>
      </x:c>
      <x:c r="S249" s="20"/>
      <x:c r="T249" s="31"/>
      <x:c r="U249" s="30" t="str">
        <x:f>IF(A249="","缺记录编号",IF(COUNTIFS(PathRecords[记录编号],A249)&lt;&gt;1,"记录编号重复",IF(OR(B249="",E249=""),"缺组合/功能",IF(COUNTIFS(Equipment[组合编号],B249)&lt;&gt;1,"组合编号无效",IF(COUNTIFS(FunctionMatrix[编号],E249)=0,"功能编号无效",IF(H249="不适用",IF(J249="已实测","适用性冲突",IF(I249="","待补不适用依据","不适用（非实测）")),IF(J249="阻塞",IF(I249="","待补阻塞原因","阻塞（非实测）"),IF(J249&lt;&gt;"已实测",IF(F249="","待展开路径","未实测"),IF(H249&lt;&gt;"适用","待确认适用性",IF(INDEX(Equipment[登记状态（自动）],MATCH(B249,Equipment[组合编号],0))&lt;&gt;"已登记","待补设备组合",IF(AND(F249&lt;&gt;"",G249&lt;&gt;"",K249&lt;&gt;"",L249&lt;&gt;"",M249&lt;&gt;"",N249&lt;&gt;"",ISNUMBER(O249),O249&gt;0,P249&lt;&gt;""),"记录齐全","待补实测记录")))))))))))</x:f>
        <x:v>待展开路径</x:v>
      </x:c>
    </x:row>
    <x:row r="250" ht="43.5" customHeight="1">
      <x:c r="A250" s="20" t="str">
        <x:v>REC-00241</x:v>
      </x:c>
      <x:c r="B250" s="20" t="str">
        <x:v>P1-B3-01</x:v>
      </x:c>
      <x:c r="C250" s="30" t="str">
        <x:f>IF(B250="","",IF(COUNTIFS(Equipment[组合编号],B250)&lt;&gt;1,"组合编号无效",INDEX(Equipment[PLC组],MATCH(B250,Equipment[组合编号],0))))</x:f>
        <x:v>汇川小型</x:v>
      </x:c>
      <x:c r="D250" s="30" t="str">
        <x:f>IF(B250="","",IF(COUNTIFS(Equipment[组合编号],B250)&lt;&gt;1,"组合编号无效",INDEX(Equipment[驱动品牌],MATCH(B250,Equipment[组合编号],0))))</x:f>
        <x:v>繁易</x:v>
      </x:c>
      <x:c r="E250" s="20" t="str">
        <x:v>U02</x:v>
      </x:c>
      <x:c r="F250" s="20"/>
      <x:c r="G250" s="20"/>
      <x:c r="H250" s="20" t="str">
        <x:v>待判定</x:v>
      </x:c>
      <x:c r="I250" s="20"/>
      <x:c r="J250" s="20" t="str">
        <x:v>未测试</x:v>
      </x:c>
      <x:c r="K250" s="20"/>
      <x:c r="L250" s="20"/>
      <x:c r="M250" s="20"/>
      <x:c r="N250" s="20"/>
      <x:c r="O250" s="31"/>
      <x:c r="P250" s="20"/>
      <x:c r="Q250" s="20"/>
      <x:c r="R250" s="20" t="str">
        <x:v>待展开</x:v>
      </x:c>
      <x:c r="S250" s="20"/>
      <x:c r="T250" s="31"/>
      <x:c r="U250" s="30" t="str">
        <x:f>IF(A250="","缺记录编号",IF(COUNTIFS(PathRecords[记录编号],A250)&lt;&gt;1,"记录编号重复",IF(OR(B250="",E250=""),"缺组合/功能",IF(COUNTIFS(Equipment[组合编号],B250)&lt;&gt;1,"组合编号无效",IF(COUNTIFS(FunctionMatrix[编号],E250)=0,"功能编号无效",IF(H250="不适用",IF(J250="已实测","适用性冲突",IF(I250="","待补不适用依据","不适用（非实测）")),IF(J250="阻塞",IF(I250="","待补阻塞原因","阻塞（非实测）"),IF(J250&lt;&gt;"已实测",IF(F250="","待展开路径","未实测"),IF(H250&lt;&gt;"适用","待确认适用性",IF(INDEX(Equipment[登记状态（自动）],MATCH(B250,Equipment[组合编号],0))&lt;&gt;"已登记","待补设备组合",IF(AND(F250&lt;&gt;"",G250&lt;&gt;"",K250&lt;&gt;"",L250&lt;&gt;"",M250&lt;&gt;"",N250&lt;&gt;"",ISNUMBER(O250),O250&gt;0,P250&lt;&gt;""),"记录齐全","待补实测记录")))))))))))</x:f>
        <x:v>待展开路径</x:v>
      </x:c>
    </x:row>
    <x:row r="251" ht="43.5" customHeight="1">
      <x:c r="A251" s="20" t="str">
        <x:v>REC-00242</x:v>
      </x:c>
      <x:c r="B251" s="20" t="str">
        <x:v>P1-B3-01</x:v>
      </x:c>
      <x:c r="C251" s="30" t="str">
        <x:f>IF(B251="","",IF(COUNTIFS(Equipment[组合编号],B251)&lt;&gt;1,"组合编号无效",INDEX(Equipment[PLC组],MATCH(B251,Equipment[组合编号],0))))</x:f>
        <x:v>汇川小型</x:v>
      </x:c>
      <x:c r="D251" s="30" t="str">
        <x:f>IF(B251="","",IF(COUNTIFS(Equipment[组合编号],B251)&lt;&gt;1,"组合编号无效",INDEX(Equipment[驱动品牌],MATCH(B251,Equipment[组合编号],0))))</x:f>
        <x:v>繁易</x:v>
      </x:c>
      <x:c r="E251" s="20" t="str">
        <x:v>U03</x:v>
      </x:c>
      <x:c r="F251" s="20"/>
      <x:c r="G251" s="20"/>
      <x:c r="H251" s="20" t="str">
        <x:v>待判定</x:v>
      </x:c>
      <x:c r="I251" s="20"/>
      <x:c r="J251" s="20" t="str">
        <x:v>未测试</x:v>
      </x:c>
      <x:c r="K251" s="20"/>
      <x:c r="L251" s="20"/>
      <x:c r="M251" s="20"/>
      <x:c r="N251" s="20"/>
      <x:c r="O251" s="31"/>
      <x:c r="P251" s="20"/>
      <x:c r="Q251" s="20"/>
      <x:c r="R251" s="20" t="str">
        <x:v>待展开</x:v>
      </x:c>
      <x:c r="S251" s="20"/>
      <x:c r="T251" s="31"/>
      <x:c r="U251" s="30" t="str">
        <x:f>IF(A251="","缺记录编号",IF(COUNTIFS(PathRecords[记录编号],A251)&lt;&gt;1,"记录编号重复",IF(OR(B251="",E251=""),"缺组合/功能",IF(COUNTIFS(Equipment[组合编号],B251)&lt;&gt;1,"组合编号无效",IF(COUNTIFS(FunctionMatrix[编号],E251)=0,"功能编号无效",IF(H251="不适用",IF(J251="已实测","适用性冲突",IF(I251="","待补不适用依据","不适用（非实测）")),IF(J251="阻塞",IF(I251="","待补阻塞原因","阻塞（非实测）"),IF(J251&lt;&gt;"已实测",IF(F251="","待展开路径","未实测"),IF(H251&lt;&gt;"适用","待确认适用性",IF(INDEX(Equipment[登记状态（自动）],MATCH(B251,Equipment[组合编号],0))&lt;&gt;"已登记","待补设备组合",IF(AND(F251&lt;&gt;"",G251&lt;&gt;"",K251&lt;&gt;"",L251&lt;&gt;"",M251&lt;&gt;"",N251&lt;&gt;"",ISNUMBER(O251),O251&gt;0,P251&lt;&gt;""),"记录齐全","待补实测记录")))))))))))</x:f>
        <x:v>待展开路径</x:v>
      </x:c>
    </x:row>
    <x:row r="252" ht="43.5" customHeight="1">
      <x:c r="A252" s="20" t="str">
        <x:v>REC-00243</x:v>
      </x:c>
      <x:c r="B252" s="20" t="str">
        <x:v>P1-B3-01</x:v>
      </x:c>
      <x:c r="C252" s="30" t="str">
        <x:f>IF(B252="","",IF(COUNTIFS(Equipment[组合编号],B252)&lt;&gt;1,"组合编号无效",INDEX(Equipment[PLC组],MATCH(B252,Equipment[组合编号],0))))</x:f>
        <x:v>汇川小型</x:v>
      </x:c>
      <x:c r="D252" s="30" t="str">
        <x:f>IF(B252="","",IF(COUNTIFS(Equipment[组合编号],B252)&lt;&gt;1,"组合编号无效",INDEX(Equipment[驱动品牌],MATCH(B252,Equipment[组合编号],0))))</x:f>
        <x:v>繁易</x:v>
      </x:c>
      <x:c r="E252" s="20" t="str">
        <x:v>U04</x:v>
      </x:c>
      <x:c r="F252" s="20"/>
      <x:c r="G252" s="20"/>
      <x:c r="H252" s="20" t="str">
        <x:v>待判定</x:v>
      </x:c>
      <x:c r="I252" s="20"/>
      <x:c r="J252" s="20" t="str">
        <x:v>未测试</x:v>
      </x:c>
      <x:c r="K252" s="20"/>
      <x:c r="L252" s="20"/>
      <x:c r="M252" s="20"/>
      <x:c r="N252" s="20"/>
      <x:c r="O252" s="31"/>
      <x:c r="P252" s="20"/>
      <x:c r="Q252" s="20"/>
      <x:c r="R252" s="20" t="str">
        <x:v>待展开</x:v>
      </x:c>
      <x:c r="S252" s="20"/>
      <x:c r="T252" s="31"/>
      <x:c r="U252" s="30" t="str">
        <x:f>IF(A252="","缺记录编号",IF(COUNTIFS(PathRecords[记录编号],A252)&lt;&gt;1,"记录编号重复",IF(OR(B252="",E252=""),"缺组合/功能",IF(COUNTIFS(Equipment[组合编号],B252)&lt;&gt;1,"组合编号无效",IF(COUNTIFS(FunctionMatrix[编号],E252)=0,"功能编号无效",IF(H252="不适用",IF(J252="已实测","适用性冲突",IF(I252="","待补不适用依据","不适用（非实测）")),IF(J252="阻塞",IF(I252="","待补阻塞原因","阻塞（非实测）"),IF(J252&lt;&gt;"已实测",IF(F252="","待展开路径","未实测"),IF(H252&lt;&gt;"适用","待确认适用性",IF(INDEX(Equipment[登记状态（自动）],MATCH(B252,Equipment[组合编号],0))&lt;&gt;"已登记","待补设备组合",IF(AND(F252&lt;&gt;"",G252&lt;&gt;"",K252&lt;&gt;"",L252&lt;&gt;"",M252&lt;&gt;"",N252&lt;&gt;"",ISNUMBER(O252),O252&gt;0,P252&lt;&gt;""),"记录齐全","待补实测记录")))))))))))</x:f>
        <x:v>待展开路径</x:v>
      </x:c>
    </x:row>
    <x:row r="253" ht="43.5" customHeight="1">
      <x:c r="A253" s="20" t="str">
        <x:v>REC-00244</x:v>
      </x:c>
      <x:c r="B253" s="20" t="str">
        <x:v>P1-B3-01</x:v>
      </x:c>
      <x:c r="C253" s="30" t="str">
        <x:f>IF(B253="","",IF(COUNTIFS(Equipment[组合编号],B253)&lt;&gt;1,"组合编号无效",INDEX(Equipment[PLC组],MATCH(B253,Equipment[组合编号],0))))</x:f>
        <x:v>汇川小型</x:v>
      </x:c>
      <x:c r="D253" s="30" t="str">
        <x:f>IF(B253="","",IF(COUNTIFS(Equipment[组合编号],B253)&lt;&gt;1,"组合编号无效",INDEX(Equipment[驱动品牌],MATCH(B253,Equipment[组合编号],0))))</x:f>
        <x:v>繁易</x:v>
      </x:c>
      <x:c r="E253" s="20" t="str">
        <x:v>U05</x:v>
      </x:c>
      <x:c r="F253" s="20"/>
      <x:c r="G253" s="20"/>
      <x:c r="H253" s="20" t="str">
        <x:v>待判定</x:v>
      </x:c>
      <x:c r="I253" s="20"/>
      <x:c r="J253" s="20" t="str">
        <x:v>未测试</x:v>
      </x:c>
      <x:c r="K253" s="20"/>
      <x:c r="L253" s="20"/>
      <x:c r="M253" s="20"/>
      <x:c r="N253" s="20"/>
      <x:c r="O253" s="31"/>
      <x:c r="P253" s="20"/>
      <x:c r="Q253" s="20"/>
      <x:c r="R253" s="20" t="str">
        <x:v>待展开</x:v>
      </x:c>
      <x:c r="S253" s="20"/>
      <x:c r="T253" s="31"/>
      <x:c r="U253" s="30" t="str">
        <x:f>IF(A253="","缺记录编号",IF(COUNTIFS(PathRecords[记录编号],A253)&lt;&gt;1,"记录编号重复",IF(OR(B253="",E253=""),"缺组合/功能",IF(COUNTIFS(Equipment[组合编号],B253)&lt;&gt;1,"组合编号无效",IF(COUNTIFS(FunctionMatrix[编号],E253)=0,"功能编号无效",IF(H253="不适用",IF(J253="已实测","适用性冲突",IF(I253="","待补不适用依据","不适用（非实测）")),IF(J253="阻塞",IF(I253="","待补阻塞原因","阻塞（非实测）"),IF(J253&lt;&gt;"已实测",IF(F253="","待展开路径","未实测"),IF(H253&lt;&gt;"适用","待确认适用性",IF(INDEX(Equipment[登记状态（自动）],MATCH(B253,Equipment[组合编号],0))&lt;&gt;"已登记","待补设备组合",IF(AND(F253&lt;&gt;"",G253&lt;&gt;"",K253&lt;&gt;"",L253&lt;&gt;"",M253&lt;&gt;"",N253&lt;&gt;"",ISNUMBER(O253),O253&gt;0,P253&lt;&gt;""),"记录齐全","待补实测记录")))))))))))</x:f>
        <x:v>待展开路径</x:v>
      </x:c>
    </x:row>
    <x:row r="254" ht="43.5" customHeight="1">
      <x:c r="A254" s="20" t="str">
        <x:v>REC-00245</x:v>
      </x:c>
      <x:c r="B254" s="20" t="str">
        <x:v>P1-B3-01</x:v>
      </x:c>
      <x:c r="C254" s="30" t="str">
        <x:f>IF(B254="","",IF(COUNTIFS(Equipment[组合编号],B254)&lt;&gt;1,"组合编号无效",INDEX(Equipment[PLC组],MATCH(B254,Equipment[组合编号],0))))</x:f>
        <x:v>汇川小型</x:v>
      </x:c>
      <x:c r="D254" s="30" t="str">
        <x:f>IF(B254="","",IF(COUNTIFS(Equipment[组合编号],B254)&lt;&gt;1,"组合编号无效",INDEX(Equipment[驱动品牌],MATCH(B254,Equipment[组合编号],0))))</x:f>
        <x:v>繁易</x:v>
      </x:c>
      <x:c r="E254" s="20" t="str">
        <x:v>U06</x:v>
      </x:c>
      <x:c r="F254" s="20"/>
      <x:c r="G254" s="20"/>
      <x:c r="H254" s="20" t="str">
        <x:v>待判定</x:v>
      </x:c>
      <x:c r="I254" s="20"/>
      <x:c r="J254" s="20" t="str">
        <x:v>未测试</x:v>
      </x:c>
      <x:c r="K254" s="20"/>
      <x:c r="L254" s="20"/>
      <x:c r="M254" s="20"/>
      <x:c r="N254" s="20"/>
      <x:c r="O254" s="31"/>
      <x:c r="P254" s="20"/>
      <x:c r="Q254" s="20"/>
      <x:c r="R254" s="20" t="str">
        <x:v>待展开</x:v>
      </x:c>
      <x:c r="S254" s="20"/>
      <x:c r="T254" s="31"/>
      <x:c r="U254" s="30" t="str">
        <x:f>IF(A254="","缺记录编号",IF(COUNTIFS(PathRecords[记录编号],A254)&lt;&gt;1,"记录编号重复",IF(OR(B254="",E254=""),"缺组合/功能",IF(COUNTIFS(Equipment[组合编号],B254)&lt;&gt;1,"组合编号无效",IF(COUNTIFS(FunctionMatrix[编号],E254)=0,"功能编号无效",IF(H254="不适用",IF(J254="已实测","适用性冲突",IF(I254="","待补不适用依据","不适用（非实测）")),IF(J254="阻塞",IF(I254="","待补阻塞原因","阻塞（非实测）"),IF(J254&lt;&gt;"已实测",IF(F254="","待展开路径","未实测"),IF(H254&lt;&gt;"适用","待确认适用性",IF(INDEX(Equipment[登记状态（自动）],MATCH(B254,Equipment[组合编号],0))&lt;&gt;"已登记","待补设备组合",IF(AND(F254&lt;&gt;"",G254&lt;&gt;"",K254&lt;&gt;"",L254&lt;&gt;"",M254&lt;&gt;"",N254&lt;&gt;"",ISNUMBER(O254),O254&gt;0,P254&lt;&gt;""),"记录齐全","待补实测记录")))))))))))</x:f>
        <x:v>待展开路径</x:v>
      </x:c>
    </x:row>
    <x:row r="255" ht="43.5" customHeight="1">
      <x:c r="A255" s="20" t="str">
        <x:v>REC-00246</x:v>
      </x:c>
      <x:c r="B255" s="20" t="str">
        <x:v>P1-B3-01</x:v>
      </x:c>
      <x:c r="C255" s="30" t="str">
        <x:f>IF(B255="","",IF(COUNTIFS(Equipment[组合编号],B255)&lt;&gt;1,"组合编号无效",INDEX(Equipment[PLC组],MATCH(B255,Equipment[组合编号],0))))</x:f>
        <x:v>汇川小型</x:v>
      </x:c>
      <x:c r="D255" s="30" t="str">
        <x:f>IF(B255="","",IF(COUNTIFS(Equipment[组合编号],B255)&lt;&gt;1,"组合编号无效",INDEX(Equipment[驱动品牌],MATCH(B255,Equipment[组合编号],0))))</x:f>
        <x:v>繁易</x:v>
      </x:c>
      <x:c r="E255" s="20" t="str">
        <x:v>U07</x:v>
      </x:c>
      <x:c r="F255" s="20"/>
      <x:c r="G255" s="20"/>
      <x:c r="H255" s="20" t="str">
        <x:v>待判定</x:v>
      </x:c>
      <x:c r="I255" s="20"/>
      <x:c r="J255" s="20" t="str">
        <x:v>未测试</x:v>
      </x:c>
      <x:c r="K255" s="20"/>
      <x:c r="L255" s="20"/>
      <x:c r="M255" s="20"/>
      <x:c r="N255" s="20"/>
      <x:c r="O255" s="31"/>
      <x:c r="P255" s="20"/>
      <x:c r="Q255" s="20"/>
      <x:c r="R255" s="20" t="str">
        <x:v>待展开</x:v>
      </x:c>
      <x:c r="S255" s="20"/>
      <x:c r="T255" s="31"/>
      <x:c r="U255" s="30" t="str">
        <x:f>IF(A255="","缺记录编号",IF(COUNTIFS(PathRecords[记录编号],A255)&lt;&gt;1,"记录编号重复",IF(OR(B255="",E255=""),"缺组合/功能",IF(COUNTIFS(Equipment[组合编号],B255)&lt;&gt;1,"组合编号无效",IF(COUNTIFS(FunctionMatrix[编号],E255)=0,"功能编号无效",IF(H255="不适用",IF(J255="已实测","适用性冲突",IF(I255="","待补不适用依据","不适用（非实测）")),IF(J255="阻塞",IF(I255="","待补阻塞原因","阻塞（非实测）"),IF(J255&lt;&gt;"已实测",IF(F255="","待展开路径","未实测"),IF(H255&lt;&gt;"适用","待确认适用性",IF(INDEX(Equipment[登记状态（自动）],MATCH(B255,Equipment[组合编号],0))&lt;&gt;"已登记","待补设备组合",IF(AND(F255&lt;&gt;"",G255&lt;&gt;"",K255&lt;&gt;"",L255&lt;&gt;"",M255&lt;&gt;"",N255&lt;&gt;"",ISNUMBER(O255),O255&gt;0,P255&lt;&gt;""),"记录齐全","待补实测记录")))))))))))</x:f>
        <x:v>待展开路径</x:v>
      </x:c>
    </x:row>
    <x:row r="256" ht="43.5" customHeight="1">
      <x:c r="A256" s="20" t="str">
        <x:v>REC-00247</x:v>
      </x:c>
      <x:c r="B256" s="20" t="str">
        <x:v>P1-B3-01</x:v>
      </x:c>
      <x:c r="C256" s="30" t="str">
        <x:f>IF(B256="","",IF(COUNTIFS(Equipment[组合编号],B256)&lt;&gt;1,"组合编号无效",INDEX(Equipment[PLC组],MATCH(B256,Equipment[组合编号],0))))</x:f>
        <x:v>汇川小型</x:v>
      </x:c>
      <x:c r="D256" s="30" t="str">
        <x:f>IF(B256="","",IF(COUNTIFS(Equipment[组合编号],B256)&lt;&gt;1,"组合编号无效",INDEX(Equipment[驱动品牌],MATCH(B256,Equipment[组合编号],0))))</x:f>
        <x:v>繁易</x:v>
      </x:c>
      <x:c r="E256" s="20" t="str">
        <x:v>U08</x:v>
      </x:c>
      <x:c r="F256" s="20"/>
      <x:c r="G256" s="20"/>
      <x:c r="H256" s="20" t="str">
        <x:v>待判定</x:v>
      </x:c>
      <x:c r="I256" s="20"/>
      <x:c r="J256" s="20" t="str">
        <x:v>未测试</x:v>
      </x:c>
      <x:c r="K256" s="20"/>
      <x:c r="L256" s="20"/>
      <x:c r="M256" s="20"/>
      <x:c r="N256" s="20"/>
      <x:c r="O256" s="31"/>
      <x:c r="P256" s="20"/>
      <x:c r="Q256" s="20"/>
      <x:c r="R256" s="20" t="str">
        <x:v>待展开</x:v>
      </x:c>
      <x:c r="S256" s="20"/>
      <x:c r="T256" s="31"/>
      <x:c r="U256" s="30" t="str">
        <x:f>IF(A256="","缺记录编号",IF(COUNTIFS(PathRecords[记录编号],A256)&lt;&gt;1,"记录编号重复",IF(OR(B256="",E256=""),"缺组合/功能",IF(COUNTIFS(Equipment[组合编号],B256)&lt;&gt;1,"组合编号无效",IF(COUNTIFS(FunctionMatrix[编号],E256)=0,"功能编号无效",IF(H256="不适用",IF(J256="已实测","适用性冲突",IF(I256="","待补不适用依据","不适用（非实测）")),IF(J256="阻塞",IF(I256="","待补阻塞原因","阻塞（非实测）"),IF(J256&lt;&gt;"已实测",IF(F256="","待展开路径","未实测"),IF(H256&lt;&gt;"适用","待确认适用性",IF(INDEX(Equipment[登记状态（自动）],MATCH(B256,Equipment[组合编号],0))&lt;&gt;"已登记","待补设备组合",IF(AND(F256&lt;&gt;"",G256&lt;&gt;"",K256&lt;&gt;"",L256&lt;&gt;"",M256&lt;&gt;"",N256&lt;&gt;"",ISNUMBER(O256),O256&gt;0,P256&lt;&gt;""),"记录齐全","待补实测记录")))))))))))</x:f>
        <x:v>待展开路径</x:v>
      </x:c>
    </x:row>
    <x:row r="257" ht="43.5" customHeight="1">
      <x:c r="A257" s="20" t="str">
        <x:v>REC-00248</x:v>
      </x:c>
      <x:c r="B257" s="20" t="str">
        <x:v>P1-B3-01</x:v>
      </x:c>
      <x:c r="C257" s="30" t="str">
        <x:f>IF(B257="","",IF(COUNTIFS(Equipment[组合编号],B257)&lt;&gt;1,"组合编号无效",INDEX(Equipment[PLC组],MATCH(B257,Equipment[组合编号],0))))</x:f>
        <x:v>汇川小型</x:v>
      </x:c>
      <x:c r="D257" s="30" t="str">
        <x:f>IF(B257="","",IF(COUNTIFS(Equipment[组合编号],B257)&lt;&gt;1,"组合编号无效",INDEX(Equipment[驱动品牌],MATCH(B257,Equipment[组合编号],0))))</x:f>
        <x:v>繁易</x:v>
      </x:c>
      <x:c r="E257" s="20" t="str">
        <x:v>U09</x:v>
      </x:c>
      <x:c r="F257" s="20"/>
      <x:c r="G257" s="20"/>
      <x:c r="H257" s="20" t="str">
        <x:v>待判定</x:v>
      </x:c>
      <x:c r="I257" s="20"/>
      <x:c r="J257" s="20" t="str">
        <x:v>未测试</x:v>
      </x:c>
      <x:c r="K257" s="20"/>
      <x:c r="L257" s="20"/>
      <x:c r="M257" s="20"/>
      <x:c r="N257" s="20"/>
      <x:c r="O257" s="31"/>
      <x:c r="P257" s="20"/>
      <x:c r="Q257" s="20"/>
      <x:c r="R257" s="20" t="str">
        <x:v>待展开</x:v>
      </x:c>
      <x:c r="S257" s="20"/>
      <x:c r="T257" s="31"/>
      <x:c r="U257" s="30" t="str">
        <x:f>IF(A257="","缺记录编号",IF(COUNTIFS(PathRecords[记录编号],A257)&lt;&gt;1,"记录编号重复",IF(OR(B257="",E257=""),"缺组合/功能",IF(COUNTIFS(Equipment[组合编号],B257)&lt;&gt;1,"组合编号无效",IF(COUNTIFS(FunctionMatrix[编号],E257)=0,"功能编号无效",IF(H257="不适用",IF(J257="已实测","适用性冲突",IF(I257="","待补不适用依据","不适用（非实测）")),IF(J257="阻塞",IF(I257="","待补阻塞原因","阻塞（非实测）"),IF(J257&lt;&gt;"已实测",IF(F257="","待展开路径","未实测"),IF(H257&lt;&gt;"适用","待确认适用性",IF(INDEX(Equipment[登记状态（自动）],MATCH(B257,Equipment[组合编号],0))&lt;&gt;"已登记","待补设备组合",IF(AND(F257&lt;&gt;"",G257&lt;&gt;"",K257&lt;&gt;"",L257&lt;&gt;"",M257&lt;&gt;"",N257&lt;&gt;"",ISNUMBER(O257),O257&gt;0,P257&lt;&gt;""),"记录齐全","待补实测记录")))))))))))</x:f>
        <x:v>待展开路径</x:v>
      </x:c>
    </x:row>
    <x:row r="258" ht="43.5" customHeight="1">
      <x:c r="A258" s="20" t="str">
        <x:v>REC-00249</x:v>
      </x:c>
      <x:c r="B258" s="20" t="str">
        <x:v>P1-B3-01</x:v>
      </x:c>
      <x:c r="C258" s="30" t="str">
        <x:f>IF(B258="","",IF(COUNTIFS(Equipment[组合编号],B258)&lt;&gt;1,"组合编号无效",INDEX(Equipment[PLC组],MATCH(B258,Equipment[组合编号],0))))</x:f>
        <x:v>汇川小型</x:v>
      </x:c>
      <x:c r="D258" s="30" t="str">
        <x:f>IF(B258="","",IF(COUNTIFS(Equipment[组合编号],B258)&lt;&gt;1,"组合编号无效",INDEX(Equipment[驱动品牌],MATCH(B258,Equipment[组合编号],0))))</x:f>
        <x:v>繁易</x:v>
      </x:c>
      <x:c r="E258" s="20" t="str">
        <x:v>U10</x:v>
      </x:c>
      <x:c r="F258" s="20"/>
      <x:c r="G258" s="20"/>
      <x:c r="H258" s="20" t="str">
        <x:v>待判定</x:v>
      </x:c>
      <x:c r="I258" s="20"/>
      <x:c r="J258" s="20" t="str">
        <x:v>未测试</x:v>
      </x:c>
      <x:c r="K258" s="20"/>
      <x:c r="L258" s="20"/>
      <x:c r="M258" s="20"/>
      <x:c r="N258" s="20"/>
      <x:c r="O258" s="31"/>
      <x:c r="P258" s="20"/>
      <x:c r="Q258" s="20"/>
      <x:c r="R258" s="20" t="str">
        <x:v>待展开</x:v>
      </x:c>
      <x:c r="S258" s="20"/>
      <x:c r="T258" s="31"/>
      <x:c r="U258" s="30" t="str">
        <x:f>IF(A258="","缺记录编号",IF(COUNTIFS(PathRecords[记录编号],A258)&lt;&gt;1,"记录编号重复",IF(OR(B258="",E258=""),"缺组合/功能",IF(COUNTIFS(Equipment[组合编号],B258)&lt;&gt;1,"组合编号无效",IF(COUNTIFS(FunctionMatrix[编号],E258)=0,"功能编号无效",IF(H258="不适用",IF(J258="已实测","适用性冲突",IF(I258="","待补不适用依据","不适用（非实测）")),IF(J258="阻塞",IF(I258="","待补阻塞原因","阻塞（非实测）"),IF(J258&lt;&gt;"已实测",IF(F258="","待展开路径","未实测"),IF(H258&lt;&gt;"适用","待确认适用性",IF(INDEX(Equipment[登记状态（自动）],MATCH(B258,Equipment[组合编号],0))&lt;&gt;"已登记","待补设备组合",IF(AND(F258&lt;&gt;"",G258&lt;&gt;"",K258&lt;&gt;"",L258&lt;&gt;"",M258&lt;&gt;"",N258&lt;&gt;"",ISNUMBER(O258),O258&gt;0,P258&lt;&gt;""),"记录齐全","待补实测记录")))))))))))</x:f>
        <x:v>待展开路径</x:v>
      </x:c>
    </x:row>
    <x:row r="259" ht="43.5" customHeight="1">
      <x:c r="A259" s="20" t="str">
        <x:v>REC-00250</x:v>
      </x:c>
      <x:c r="B259" s="20" t="str">
        <x:v>P1-B3-01</x:v>
      </x:c>
      <x:c r="C259" s="30" t="str">
        <x:f>IF(B259="","",IF(COUNTIFS(Equipment[组合编号],B259)&lt;&gt;1,"组合编号无效",INDEX(Equipment[PLC组],MATCH(B259,Equipment[组合编号],0))))</x:f>
        <x:v>汇川小型</x:v>
      </x:c>
      <x:c r="D259" s="30" t="str">
        <x:f>IF(B259="","",IF(COUNTIFS(Equipment[组合编号],B259)&lt;&gt;1,"组合编号无效",INDEX(Equipment[驱动品牌],MATCH(B259,Equipment[组合编号],0))))</x:f>
        <x:v>繁易</x:v>
      </x:c>
      <x:c r="E259" s="20" t="str">
        <x:v>H01</x:v>
      </x:c>
      <x:c r="F259" s="20"/>
      <x:c r="G259" s="20"/>
      <x:c r="H259" s="20" t="str">
        <x:v>待判定</x:v>
      </x:c>
      <x:c r="I259" s="20"/>
      <x:c r="J259" s="20" t="str">
        <x:v>未测试</x:v>
      </x:c>
      <x:c r="K259" s="20"/>
      <x:c r="L259" s="20"/>
      <x:c r="M259" s="20"/>
      <x:c r="N259" s="20"/>
      <x:c r="O259" s="31"/>
      <x:c r="P259" s="20"/>
      <x:c r="Q259" s="20"/>
      <x:c r="R259" s="20" t="str">
        <x:v>待展开</x:v>
      </x:c>
      <x:c r="S259" s="20"/>
      <x:c r="T259" s="31"/>
      <x:c r="U259" s="30" t="str">
        <x:f>IF(A259="","缺记录编号",IF(COUNTIFS(PathRecords[记录编号],A259)&lt;&gt;1,"记录编号重复",IF(OR(B259="",E259=""),"缺组合/功能",IF(COUNTIFS(Equipment[组合编号],B259)&lt;&gt;1,"组合编号无效",IF(COUNTIFS(FunctionMatrix[编号],E259)=0,"功能编号无效",IF(H259="不适用",IF(J259="已实测","适用性冲突",IF(I259="","待补不适用依据","不适用（非实测）")),IF(J259="阻塞",IF(I259="","待补阻塞原因","阻塞（非实测）"),IF(J259&lt;&gt;"已实测",IF(F259="","待展开路径","未实测"),IF(H259&lt;&gt;"适用","待确认适用性",IF(INDEX(Equipment[登记状态（自动）],MATCH(B259,Equipment[组合编号],0))&lt;&gt;"已登记","待补设备组合",IF(AND(F259&lt;&gt;"",G259&lt;&gt;"",K259&lt;&gt;"",L259&lt;&gt;"",M259&lt;&gt;"",N259&lt;&gt;"",ISNUMBER(O259),O259&gt;0,P259&lt;&gt;""),"记录齐全","待补实测记录")))))))))))</x:f>
        <x:v>待展开路径</x:v>
      </x:c>
    </x:row>
    <x:row r="260" ht="43.5" customHeight="1">
      <x:c r="A260" s="20" t="str">
        <x:v>REC-00251</x:v>
      </x:c>
      <x:c r="B260" s="20" t="str">
        <x:v>P1-B3-01</x:v>
      </x:c>
      <x:c r="C260" s="30" t="str">
        <x:f>IF(B260="","",IF(COUNTIFS(Equipment[组合编号],B260)&lt;&gt;1,"组合编号无效",INDEX(Equipment[PLC组],MATCH(B260,Equipment[组合编号],0))))</x:f>
        <x:v>汇川小型</x:v>
      </x:c>
      <x:c r="D260" s="30" t="str">
        <x:f>IF(B260="","",IF(COUNTIFS(Equipment[组合编号],B260)&lt;&gt;1,"组合编号无效",INDEX(Equipment[驱动品牌],MATCH(B260,Equipment[组合编号],0))))</x:f>
        <x:v>繁易</x:v>
      </x:c>
      <x:c r="E260" s="20" t="str">
        <x:v>H02</x:v>
      </x:c>
      <x:c r="F260" s="20"/>
      <x:c r="G260" s="20"/>
      <x:c r="H260" s="20" t="str">
        <x:v>待判定</x:v>
      </x:c>
      <x:c r="I260" s="20"/>
      <x:c r="J260" s="20" t="str">
        <x:v>未测试</x:v>
      </x:c>
      <x:c r="K260" s="20"/>
      <x:c r="L260" s="20"/>
      <x:c r="M260" s="20"/>
      <x:c r="N260" s="20"/>
      <x:c r="O260" s="31"/>
      <x:c r="P260" s="20"/>
      <x:c r="Q260" s="20"/>
      <x:c r="R260" s="20" t="str">
        <x:v>待展开</x:v>
      </x:c>
      <x:c r="S260" s="20"/>
      <x:c r="T260" s="31"/>
      <x:c r="U260" s="30" t="str">
        <x:f>IF(A260="","缺记录编号",IF(COUNTIFS(PathRecords[记录编号],A260)&lt;&gt;1,"记录编号重复",IF(OR(B260="",E260=""),"缺组合/功能",IF(COUNTIFS(Equipment[组合编号],B260)&lt;&gt;1,"组合编号无效",IF(COUNTIFS(FunctionMatrix[编号],E260)=0,"功能编号无效",IF(H260="不适用",IF(J260="已实测","适用性冲突",IF(I260="","待补不适用依据","不适用（非实测）")),IF(J260="阻塞",IF(I260="","待补阻塞原因","阻塞（非实测）"),IF(J260&lt;&gt;"已实测",IF(F260="","待展开路径","未实测"),IF(H260&lt;&gt;"适用","待确认适用性",IF(INDEX(Equipment[登记状态（自动）],MATCH(B260,Equipment[组合编号],0))&lt;&gt;"已登记","待补设备组合",IF(AND(F260&lt;&gt;"",G260&lt;&gt;"",K260&lt;&gt;"",L260&lt;&gt;"",M260&lt;&gt;"",N260&lt;&gt;"",ISNUMBER(O260),O260&gt;0,P260&lt;&gt;""),"记录齐全","待补实测记录")))))))))))</x:f>
        <x:v>待展开路径</x:v>
      </x:c>
    </x:row>
    <x:row r="261" ht="43.5" customHeight="1">
      <x:c r="A261" s="20" t="str">
        <x:v>REC-00252</x:v>
      </x:c>
      <x:c r="B261" s="20" t="str">
        <x:v>P1-B3-01</x:v>
      </x:c>
      <x:c r="C261" s="30" t="str">
        <x:f>IF(B261="","",IF(COUNTIFS(Equipment[组合编号],B261)&lt;&gt;1,"组合编号无效",INDEX(Equipment[PLC组],MATCH(B261,Equipment[组合编号],0))))</x:f>
        <x:v>汇川小型</x:v>
      </x:c>
      <x:c r="D261" s="30" t="str">
        <x:f>IF(B261="","",IF(COUNTIFS(Equipment[组合编号],B261)&lt;&gt;1,"组合编号无效",INDEX(Equipment[驱动品牌],MATCH(B261,Equipment[组合编号],0))))</x:f>
        <x:v>繁易</x:v>
      </x:c>
      <x:c r="E261" s="20" t="str">
        <x:v>H03</x:v>
      </x:c>
      <x:c r="F261" s="20"/>
      <x:c r="G261" s="20"/>
      <x:c r="H261" s="20" t="str">
        <x:v>待判定</x:v>
      </x:c>
      <x:c r="I261" s="20"/>
      <x:c r="J261" s="20" t="str">
        <x:v>未测试</x:v>
      </x:c>
      <x:c r="K261" s="20"/>
      <x:c r="L261" s="20"/>
      <x:c r="M261" s="20"/>
      <x:c r="N261" s="20"/>
      <x:c r="O261" s="31"/>
      <x:c r="P261" s="20"/>
      <x:c r="Q261" s="20"/>
      <x:c r="R261" s="20" t="str">
        <x:v>待展开</x:v>
      </x:c>
      <x:c r="S261" s="20"/>
      <x:c r="T261" s="31"/>
      <x:c r="U261" s="30" t="str">
        <x:f>IF(A261="","缺记录编号",IF(COUNTIFS(PathRecords[记录编号],A261)&lt;&gt;1,"记录编号重复",IF(OR(B261="",E261=""),"缺组合/功能",IF(COUNTIFS(Equipment[组合编号],B261)&lt;&gt;1,"组合编号无效",IF(COUNTIFS(FunctionMatrix[编号],E261)=0,"功能编号无效",IF(H261="不适用",IF(J261="已实测","适用性冲突",IF(I261="","待补不适用依据","不适用（非实测）")),IF(J261="阻塞",IF(I261="","待补阻塞原因","阻塞（非实测）"),IF(J261&lt;&gt;"已实测",IF(F261="","待展开路径","未实测"),IF(H261&lt;&gt;"适用","待确认适用性",IF(INDEX(Equipment[登记状态（自动）],MATCH(B261,Equipment[组合编号],0))&lt;&gt;"已登记","待补设备组合",IF(AND(F261&lt;&gt;"",G261&lt;&gt;"",K261&lt;&gt;"",L261&lt;&gt;"",M261&lt;&gt;"",N261&lt;&gt;"",ISNUMBER(O261),O261&gt;0,P261&lt;&gt;""),"记录齐全","待补实测记录")))))))))))</x:f>
        <x:v>待展开路径</x:v>
      </x:c>
    </x:row>
    <x:row r="262" ht="43.5" customHeight="1">
      <x:c r="A262" s="20" t="str">
        <x:v>REC-00253</x:v>
      </x:c>
      <x:c r="B262" s="20" t="str">
        <x:v>P1-B3-01</x:v>
      </x:c>
      <x:c r="C262" s="30" t="str">
        <x:f>IF(B262="","",IF(COUNTIFS(Equipment[组合编号],B262)&lt;&gt;1,"组合编号无效",INDEX(Equipment[PLC组],MATCH(B262,Equipment[组合编号],0))))</x:f>
        <x:v>汇川小型</x:v>
      </x:c>
      <x:c r="D262" s="30" t="str">
        <x:f>IF(B262="","",IF(COUNTIFS(Equipment[组合编号],B262)&lt;&gt;1,"组合编号无效",INDEX(Equipment[驱动品牌],MATCH(B262,Equipment[组合编号],0))))</x:f>
        <x:v>繁易</x:v>
      </x:c>
      <x:c r="E262" s="20" t="str">
        <x:v>H04</x:v>
      </x:c>
      <x:c r="F262" s="20"/>
      <x:c r="G262" s="20"/>
      <x:c r="H262" s="20" t="str">
        <x:v>待判定</x:v>
      </x:c>
      <x:c r="I262" s="20"/>
      <x:c r="J262" s="20" t="str">
        <x:v>未测试</x:v>
      </x:c>
      <x:c r="K262" s="20"/>
      <x:c r="L262" s="20"/>
      <x:c r="M262" s="20"/>
      <x:c r="N262" s="20"/>
      <x:c r="O262" s="31"/>
      <x:c r="P262" s="20"/>
      <x:c r="Q262" s="20"/>
      <x:c r="R262" s="20" t="str">
        <x:v>待展开</x:v>
      </x:c>
      <x:c r="S262" s="20"/>
      <x:c r="T262" s="31"/>
      <x:c r="U262" s="30" t="str">
        <x:f>IF(A262="","缺记录编号",IF(COUNTIFS(PathRecords[记录编号],A262)&lt;&gt;1,"记录编号重复",IF(OR(B262="",E262=""),"缺组合/功能",IF(COUNTIFS(Equipment[组合编号],B262)&lt;&gt;1,"组合编号无效",IF(COUNTIFS(FunctionMatrix[编号],E262)=0,"功能编号无效",IF(H262="不适用",IF(J262="已实测","适用性冲突",IF(I262="","待补不适用依据","不适用（非实测）")),IF(J262="阻塞",IF(I262="","待补阻塞原因","阻塞（非实测）"),IF(J262&lt;&gt;"已实测",IF(F262="","待展开路径","未实测"),IF(H262&lt;&gt;"适用","待确认适用性",IF(INDEX(Equipment[登记状态（自动）],MATCH(B262,Equipment[组合编号],0))&lt;&gt;"已登记","待补设备组合",IF(AND(F262&lt;&gt;"",G262&lt;&gt;"",K262&lt;&gt;"",L262&lt;&gt;"",M262&lt;&gt;"",N262&lt;&gt;"",ISNUMBER(O262),O262&gt;0,P262&lt;&gt;""),"记录齐全","待补实测记录")))))))))))</x:f>
        <x:v>待展开路径</x:v>
      </x:c>
    </x:row>
    <x:row r="263" ht="43.5" customHeight="1">
      <x:c r="A263" s="20" t="str">
        <x:v>REC-00254</x:v>
      </x:c>
      <x:c r="B263" s="20" t="str">
        <x:v>P1-B3-01</x:v>
      </x:c>
      <x:c r="C263" s="30" t="str">
        <x:f>IF(B263="","",IF(COUNTIFS(Equipment[组合编号],B263)&lt;&gt;1,"组合编号无效",INDEX(Equipment[PLC组],MATCH(B263,Equipment[组合编号],0))))</x:f>
        <x:v>汇川小型</x:v>
      </x:c>
      <x:c r="D263" s="30" t="str">
        <x:f>IF(B263="","",IF(COUNTIFS(Equipment[组合编号],B263)&lt;&gt;1,"组合编号无效",INDEX(Equipment[驱动品牌],MATCH(B263,Equipment[组合编号],0))))</x:f>
        <x:v>繁易</x:v>
      </x:c>
      <x:c r="E263" s="20" t="str">
        <x:v>H05</x:v>
      </x:c>
      <x:c r="F263" s="20"/>
      <x:c r="G263" s="20"/>
      <x:c r="H263" s="20" t="str">
        <x:v>待判定</x:v>
      </x:c>
      <x:c r="I263" s="20"/>
      <x:c r="J263" s="20" t="str">
        <x:v>未测试</x:v>
      </x:c>
      <x:c r="K263" s="20"/>
      <x:c r="L263" s="20"/>
      <x:c r="M263" s="20"/>
      <x:c r="N263" s="20"/>
      <x:c r="O263" s="31"/>
      <x:c r="P263" s="20"/>
      <x:c r="Q263" s="20"/>
      <x:c r="R263" s="20" t="str">
        <x:v>待展开</x:v>
      </x:c>
      <x:c r="S263" s="20"/>
      <x:c r="T263" s="31"/>
      <x:c r="U263" s="30" t="str">
        <x:f>IF(A263="","缺记录编号",IF(COUNTIFS(PathRecords[记录编号],A263)&lt;&gt;1,"记录编号重复",IF(OR(B263="",E263=""),"缺组合/功能",IF(COUNTIFS(Equipment[组合编号],B263)&lt;&gt;1,"组合编号无效",IF(COUNTIFS(FunctionMatrix[编号],E263)=0,"功能编号无效",IF(H263="不适用",IF(J263="已实测","适用性冲突",IF(I263="","待补不适用依据","不适用（非实测）")),IF(J263="阻塞",IF(I263="","待补阻塞原因","阻塞（非实测）"),IF(J263&lt;&gt;"已实测",IF(F263="","待展开路径","未实测"),IF(H263&lt;&gt;"适用","待确认适用性",IF(INDEX(Equipment[登记状态（自动）],MATCH(B263,Equipment[组合编号],0))&lt;&gt;"已登记","待补设备组合",IF(AND(F263&lt;&gt;"",G263&lt;&gt;"",K263&lt;&gt;"",L263&lt;&gt;"",M263&lt;&gt;"",N263&lt;&gt;"",ISNUMBER(O263),O263&gt;0,P263&lt;&gt;""),"记录齐全","待补实测记录")))))))))))</x:f>
        <x:v>待展开路径</x:v>
      </x:c>
    </x:row>
    <x:row r="264" ht="43.5" customHeight="1">
      <x:c r="A264" s="20" t="str">
        <x:v>REC-00255</x:v>
      </x:c>
      <x:c r="B264" s="20" t="str">
        <x:v>P1-B3-01</x:v>
      </x:c>
      <x:c r="C264" s="30" t="str">
        <x:f>IF(B264="","",IF(COUNTIFS(Equipment[组合编号],B264)&lt;&gt;1,"组合编号无效",INDEX(Equipment[PLC组],MATCH(B264,Equipment[组合编号],0))))</x:f>
        <x:v>汇川小型</x:v>
      </x:c>
      <x:c r="D264" s="30" t="str">
        <x:f>IF(B264="","",IF(COUNTIFS(Equipment[组合编号],B264)&lt;&gt;1,"组合编号无效",INDEX(Equipment[驱动品牌],MATCH(B264,Equipment[组合编号],0))))</x:f>
        <x:v>繁易</x:v>
      </x:c>
      <x:c r="E264" s="20" t="str">
        <x:v>H06</x:v>
      </x:c>
      <x:c r="F264" s="20"/>
      <x:c r="G264" s="20"/>
      <x:c r="H264" s="20" t="str">
        <x:v>待判定</x:v>
      </x:c>
      <x:c r="I264" s="20"/>
      <x:c r="J264" s="20" t="str">
        <x:v>未测试</x:v>
      </x:c>
      <x:c r="K264" s="20"/>
      <x:c r="L264" s="20"/>
      <x:c r="M264" s="20"/>
      <x:c r="N264" s="20"/>
      <x:c r="O264" s="31"/>
      <x:c r="P264" s="20"/>
      <x:c r="Q264" s="20"/>
      <x:c r="R264" s="20" t="str">
        <x:v>待展开</x:v>
      </x:c>
      <x:c r="S264" s="20"/>
      <x:c r="T264" s="31"/>
      <x:c r="U264" s="30" t="str">
        <x:f>IF(A264="","缺记录编号",IF(COUNTIFS(PathRecords[记录编号],A264)&lt;&gt;1,"记录编号重复",IF(OR(B264="",E264=""),"缺组合/功能",IF(COUNTIFS(Equipment[组合编号],B264)&lt;&gt;1,"组合编号无效",IF(COUNTIFS(FunctionMatrix[编号],E264)=0,"功能编号无效",IF(H264="不适用",IF(J264="已实测","适用性冲突",IF(I264="","待补不适用依据","不适用（非实测）")),IF(J264="阻塞",IF(I264="","待补阻塞原因","阻塞（非实测）"),IF(J264&lt;&gt;"已实测",IF(F264="","待展开路径","未实测"),IF(H264&lt;&gt;"适用","待确认适用性",IF(INDEX(Equipment[登记状态（自动）],MATCH(B264,Equipment[组合编号],0))&lt;&gt;"已登记","待补设备组合",IF(AND(F264&lt;&gt;"",G264&lt;&gt;"",K264&lt;&gt;"",L264&lt;&gt;"",M264&lt;&gt;"",N264&lt;&gt;"",ISNUMBER(O264),O264&gt;0,P264&lt;&gt;""),"记录齐全","待补实测记录")))))))))))</x:f>
        <x:v>待展开路径</x:v>
      </x:c>
    </x:row>
    <x:row r="265" ht="43.5" customHeight="1">
      <x:c r="A265" s="20" t="str">
        <x:v>REC-00256</x:v>
      </x:c>
      <x:c r="B265" s="20" t="str">
        <x:v>P1-B3-01</x:v>
      </x:c>
      <x:c r="C265" s="30" t="str">
        <x:f>IF(B265="","",IF(COUNTIFS(Equipment[组合编号],B265)&lt;&gt;1,"组合编号无效",INDEX(Equipment[PLC组],MATCH(B265,Equipment[组合编号],0))))</x:f>
        <x:v>汇川小型</x:v>
      </x:c>
      <x:c r="D265" s="30" t="str">
        <x:f>IF(B265="","",IF(COUNTIFS(Equipment[组合编号],B265)&lt;&gt;1,"组合编号无效",INDEX(Equipment[驱动品牌],MATCH(B265,Equipment[组合编号],0))))</x:f>
        <x:v>繁易</x:v>
      </x:c>
      <x:c r="E265" s="20" t="str">
        <x:v>H07</x:v>
      </x:c>
      <x:c r="F265" s="20"/>
      <x:c r="G265" s="20"/>
      <x:c r="H265" s="20" t="str">
        <x:v>待判定</x:v>
      </x:c>
      <x:c r="I265" s="20"/>
      <x:c r="J265" s="20" t="str">
        <x:v>未测试</x:v>
      </x:c>
      <x:c r="K265" s="20"/>
      <x:c r="L265" s="20"/>
      <x:c r="M265" s="20"/>
      <x:c r="N265" s="20"/>
      <x:c r="O265" s="31"/>
      <x:c r="P265" s="20"/>
      <x:c r="Q265" s="20"/>
      <x:c r="R265" s="20" t="str">
        <x:v>待展开</x:v>
      </x:c>
      <x:c r="S265" s="20"/>
      <x:c r="T265" s="31"/>
      <x:c r="U265" s="30" t="str">
        <x:f>IF(A265="","缺记录编号",IF(COUNTIFS(PathRecords[记录编号],A265)&lt;&gt;1,"记录编号重复",IF(OR(B265="",E265=""),"缺组合/功能",IF(COUNTIFS(Equipment[组合编号],B265)&lt;&gt;1,"组合编号无效",IF(COUNTIFS(FunctionMatrix[编号],E265)=0,"功能编号无效",IF(H265="不适用",IF(J265="已实测","适用性冲突",IF(I265="","待补不适用依据","不适用（非实测）")),IF(J265="阻塞",IF(I265="","待补阻塞原因","阻塞（非实测）"),IF(J265&lt;&gt;"已实测",IF(F265="","待展开路径","未实测"),IF(H265&lt;&gt;"适用","待确认适用性",IF(INDEX(Equipment[登记状态（自动）],MATCH(B265,Equipment[组合编号],0))&lt;&gt;"已登记","待补设备组合",IF(AND(F265&lt;&gt;"",G265&lt;&gt;"",K265&lt;&gt;"",L265&lt;&gt;"",M265&lt;&gt;"",N265&lt;&gt;"",ISNUMBER(O265),O265&gt;0,P265&lt;&gt;""),"记录齐全","待补实测记录")))))))))))</x:f>
        <x:v>待展开路径</x:v>
      </x:c>
    </x:row>
    <x:row r="266" ht="43.5" customHeight="1">
      <x:c r="A266" s="20" t="str">
        <x:v>REC-00257</x:v>
      </x:c>
      <x:c r="B266" s="20" t="str">
        <x:v>P1-B3-01</x:v>
      </x:c>
      <x:c r="C266" s="30" t="str">
        <x:f>IF(B266="","",IF(COUNTIFS(Equipment[组合编号],B266)&lt;&gt;1,"组合编号无效",INDEX(Equipment[PLC组],MATCH(B266,Equipment[组合编号],0))))</x:f>
        <x:v>汇川小型</x:v>
      </x:c>
      <x:c r="D266" s="30" t="str">
        <x:f>IF(B266="","",IF(COUNTIFS(Equipment[组合编号],B266)&lt;&gt;1,"组合编号无效",INDEX(Equipment[驱动品牌],MATCH(B266,Equipment[组合编号],0))))</x:f>
        <x:v>繁易</x:v>
      </x:c>
      <x:c r="E266" s="20" t="str">
        <x:v>H08</x:v>
      </x:c>
      <x:c r="F266" s="20"/>
      <x:c r="G266" s="20"/>
      <x:c r="H266" s="20" t="str">
        <x:v>待判定</x:v>
      </x:c>
      <x:c r="I266" s="20"/>
      <x:c r="J266" s="20" t="str">
        <x:v>未测试</x:v>
      </x:c>
      <x:c r="K266" s="20"/>
      <x:c r="L266" s="20"/>
      <x:c r="M266" s="20"/>
      <x:c r="N266" s="20"/>
      <x:c r="O266" s="31"/>
      <x:c r="P266" s="20"/>
      <x:c r="Q266" s="20"/>
      <x:c r="R266" s="20" t="str">
        <x:v>待展开</x:v>
      </x:c>
      <x:c r="S266" s="20"/>
      <x:c r="T266" s="31"/>
      <x:c r="U266" s="30" t="str">
        <x:f>IF(A266="","缺记录编号",IF(COUNTIFS(PathRecords[记录编号],A266)&lt;&gt;1,"记录编号重复",IF(OR(B266="",E266=""),"缺组合/功能",IF(COUNTIFS(Equipment[组合编号],B266)&lt;&gt;1,"组合编号无效",IF(COUNTIFS(FunctionMatrix[编号],E266)=0,"功能编号无效",IF(H266="不适用",IF(J266="已实测","适用性冲突",IF(I266="","待补不适用依据","不适用（非实测）")),IF(J266="阻塞",IF(I266="","待补阻塞原因","阻塞（非实测）"),IF(J266&lt;&gt;"已实测",IF(F266="","待展开路径","未实测"),IF(H266&lt;&gt;"适用","待确认适用性",IF(INDEX(Equipment[登记状态（自动）],MATCH(B266,Equipment[组合编号],0))&lt;&gt;"已登记","待补设备组合",IF(AND(F266&lt;&gt;"",G266&lt;&gt;"",K266&lt;&gt;"",L266&lt;&gt;"",M266&lt;&gt;"",N266&lt;&gt;"",ISNUMBER(O266),O266&gt;0,P266&lt;&gt;""),"记录齐全","待补实测记录")))))))))))</x:f>
        <x:v>待展开路径</x:v>
      </x:c>
    </x:row>
    <x:row r="267" ht="43.5" customHeight="1">
      <x:c r="A267" s="20" t="str">
        <x:v>REC-00258</x:v>
      </x:c>
      <x:c r="B267" s="20" t="str">
        <x:v>P1-B3-01</x:v>
      </x:c>
      <x:c r="C267" s="30" t="str">
        <x:f>IF(B267="","",IF(COUNTIFS(Equipment[组合编号],B267)&lt;&gt;1,"组合编号无效",INDEX(Equipment[PLC组],MATCH(B267,Equipment[组合编号],0))))</x:f>
        <x:v>汇川小型</x:v>
      </x:c>
      <x:c r="D267" s="30" t="str">
        <x:f>IF(B267="","",IF(COUNTIFS(Equipment[组合编号],B267)&lt;&gt;1,"组合编号无效",INDEX(Equipment[驱动品牌],MATCH(B267,Equipment[组合编号],0))))</x:f>
        <x:v>繁易</x:v>
      </x:c>
      <x:c r="E267" s="20" t="str">
        <x:v>H09</x:v>
      </x:c>
      <x:c r="F267" s="20"/>
      <x:c r="G267" s="20"/>
      <x:c r="H267" s="20" t="str">
        <x:v>待判定</x:v>
      </x:c>
      <x:c r="I267" s="20"/>
      <x:c r="J267" s="20" t="str">
        <x:v>未测试</x:v>
      </x:c>
      <x:c r="K267" s="20"/>
      <x:c r="L267" s="20"/>
      <x:c r="M267" s="20"/>
      <x:c r="N267" s="20"/>
      <x:c r="O267" s="31"/>
      <x:c r="P267" s="20"/>
      <x:c r="Q267" s="20"/>
      <x:c r="R267" s="20" t="str">
        <x:v>待展开</x:v>
      </x:c>
      <x:c r="S267" s="20"/>
      <x:c r="T267" s="31"/>
      <x:c r="U267" s="30" t="str">
        <x:f>IF(A267="","缺记录编号",IF(COUNTIFS(PathRecords[记录编号],A267)&lt;&gt;1,"记录编号重复",IF(OR(B267="",E267=""),"缺组合/功能",IF(COUNTIFS(Equipment[组合编号],B267)&lt;&gt;1,"组合编号无效",IF(COUNTIFS(FunctionMatrix[编号],E267)=0,"功能编号无效",IF(H267="不适用",IF(J267="已实测","适用性冲突",IF(I267="","待补不适用依据","不适用（非实测）")),IF(J267="阻塞",IF(I267="","待补阻塞原因","阻塞（非实测）"),IF(J267&lt;&gt;"已实测",IF(F267="","待展开路径","未实测"),IF(H267&lt;&gt;"适用","待确认适用性",IF(INDEX(Equipment[登记状态（自动）],MATCH(B267,Equipment[组合编号],0))&lt;&gt;"已登记","待补设备组合",IF(AND(F267&lt;&gt;"",G267&lt;&gt;"",K267&lt;&gt;"",L267&lt;&gt;"",M267&lt;&gt;"",N267&lt;&gt;"",ISNUMBER(O267),O267&gt;0,P267&lt;&gt;""),"记录齐全","待补实测记录")))))))))))</x:f>
        <x:v>待展开路径</x:v>
      </x:c>
    </x:row>
    <x:row r="268" ht="43.5" customHeight="1">
      <x:c r="A268" s="20" t="str">
        <x:v>REC-00259</x:v>
      </x:c>
      <x:c r="B268" s="20" t="str">
        <x:v>P1-B3-01</x:v>
      </x:c>
      <x:c r="C268" s="30" t="str">
        <x:f>IF(B268="","",IF(COUNTIFS(Equipment[组合编号],B268)&lt;&gt;1,"组合编号无效",INDEX(Equipment[PLC组],MATCH(B268,Equipment[组合编号],0))))</x:f>
        <x:v>汇川小型</x:v>
      </x:c>
      <x:c r="D268" s="30" t="str">
        <x:f>IF(B268="","",IF(COUNTIFS(Equipment[组合编号],B268)&lt;&gt;1,"组合编号无效",INDEX(Equipment[驱动品牌],MATCH(B268,Equipment[组合编号],0))))</x:f>
        <x:v>繁易</x:v>
      </x:c>
      <x:c r="E268" s="20" t="str">
        <x:v>H10</x:v>
      </x:c>
      <x:c r="F268" s="20"/>
      <x:c r="G268" s="20"/>
      <x:c r="H268" s="20" t="str">
        <x:v>待判定</x:v>
      </x:c>
      <x:c r="I268" s="20"/>
      <x:c r="J268" s="20" t="str">
        <x:v>未测试</x:v>
      </x:c>
      <x:c r="K268" s="20"/>
      <x:c r="L268" s="20"/>
      <x:c r="M268" s="20"/>
      <x:c r="N268" s="20"/>
      <x:c r="O268" s="31"/>
      <x:c r="P268" s="20"/>
      <x:c r="Q268" s="20"/>
      <x:c r="R268" s="20" t="str">
        <x:v>待展开</x:v>
      </x:c>
      <x:c r="S268" s="20"/>
      <x:c r="T268" s="31"/>
      <x:c r="U268" s="30" t="str">
        <x:f>IF(A268="","缺记录编号",IF(COUNTIFS(PathRecords[记录编号],A268)&lt;&gt;1,"记录编号重复",IF(OR(B268="",E268=""),"缺组合/功能",IF(COUNTIFS(Equipment[组合编号],B268)&lt;&gt;1,"组合编号无效",IF(COUNTIFS(FunctionMatrix[编号],E268)=0,"功能编号无效",IF(H268="不适用",IF(J268="已实测","适用性冲突",IF(I268="","待补不适用依据","不适用（非实测）")),IF(J268="阻塞",IF(I268="","待补阻塞原因","阻塞（非实测）"),IF(J268&lt;&gt;"已实测",IF(F268="","待展开路径","未实测"),IF(H268&lt;&gt;"适用","待确认适用性",IF(INDEX(Equipment[登记状态（自动）],MATCH(B268,Equipment[组合编号],0))&lt;&gt;"已登记","待补设备组合",IF(AND(F268&lt;&gt;"",G268&lt;&gt;"",K268&lt;&gt;"",L268&lt;&gt;"",M268&lt;&gt;"",N268&lt;&gt;"",ISNUMBER(O268),O268&gt;0,P268&lt;&gt;""),"记录齐全","待补实测记录")))))))))))</x:f>
        <x:v>待展开路径</x:v>
      </x:c>
    </x:row>
    <x:row r="269" ht="43.5" customHeight="1">
      <x:c r="A269" s="20" t="str">
        <x:v>REC-00260</x:v>
      </x:c>
      <x:c r="B269" s="20" t="str">
        <x:v>P1-B3-01</x:v>
      </x:c>
      <x:c r="C269" s="30" t="str">
        <x:f>IF(B269="","",IF(COUNTIFS(Equipment[组合编号],B269)&lt;&gt;1,"组合编号无效",INDEX(Equipment[PLC组],MATCH(B269,Equipment[组合编号],0))))</x:f>
        <x:v>汇川小型</x:v>
      </x:c>
      <x:c r="D269" s="30" t="str">
        <x:f>IF(B269="","",IF(COUNTIFS(Equipment[组合编号],B269)&lt;&gt;1,"组合编号无效",INDEX(Equipment[驱动品牌],MATCH(B269,Equipment[组合编号],0))))</x:f>
        <x:v>繁易</x:v>
      </x:c>
      <x:c r="E269" s="20" t="str">
        <x:v>H11</x:v>
      </x:c>
      <x:c r="F269" s="20"/>
      <x:c r="G269" s="20"/>
      <x:c r="H269" s="20" t="str">
        <x:v>待判定</x:v>
      </x:c>
      <x:c r="I269" s="20"/>
      <x:c r="J269" s="20" t="str">
        <x:v>未测试</x:v>
      </x:c>
      <x:c r="K269" s="20"/>
      <x:c r="L269" s="20"/>
      <x:c r="M269" s="20"/>
      <x:c r="N269" s="20"/>
      <x:c r="O269" s="31"/>
      <x:c r="P269" s="20"/>
      <x:c r="Q269" s="20"/>
      <x:c r="R269" s="20" t="str">
        <x:v>待展开</x:v>
      </x:c>
      <x:c r="S269" s="20"/>
      <x:c r="T269" s="31"/>
      <x:c r="U269" s="30" t="str">
        <x:f>IF(A269="","缺记录编号",IF(COUNTIFS(PathRecords[记录编号],A269)&lt;&gt;1,"记录编号重复",IF(OR(B269="",E269=""),"缺组合/功能",IF(COUNTIFS(Equipment[组合编号],B269)&lt;&gt;1,"组合编号无效",IF(COUNTIFS(FunctionMatrix[编号],E269)=0,"功能编号无效",IF(H269="不适用",IF(J269="已实测","适用性冲突",IF(I269="","待补不适用依据","不适用（非实测）")),IF(J269="阻塞",IF(I269="","待补阻塞原因","阻塞（非实测）"),IF(J269&lt;&gt;"已实测",IF(F269="","待展开路径","未实测"),IF(H269&lt;&gt;"适用","待确认适用性",IF(INDEX(Equipment[登记状态（自动）],MATCH(B269,Equipment[组合编号],0))&lt;&gt;"已登记","待补设备组合",IF(AND(F269&lt;&gt;"",G269&lt;&gt;"",K269&lt;&gt;"",L269&lt;&gt;"",M269&lt;&gt;"",N269&lt;&gt;"",ISNUMBER(O269),O269&gt;0,P269&lt;&gt;""),"记录齐全","待补实测记录")))))))))))</x:f>
        <x:v>待展开路径</x:v>
      </x:c>
    </x:row>
    <x:row r="270" ht="43.5" customHeight="1">
      <x:c r="A270" s="20" t="str">
        <x:v>REC-00261</x:v>
      </x:c>
      <x:c r="B270" s="20" t="str">
        <x:v>P1-B3-01</x:v>
      </x:c>
      <x:c r="C270" s="30" t="str">
        <x:f>IF(B270="","",IF(COUNTIFS(Equipment[组合编号],B270)&lt;&gt;1,"组合编号无效",INDEX(Equipment[PLC组],MATCH(B270,Equipment[组合编号],0))))</x:f>
        <x:v>汇川小型</x:v>
      </x:c>
      <x:c r="D270" s="30" t="str">
        <x:f>IF(B270="","",IF(COUNTIFS(Equipment[组合编号],B270)&lt;&gt;1,"组合编号无效",INDEX(Equipment[驱动品牌],MATCH(B270,Equipment[组合编号],0))))</x:f>
        <x:v>繁易</x:v>
      </x:c>
      <x:c r="E270" s="20" t="str">
        <x:v>N01</x:v>
      </x:c>
      <x:c r="F270" s="20"/>
      <x:c r="G270" s="20"/>
      <x:c r="H270" s="20" t="str">
        <x:v>待判定</x:v>
      </x:c>
      <x:c r="I270" s="20"/>
      <x:c r="J270" s="20" t="str">
        <x:v>未测试</x:v>
      </x:c>
      <x:c r="K270" s="20"/>
      <x:c r="L270" s="20"/>
      <x:c r="M270" s="20"/>
      <x:c r="N270" s="20"/>
      <x:c r="O270" s="31"/>
      <x:c r="P270" s="20"/>
      <x:c r="Q270" s="20"/>
      <x:c r="R270" s="20" t="str">
        <x:v>待展开</x:v>
      </x:c>
      <x:c r="S270" s="20"/>
      <x:c r="T270" s="31"/>
      <x:c r="U270" s="30" t="str">
        <x:f>IF(A270="","缺记录编号",IF(COUNTIFS(PathRecords[记录编号],A270)&lt;&gt;1,"记录编号重复",IF(OR(B270="",E270=""),"缺组合/功能",IF(COUNTIFS(Equipment[组合编号],B270)&lt;&gt;1,"组合编号无效",IF(COUNTIFS(FunctionMatrix[编号],E270)=0,"功能编号无效",IF(H270="不适用",IF(J270="已实测","适用性冲突",IF(I270="","待补不适用依据","不适用（非实测）")),IF(J270="阻塞",IF(I270="","待补阻塞原因","阻塞（非实测）"),IF(J270&lt;&gt;"已实测",IF(F270="","待展开路径","未实测"),IF(H270&lt;&gt;"适用","待确认适用性",IF(INDEX(Equipment[登记状态（自动）],MATCH(B270,Equipment[组合编号],0))&lt;&gt;"已登记","待补设备组合",IF(AND(F270&lt;&gt;"",G270&lt;&gt;"",K270&lt;&gt;"",L270&lt;&gt;"",M270&lt;&gt;"",N270&lt;&gt;"",ISNUMBER(O270),O270&gt;0,P270&lt;&gt;""),"记录齐全","待补实测记录")))))))))))</x:f>
        <x:v>待展开路径</x:v>
      </x:c>
    </x:row>
    <x:row r="271" ht="43.5" customHeight="1">
      <x:c r="A271" s="20" t="str">
        <x:v>REC-00262</x:v>
      </x:c>
      <x:c r="B271" s="20" t="str">
        <x:v>P1-B3-01</x:v>
      </x:c>
      <x:c r="C271" s="30" t="str">
        <x:f>IF(B271="","",IF(COUNTIFS(Equipment[组合编号],B271)&lt;&gt;1,"组合编号无效",INDEX(Equipment[PLC组],MATCH(B271,Equipment[组合编号],0))))</x:f>
        <x:v>汇川小型</x:v>
      </x:c>
      <x:c r="D271" s="30" t="str">
        <x:f>IF(B271="","",IF(COUNTIFS(Equipment[组合编号],B271)&lt;&gt;1,"组合编号无效",INDEX(Equipment[驱动品牌],MATCH(B271,Equipment[组合编号],0))))</x:f>
        <x:v>繁易</x:v>
      </x:c>
      <x:c r="E271" s="20" t="str">
        <x:v>N02</x:v>
      </x:c>
      <x:c r="F271" s="20"/>
      <x:c r="G271" s="20"/>
      <x:c r="H271" s="20" t="str">
        <x:v>待判定</x:v>
      </x:c>
      <x:c r="I271" s="20"/>
      <x:c r="J271" s="20" t="str">
        <x:v>未测试</x:v>
      </x:c>
      <x:c r="K271" s="20"/>
      <x:c r="L271" s="20"/>
      <x:c r="M271" s="20"/>
      <x:c r="N271" s="20"/>
      <x:c r="O271" s="31"/>
      <x:c r="P271" s="20"/>
      <x:c r="Q271" s="20"/>
      <x:c r="R271" s="20" t="str">
        <x:v>待展开</x:v>
      </x:c>
      <x:c r="S271" s="20"/>
      <x:c r="T271" s="31"/>
      <x:c r="U271" s="30" t="str">
        <x:f>IF(A271="","缺记录编号",IF(COUNTIFS(PathRecords[记录编号],A271)&lt;&gt;1,"记录编号重复",IF(OR(B271="",E271=""),"缺组合/功能",IF(COUNTIFS(Equipment[组合编号],B271)&lt;&gt;1,"组合编号无效",IF(COUNTIFS(FunctionMatrix[编号],E271)=0,"功能编号无效",IF(H271="不适用",IF(J271="已实测","适用性冲突",IF(I271="","待补不适用依据","不适用（非实测）")),IF(J271="阻塞",IF(I271="","待补阻塞原因","阻塞（非实测）"),IF(J271&lt;&gt;"已实测",IF(F271="","待展开路径","未实测"),IF(H271&lt;&gt;"适用","待确认适用性",IF(INDEX(Equipment[登记状态（自动）],MATCH(B271,Equipment[组合编号],0))&lt;&gt;"已登记","待补设备组合",IF(AND(F271&lt;&gt;"",G271&lt;&gt;"",K271&lt;&gt;"",L271&lt;&gt;"",M271&lt;&gt;"",N271&lt;&gt;"",ISNUMBER(O271),O271&gt;0,P271&lt;&gt;""),"记录齐全","待补实测记录")))))))))))</x:f>
        <x:v>待展开路径</x:v>
      </x:c>
    </x:row>
    <x:row r="272" ht="43.5" customHeight="1">
      <x:c r="A272" s="20" t="str">
        <x:v>REC-00263</x:v>
      </x:c>
      <x:c r="B272" s="20" t="str">
        <x:v>P1-B3-01</x:v>
      </x:c>
      <x:c r="C272" s="30" t="str">
        <x:f>IF(B272="","",IF(COUNTIFS(Equipment[组合编号],B272)&lt;&gt;1,"组合编号无效",INDEX(Equipment[PLC组],MATCH(B272,Equipment[组合编号],0))))</x:f>
        <x:v>汇川小型</x:v>
      </x:c>
      <x:c r="D272" s="30" t="str">
        <x:f>IF(B272="","",IF(COUNTIFS(Equipment[组合编号],B272)&lt;&gt;1,"组合编号无效",INDEX(Equipment[驱动品牌],MATCH(B272,Equipment[组合编号],0))))</x:f>
        <x:v>繁易</x:v>
      </x:c>
      <x:c r="E272" s="20" t="str">
        <x:v>N03</x:v>
      </x:c>
      <x:c r="F272" s="20"/>
      <x:c r="G272" s="20"/>
      <x:c r="H272" s="20" t="str">
        <x:v>待判定</x:v>
      </x:c>
      <x:c r="I272" s="20"/>
      <x:c r="J272" s="20" t="str">
        <x:v>未测试</x:v>
      </x:c>
      <x:c r="K272" s="20"/>
      <x:c r="L272" s="20"/>
      <x:c r="M272" s="20"/>
      <x:c r="N272" s="20"/>
      <x:c r="O272" s="31"/>
      <x:c r="P272" s="20"/>
      <x:c r="Q272" s="20"/>
      <x:c r="R272" s="20" t="str">
        <x:v>待展开</x:v>
      </x:c>
      <x:c r="S272" s="20"/>
      <x:c r="T272" s="31"/>
      <x:c r="U272" s="30" t="str">
        <x:f>IF(A272="","缺记录编号",IF(COUNTIFS(PathRecords[记录编号],A272)&lt;&gt;1,"记录编号重复",IF(OR(B272="",E272=""),"缺组合/功能",IF(COUNTIFS(Equipment[组合编号],B272)&lt;&gt;1,"组合编号无效",IF(COUNTIFS(FunctionMatrix[编号],E272)=0,"功能编号无效",IF(H272="不适用",IF(J272="已实测","适用性冲突",IF(I272="","待补不适用依据","不适用（非实测）")),IF(J272="阻塞",IF(I272="","待补阻塞原因","阻塞（非实测）"),IF(J272&lt;&gt;"已实测",IF(F272="","待展开路径","未实测"),IF(H272&lt;&gt;"适用","待确认适用性",IF(INDEX(Equipment[登记状态（自动）],MATCH(B272,Equipment[组合编号],0))&lt;&gt;"已登记","待补设备组合",IF(AND(F272&lt;&gt;"",G272&lt;&gt;"",K272&lt;&gt;"",L272&lt;&gt;"",M272&lt;&gt;"",N272&lt;&gt;"",ISNUMBER(O272),O272&gt;0,P272&lt;&gt;""),"记录齐全","待补实测记录")))))))))))</x:f>
        <x:v>待展开路径</x:v>
      </x:c>
    </x:row>
    <x:row r="273" ht="43.5" customHeight="1">
      <x:c r="A273" s="20" t="str">
        <x:v>REC-00264</x:v>
      </x:c>
      <x:c r="B273" s="20" t="str">
        <x:v>P1-B3-01</x:v>
      </x:c>
      <x:c r="C273" s="30" t="str">
        <x:f>IF(B273="","",IF(COUNTIFS(Equipment[组合编号],B273)&lt;&gt;1,"组合编号无效",INDEX(Equipment[PLC组],MATCH(B273,Equipment[组合编号],0))))</x:f>
        <x:v>汇川小型</x:v>
      </x:c>
      <x:c r="D273" s="30" t="str">
        <x:f>IF(B273="","",IF(COUNTIFS(Equipment[组合编号],B273)&lt;&gt;1,"组合编号无效",INDEX(Equipment[驱动品牌],MATCH(B273,Equipment[组合编号],0))))</x:f>
        <x:v>繁易</x:v>
      </x:c>
      <x:c r="E273" s="20" t="str">
        <x:v>N04</x:v>
      </x:c>
      <x:c r="F273" s="20"/>
      <x:c r="G273" s="20"/>
      <x:c r="H273" s="20" t="str">
        <x:v>待判定</x:v>
      </x:c>
      <x:c r="I273" s="20"/>
      <x:c r="J273" s="20" t="str">
        <x:v>未测试</x:v>
      </x:c>
      <x:c r="K273" s="20"/>
      <x:c r="L273" s="20"/>
      <x:c r="M273" s="20"/>
      <x:c r="N273" s="20"/>
      <x:c r="O273" s="31"/>
      <x:c r="P273" s="20"/>
      <x:c r="Q273" s="20"/>
      <x:c r="R273" s="20" t="str">
        <x:v>待展开</x:v>
      </x:c>
      <x:c r="S273" s="20"/>
      <x:c r="T273" s="31"/>
      <x:c r="U273" s="30" t="str">
        <x:f>IF(A273="","缺记录编号",IF(COUNTIFS(PathRecords[记录编号],A273)&lt;&gt;1,"记录编号重复",IF(OR(B273="",E273=""),"缺组合/功能",IF(COUNTIFS(Equipment[组合编号],B273)&lt;&gt;1,"组合编号无效",IF(COUNTIFS(FunctionMatrix[编号],E273)=0,"功能编号无效",IF(H273="不适用",IF(J273="已实测","适用性冲突",IF(I273="","待补不适用依据","不适用（非实测）")),IF(J273="阻塞",IF(I273="","待补阻塞原因","阻塞（非实测）"),IF(J273&lt;&gt;"已实测",IF(F273="","待展开路径","未实测"),IF(H273&lt;&gt;"适用","待确认适用性",IF(INDEX(Equipment[登记状态（自动）],MATCH(B273,Equipment[组合编号],0))&lt;&gt;"已登记","待补设备组合",IF(AND(F273&lt;&gt;"",G273&lt;&gt;"",K273&lt;&gt;"",L273&lt;&gt;"",M273&lt;&gt;"",N273&lt;&gt;"",ISNUMBER(O273),O273&gt;0,P273&lt;&gt;""),"记录齐全","待补实测记录")))))))))))</x:f>
        <x:v>待展开路径</x:v>
      </x:c>
    </x:row>
    <x:row r="274" ht="43.5" customHeight="1">
      <x:c r="A274" s="20" t="str">
        <x:v>REC-00265</x:v>
      </x:c>
      <x:c r="B274" s="20" t="str">
        <x:v>P1-B3-01</x:v>
      </x:c>
      <x:c r="C274" s="30" t="str">
        <x:f>IF(B274="","",IF(COUNTIFS(Equipment[组合编号],B274)&lt;&gt;1,"组合编号无效",INDEX(Equipment[PLC组],MATCH(B274,Equipment[组合编号],0))))</x:f>
        <x:v>汇川小型</x:v>
      </x:c>
      <x:c r="D274" s="30" t="str">
        <x:f>IF(B274="","",IF(COUNTIFS(Equipment[组合编号],B274)&lt;&gt;1,"组合编号无效",INDEX(Equipment[驱动品牌],MATCH(B274,Equipment[组合编号],0))))</x:f>
        <x:v>繁易</x:v>
      </x:c>
      <x:c r="E274" s="20" t="str">
        <x:v>N05</x:v>
      </x:c>
      <x:c r="F274" s="20"/>
      <x:c r="G274" s="20"/>
      <x:c r="H274" s="20" t="str">
        <x:v>待判定</x:v>
      </x:c>
      <x:c r="I274" s="20"/>
      <x:c r="J274" s="20" t="str">
        <x:v>未测试</x:v>
      </x:c>
      <x:c r="K274" s="20"/>
      <x:c r="L274" s="20"/>
      <x:c r="M274" s="20"/>
      <x:c r="N274" s="20"/>
      <x:c r="O274" s="31"/>
      <x:c r="P274" s="20"/>
      <x:c r="Q274" s="20"/>
      <x:c r="R274" s="20" t="str">
        <x:v>待展开</x:v>
      </x:c>
      <x:c r="S274" s="20"/>
      <x:c r="T274" s="31"/>
      <x:c r="U274" s="30" t="str">
        <x:f>IF(A274="","缺记录编号",IF(COUNTIFS(PathRecords[记录编号],A274)&lt;&gt;1,"记录编号重复",IF(OR(B274="",E274=""),"缺组合/功能",IF(COUNTIFS(Equipment[组合编号],B274)&lt;&gt;1,"组合编号无效",IF(COUNTIFS(FunctionMatrix[编号],E274)=0,"功能编号无效",IF(H274="不适用",IF(J274="已实测","适用性冲突",IF(I274="","待补不适用依据","不适用（非实测）")),IF(J274="阻塞",IF(I274="","待补阻塞原因","阻塞（非实测）"),IF(J274&lt;&gt;"已实测",IF(F274="","待展开路径","未实测"),IF(H274&lt;&gt;"适用","待确认适用性",IF(INDEX(Equipment[登记状态（自动）],MATCH(B274,Equipment[组合编号],0))&lt;&gt;"已登记","待补设备组合",IF(AND(F274&lt;&gt;"",G274&lt;&gt;"",K274&lt;&gt;"",L274&lt;&gt;"",M274&lt;&gt;"",N274&lt;&gt;"",ISNUMBER(O274),O274&gt;0,P274&lt;&gt;""),"记录齐全","待补实测记录")))))))))))</x:f>
        <x:v>待展开路径</x:v>
      </x:c>
    </x:row>
    <x:row r="275" ht="43.5" customHeight="1">
      <x:c r="A275" s="20" t="str">
        <x:v>REC-00266</x:v>
      </x:c>
      <x:c r="B275" s="20" t="str">
        <x:v>P1-B3-01</x:v>
      </x:c>
      <x:c r="C275" s="30" t="str">
        <x:f>IF(B275="","",IF(COUNTIFS(Equipment[组合编号],B275)&lt;&gt;1,"组合编号无效",INDEX(Equipment[PLC组],MATCH(B275,Equipment[组合编号],0))))</x:f>
        <x:v>汇川小型</x:v>
      </x:c>
      <x:c r="D275" s="30" t="str">
        <x:f>IF(B275="","",IF(COUNTIFS(Equipment[组合编号],B275)&lt;&gt;1,"组合编号无效",INDEX(Equipment[驱动品牌],MATCH(B275,Equipment[组合编号],0))))</x:f>
        <x:v>繁易</x:v>
      </x:c>
      <x:c r="E275" s="20" t="str">
        <x:v>N06</x:v>
      </x:c>
      <x:c r="F275" s="20"/>
      <x:c r="G275" s="20"/>
      <x:c r="H275" s="20" t="str">
        <x:v>待判定</x:v>
      </x:c>
      <x:c r="I275" s="20"/>
      <x:c r="J275" s="20" t="str">
        <x:v>未测试</x:v>
      </x:c>
      <x:c r="K275" s="20"/>
      <x:c r="L275" s="20"/>
      <x:c r="M275" s="20"/>
      <x:c r="N275" s="20"/>
      <x:c r="O275" s="31"/>
      <x:c r="P275" s="20"/>
      <x:c r="Q275" s="20"/>
      <x:c r="R275" s="20" t="str">
        <x:v>待展开</x:v>
      </x:c>
      <x:c r="S275" s="20"/>
      <x:c r="T275" s="31"/>
      <x:c r="U275" s="30" t="str">
        <x:f>IF(A275="","缺记录编号",IF(COUNTIFS(PathRecords[记录编号],A275)&lt;&gt;1,"记录编号重复",IF(OR(B275="",E275=""),"缺组合/功能",IF(COUNTIFS(Equipment[组合编号],B275)&lt;&gt;1,"组合编号无效",IF(COUNTIFS(FunctionMatrix[编号],E275)=0,"功能编号无效",IF(H275="不适用",IF(J275="已实测","适用性冲突",IF(I275="","待补不适用依据","不适用（非实测）")),IF(J275="阻塞",IF(I275="","待补阻塞原因","阻塞（非实测）"),IF(J275&lt;&gt;"已实测",IF(F275="","待展开路径","未实测"),IF(H275&lt;&gt;"适用","待确认适用性",IF(INDEX(Equipment[登记状态（自动）],MATCH(B275,Equipment[组合编号],0))&lt;&gt;"已登记","待补设备组合",IF(AND(F275&lt;&gt;"",G275&lt;&gt;"",K275&lt;&gt;"",L275&lt;&gt;"",M275&lt;&gt;"",N275&lt;&gt;"",ISNUMBER(O275),O275&gt;0,P275&lt;&gt;""),"记录齐全","待补实测记录")))))))))))</x:f>
        <x:v>待展开路径</x:v>
      </x:c>
    </x:row>
    <x:row r="276" ht="43.5" customHeight="1">
      <x:c r="A276" s="20" t="str">
        <x:v>REC-00267</x:v>
      </x:c>
      <x:c r="B276" s="20" t="str">
        <x:v>P1-B3-01</x:v>
      </x:c>
      <x:c r="C276" s="30" t="str">
        <x:f>IF(B276="","",IF(COUNTIFS(Equipment[组合编号],B276)&lt;&gt;1,"组合编号无效",INDEX(Equipment[PLC组],MATCH(B276,Equipment[组合编号],0))))</x:f>
        <x:v>汇川小型</x:v>
      </x:c>
      <x:c r="D276" s="30" t="str">
        <x:f>IF(B276="","",IF(COUNTIFS(Equipment[组合编号],B276)&lt;&gt;1,"组合编号无效",INDEX(Equipment[驱动品牌],MATCH(B276,Equipment[组合编号],0))))</x:f>
        <x:v>繁易</x:v>
      </x:c>
      <x:c r="E276" s="20" t="str">
        <x:v>N07</x:v>
      </x:c>
      <x:c r="F276" s="20"/>
      <x:c r="G276" s="20"/>
      <x:c r="H276" s="20" t="str">
        <x:v>待判定</x:v>
      </x:c>
      <x:c r="I276" s="20"/>
      <x:c r="J276" s="20" t="str">
        <x:v>未测试</x:v>
      </x:c>
      <x:c r="K276" s="20"/>
      <x:c r="L276" s="20"/>
      <x:c r="M276" s="20"/>
      <x:c r="N276" s="20"/>
      <x:c r="O276" s="31"/>
      <x:c r="P276" s="20"/>
      <x:c r="Q276" s="20"/>
      <x:c r="R276" s="20" t="str">
        <x:v>待展开</x:v>
      </x:c>
      <x:c r="S276" s="20"/>
      <x:c r="T276" s="31"/>
      <x:c r="U276" s="30" t="str">
        <x:f>IF(A276="","缺记录编号",IF(COUNTIFS(PathRecords[记录编号],A276)&lt;&gt;1,"记录编号重复",IF(OR(B276="",E276=""),"缺组合/功能",IF(COUNTIFS(Equipment[组合编号],B276)&lt;&gt;1,"组合编号无效",IF(COUNTIFS(FunctionMatrix[编号],E276)=0,"功能编号无效",IF(H276="不适用",IF(J276="已实测","适用性冲突",IF(I276="","待补不适用依据","不适用（非实测）")),IF(J276="阻塞",IF(I276="","待补阻塞原因","阻塞（非实测）"),IF(J276&lt;&gt;"已实测",IF(F276="","待展开路径","未实测"),IF(H276&lt;&gt;"适用","待确认适用性",IF(INDEX(Equipment[登记状态（自动）],MATCH(B276,Equipment[组合编号],0))&lt;&gt;"已登记","待补设备组合",IF(AND(F276&lt;&gt;"",G276&lt;&gt;"",K276&lt;&gt;"",L276&lt;&gt;"",M276&lt;&gt;"",N276&lt;&gt;"",ISNUMBER(O276),O276&gt;0,P276&lt;&gt;""),"记录齐全","待补实测记录")))))))))))</x:f>
        <x:v>待展开路径</x:v>
      </x:c>
    </x:row>
    <x:row r="277" ht="43.5" customHeight="1">
      <x:c r="A277" s="20" t="str">
        <x:v>REC-00268</x:v>
      </x:c>
      <x:c r="B277" s="20" t="str">
        <x:v>P1-B3-01</x:v>
      </x:c>
      <x:c r="C277" s="30" t="str">
        <x:f>IF(B277="","",IF(COUNTIFS(Equipment[组合编号],B277)&lt;&gt;1,"组合编号无效",INDEX(Equipment[PLC组],MATCH(B277,Equipment[组合编号],0))))</x:f>
        <x:v>汇川小型</x:v>
      </x:c>
      <x:c r="D277" s="30" t="str">
        <x:f>IF(B277="","",IF(COUNTIFS(Equipment[组合编号],B277)&lt;&gt;1,"组合编号无效",INDEX(Equipment[驱动品牌],MATCH(B277,Equipment[组合编号],0))))</x:f>
        <x:v>繁易</x:v>
      </x:c>
      <x:c r="E277" s="20" t="str">
        <x:v>N08</x:v>
      </x:c>
      <x:c r="F277" s="20"/>
      <x:c r="G277" s="20"/>
      <x:c r="H277" s="20" t="str">
        <x:v>待判定</x:v>
      </x:c>
      <x:c r="I277" s="20"/>
      <x:c r="J277" s="20" t="str">
        <x:v>未测试</x:v>
      </x:c>
      <x:c r="K277" s="20"/>
      <x:c r="L277" s="20"/>
      <x:c r="M277" s="20"/>
      <x:c r="N277" s="20"/>
      <x:c r="O277" s="31"/>
      <x:c r="P277" s="20"/>
      <x:c r="Q277" s="20"/>
      <x:c r="R277" s="20" t="str">
        <x:v>待展开</x:v>
      </x:c>
      <x:c r="S277" s="20"/>
      <x:c r="T277" s="31"/>
      <x:c r="U277" s="30" t="str">
        <x:f>IF(A277="","缺记录编号",IF(COUNTIFS(PathRecords[记录编号],A277)&lt;&gt;1,"记录编号重复",IF(OR(B277="",E277=""),"缺组合/功能",IF(COUNTIFS(Equipment[组合编号],B277)&lt;&gt;1,"组合编号无效",IF(COUNTIFS(FunctionMatrix[编号],E277)=0,"功能编号无效",IF(H277="不适用",IF(J277="已实测","适用性冲突",IF(I277="","待补不适用依据","不适用（非实测）")),IF(J277="阻塞",IF(I277="","待补阻塞原因","阻塞（非实测）"),IF(J277&lt;&gt;"已实测",IF(F277="","待展开路径","未实测"),IF(H277&lt;&gt;"适用","待确认适用性",IF(INDEX(Equipment[登记状态（自动）],MATCH(B277,Equipment[组合编号],0))&lt;&gt;"已登记","待补设备组合",IF(AND(F277&lt;&gt;"",G277&lt;&gt;"",K277&lt;&gt;"",L277&lt;&gt;"",M277&lt;&gt;"",N277&lt;&gt;"",ISNUMBER(O277),O277&gt;0,P277&lt;&gt;""),"记录齐全","待补实测记录")))))))))))</x:f>
        <x:v>待展开路径</x:v>
      </x:c>
    </x:row>
    <x:row r="278" ht="43.5" customHeight="1">
      <x:c r="A278" s="20" t="str">
        <x:v>REC-00269</x:v>
      </x:c>
      <x:c r="B278" s="20" t="str">
        <x:v>P1-B3-01</x:v>
      </x:c>
      <x:c r="C278" s="30" t="str">
        <x:f>IF(B278="","",IF(COUNTIFS(Equipment[组合编号],B278)&lt;&gt;1,"组合编号无效",INDEX(Equipment[PLC组],MATCH(B278,Equipment[组合编号],0))))</x:f>
        <x:v>汇川小型</x:v>
      </x:c>
      <x:c r="D278" s="30" t="str">
        <x:f>IF(B278="","",IF(COUNTIFS(Equipment[组合编号],B278)&lt;&gt;1,"组合编号无效",INDEX(Equipment[驱动品牌],MATCH(B278,Equipment[组合编号],0))))</x:f>
        <x:v>繁易</x:v>
      </x:c>
      <x:c r="E278" s="20" t="str">
        <x:v>N09</x:v>
      </x:c>
      <x:c r="F278" s="20"/>
      <x:c r="G278" s="20"/>
      <x:c r="H278" s="20" t="str">
        <x:v>待判定</x:v>
      </x:c>
      <x:c r="I278" s="20"/>
      <x:c r="J278" s="20" t="str">
        <x:v>未测试</x:v>
      </x:c>
      <x:c r="K278" s="20"/>
      <x:c r="L278" s="20"/>
      <x:c r="M278" s="20"/>
      <x:c r="N278" s="20"/>
      <x:c r="O278" s="31"/>
      <x:c r="P278" s="20"/>
      <x:c r="Q278" s="20"/>
      <x:c r="R278" s="20" t="str">
        <x:v>待展开</x:v>
      </x:c>
      <x:c r="S278" s="20"/>
      <x:c r="T278" s="31"/>
      <x:c r="U278" s="30" t="str">
        <x:f>IF(A278="","缺记录编号",IF(COUNTIFS(PathRecords[记录编号],A278)&lt;&gt;1,"记录编号重复",IF(OR(B278="",E278=""),"缺组合/功能",IF(COUNTIFS(Equipment[组合编号],B278)&lt;&gt;1,"组合编号无效",IF(COUNTIFS(FunctionMatrix[编号],E278)=0,"功能编号无效",IF(H278="不适用",IF(J278="已实测","适用性冲突",IF(I278="","待补不适用依据","不适用（非实测）")),IF(J278="阻塞",IF(I278="","待补阻塞原因","阻塞（非实测）"),IF(J278&lt;&gt;"已实测",IF(F278="","待展开路径","未实测"),IF(H278&lt;&gt;"适用","待确认适用性",IF(INDEX(Equipment[登记状态（自动）],MATCH(B278,Equipment[组合编号],0))&lt;&gt;"已登记","待补设备组合",IF(AND(F278&lt;&gt;"",G278&lt;&gt;"",K278&lt;&gt;"",L278&lt;&gt;"",M278&lt;&gt;"",N278&lt;&gt;"",ISNUMBER(O278),O278&gt;0,P278&lt;&gt;""),"记录齐全","待补实测记录")))))))))))</x:f>
        <x:v>待展开路径</x:v>
      </x:c>
    </x:row>
    <x:row r="279" ht="43.5" customHeight="1">
      <x:c r="A279" s="20" t="str">
        <x:v>REC-00270</x:v>
      </x:c>
      <x:c r="B279" s="20" t="str">
        <x:v>P1-B3-01</x:v>
      </x:c>
      <x:c r="C279" s="30" t="str">
        <x:f>IF(B279="","",IF(COUNTIFS(Equipment[组合编号],B279)&lt;&gt;1,"组合编号无效",INDEX(Equipment[PLC组],MATCH(B279,Equipment[组合编号],0))))</x:f>
        <x:v>汇川小型</x:v>
      </x:c>
      <x:c r="D279" s="30" t="str">
        <x:f>IF(B279="","",IF(COUNTIFS(Equipment[组合编号],B279)&lt;&gt;1,"组合编号无效",INDEX(Equipment[驱动品牌],MATCH(B279,Equipment[组合编号],0))))</x:f>
        <x:v>繁易</x:v>
      </x:c>
      <x:c r="E279" s="20" t="str">
        <x:v>N10</x:v>
      </x:c>
      <x:c r="F279" s="20"/>
      <x:c r="G279" s="20"/>
      <x:c r="H279" s="20" t="str">
        <x:v>待判定</x:v>
      </x:c>
      <x:c r="I279" s="20"/>
      <x:c r="J279" s="20" t="str">
        <x:v>未测试</x:v>
      </x:c>
      <x:c r="K279" s="20"/>
      <x:c r="L279" s="20"/>
      <x:c r="M279" s="20"/>
      <x:c r="N279" s="20"/>
      <x:c r="O279" s="31"/>
      <x:c r="P279" s="20"/>
      <x:c r="Q279" s="20"/>
      <x:c r="R279" s="20" t="str">
        <x:v>待展开</x:v>
      </x:c>
      <x:c r="S279" s="20"/>
      <x:c r="T279" s="31"/>
      <x:c r="U279" s="30" t="str">
        <x:f>IF(A279="","缺记录编号",IF(COUNTIFS(PathRecords[记录编号],A279)&lt;&gt;1,"记录编号重复",IF(OR(B279="",E279=""),"缺组合/功能",IF(COUNTIFS(Equipment[组合编号],B279)&lt;&gt;1,"组合编号无效",IF(COUNTIFS(FunctionMatrix[编号],E279)=0,"功能编号无效",IF(H279="不适用",IF(J279="已实测","适用性冲突",IF(I279="","待补不适用依据","不适用（非实测）")),IF(J279="阻塞",IF(I279="","待补阻塞原因","阻塞（非实测）"),IF(J279&lt;&gt;"已实测",IF(F279="","待展开路径","未实测"),IF(H279&lt;&gt;"适用","待确认适用性",IF(INDEX(Equipment[登记状态（自动）],MATCH(B279,Equipment[组合编号],0))&lt;&gt;"已登记","待补设备组合",IF(AND(F279&lt;&gt;"",G279&lt;&gt;"",K279&lt;&gt;"",L279&lt;&gt;"",M279&lt;&gt;"",N279&lt;&gt;"",ISNUMBER(O279),O279&gt;0,P279&lt;&gt;""),"记录齐全","待补实测记录")))))))))))</x:f>
        <x:v>待展开路径</x:v>
      </x:c>
    </x:row>
    <x:row r="280" ht="43.5" customHeight="1">
      <x:c r="A280" s="20" t="str">
        <x:v>REC-00271</x:v>
      </x:c>
      <x:c r="B280" s="20" t="str">
        <x:v>P1-B3-01</x:v>
      </x:c>
      <x:c r="C280" s="30" t="str">
        <x:f>IF(B280="","",IF(COUNTIFS(Equipment[组合编号],B280)&lt;&gt;1,"组合编号无效",INDEX(Equipment[PLC组],MATCH(B280,Equipment[组合编号],0))))</x:f>
        <x:v>汇川小型</x:v>
      </x:c>
      <x:c r="D280" s="30" t="str">
        <x:f>IF(B280="","",IF(COUNTIFS(Equipment[组合编号],B280)&lt;&gt;1,"组合编号无效",INDEX(Equipment[驱动品牌],MATCH(B280,Equipment[组合编号],0))))</x:f>
        <x:v>繁易</x:v>
      </x:c>
      <x:c r="E280" s="20" t="str">
        <x:v>N11</x:v>
      </x:c>
      <x:c r="F280" s="20"/>
      <x:c r="G280" s="20"/>
      <x:c r="H280" s="20" t="str">
        <x:v>待判定</x:v>
      </x:c>
      <x:c r="I280" s="20"/>
      <x:c r="J280" s="20" t="str">
        <x:v>未测试</x:v>
      </x:c>
      <x:c r="K280" s="20"/>
      <x:c r="L280" s="20"/>
      <x:c r="M280" s="20"/>
      <x:c r="N280" s="20"/>
      <x:c r="O280" s="31"/>
      <x:c r="P280" s="20"/>
      <x:c r="Q280" s="20"/>
      <x:c r="R280" s="20" t="str">
        <x:v>待展开</x:v>
      </x:c>
      <x:c r="S280" s="20"/>
      <x:c r="T280" s="31"/>
      <x:c r="U280" s="30" t="str">
        <x:f>IF(A280="","缺记录编号",IF(COUNTIFS(PathRecords[记录编号],A280)&lt;&gt;1,"记录编号重复",IF(OR(B280="",E280=""),"缺组合/功能",IF(COUNTIFS(Equipment[组合编号],B280)&lt;&gt;1,"组合编号无效",IF(COUNTIFS(FunctionMatrix[编号],E280)=0,"功能编号无效",IF(H280="不适用",IF(J280="已实测","适用性冲突",IF(I280="","待补不适用依据","不适用（非实测）")),IF(J280="阻塞",IF(I280="","待补阻塞原因","阻塞（非实测）"),IF(J280&lt;&gt;"已实测",IF(F280="","待展开路径","未实测"),IF(H280&lt;&gt;"适用","待确认适用性",IF(INDEX(Equipment[登记状态（自动）],MATCH(B280,Equipment[组合编号],0))&lt;&gt;"已登记","待补设备组合",IF(AND(F280&lt;&gt;"",G280&lt;&gt;"",K280&lt;&gt;"",L280&lt;&gt;"",M280&lt;&gt;"",N280&lt;&gt;"",ISNUMBER(O280),O280&gt;0,P280&lt;&gt;""),"记录齐全","待补实测记录")))))))))))</x:f>
        <x:v>待展开路径</x:v>
      </x:c>
    </x:row>
    <x:row r="281" ht="43.5" customHeight="1">
      <x:c r="A281" s="20" t="str">
        <x:v>REC-00272</x:v>
      </x:c>
      <x:c r="B281" s="20" t="str">
        <x:v>P1-B3-01</x:v>
      </x:c>
      <x:c r="C281" s="30" t="str">
        <x:f>IF(B281="","",IF(COUNTIFS(Equipment[组合编号],B281)&lt;&gt;1,"组合编号无效",INDEX(Equipment[PLC组],MATCH(B281,Equipment[组合编号],0))))</x:f>
        <x:v>汇川小型</x:v>
      </x:c>
      <x:c r="D281" s="30" t="str">
        <x:f>IF(B281="","",IF(COUNTIFS(Equipment[组合编号],B281)&lt;&gt;1,"组合编号无效",INDEX(Equipment[驱动品牌],MATCH(B281,Equipment[组合编号],0))))</x:f>
        <x:v>繁易</x:v>
      </x:c>
      <x:c r="E281" s="20" t="str">
        <x:v>N12</x:v>
      </x:c>
      <x:c r="F281" s="20"/>
      <x:c r="G281" s="20"/>
      <x:c r="H281" s="20" t="str">
        <x:v>待判定</x:v>
      </x:c>
      <x:c r="I281" s="20"/>
      <x:c r="J281" s="20" t="str">
        <x:v>未测试</x:v>
      </x:c>
      <x:c r="K281" s="20"/>
      <x:c r="L281" s="20"/>
      <x:c r="M281" s="20"/>
      <x:c r="N281" s="20"/>
      <x:c r="O281" s="31"/>
      <x:c r="P281" s="20"/>
      <x:c r="Q281" s="20"/>
      <x:c r="R281" s="20" t="str">
        <x:v>待展开</x:v>
      </x:c>
      <x:c r="S281" s="20"/>
      <x:c r="T281" s="31"/>
      <x:c r="U281" s="30" t="str">
        <x:f>IF(A281="","缺记录编号",IF(COUNTIFS(PathRecords[记录编号],A281)&lt;&gt;1,"记录编号重复",IF(OR(B281="",E281=""),"缺组合/功能",IF(COUNTIFS(Equipment[组合编号],B281)&lt;&gt;1,"组合编号无效",IF(COUNTIFS(FunctionMatrix[编号],E281)=0,"功能编号无效",IF(H281="不适用",IF(J281="已实测","适用性冲突",IF(I281="","待补不适用依据","不适用（非实测）")),IF(J281="阻塞",IF(I281="","待补阻塞原因","阻塞（非实测）"),IF(J281&lt;&gt;"已实测",IF(F281="","待展开路径","未实测"),IF(H281&lt;&gt;"适用","待确认适用性",IF(INDEX(Equipment[登记状态（自动）],MATCH(B281,Equipment[组合编号],0))&lt;&gt;"已登记","待补设备组合",IF(AND(F281&lt;&gt;"",G281&lt;&gt;"",K281&lt;&gt;"",L281&lt;&gt;"",M281&lt;&gt;"",N281&lt;&gt;"",ISNUMBER(O281),O281&gt;0,P281&lt;&gt;""),"记录齐全","待补实测记录")))))))))))</x:f>
        <x:v>待展开路径</x:v>
      </x:c>
    </x:row>
    <x:row r="282" ht="43.5" customHeight="1">
      <x:c r="A282" s="20" t="str">
        <x:v>REC-00273</x:v>
      </x:c>
      <x:c r="B282" s="20" t="str">
        <x:v>P1-B3-01</x:v>
      </x:c>
      <x:c r="C282" s="30" t="str">
        <x:f>IF(B282="","",IF(COUNTIFS(Equipment[组合编号],B282)&lt;&gt;1,"组合编号无效",INDEX(Equipment[PLC组],MATCH(B282,Equipment[组合编号],0))))</x:f>
        <x:v>汇川小型</x:v>
      </x:c>
      <x:c r="D282" s="30" t="str">
        <x:f>IF(B282="","",IF(COUNTIFS(Equipment[组合编号],B282)&lt;&gt;1,"组合编号无效",INDEX(Equipment[驱动品牌],MATCH(B282,Equipment[组合编号],0))))</x:f>
        <x:v>繁易</x:v>
      </x:c>
      <x:c r="E282" s="20" t="str">
        <x:v>P01</x:v>
      </x:c>
      <x:c r="F282" s="20"/>
      <x:c r="G282" s="20"/>
      <x:c r="H282" s="20" t="str">
        <x:v>待判定</x:v>
      </x:c>
      <x:c r="I282" s="20"/>
      <x:c r="J282" s="20" t="str">
        <x:v>未测试</x:v>
      </x:c>
      <x:c r="K282" s="20"/>
      <x:c r="L282" s="20"/>
      <x:c r="M282" s="20"/>
      <x:c r="N282" s="20"/>
      <x:c r="O282" s="31"/>
      <x:c r="P282" s="20"/>
      <x:c r="Q282" s="20"/>
      <x:c r="R282" s="20" t="str">
        <x:v>待展开</x:v>
      </x:c>
      <x:c r="S282" s="20"/>
      <x:c r="T282" s="31"/>
      <x:c r="U282" s="30" t="str">
        <x:f>IF(A282="","缺记录编号",IF(COUNTIFS(PathRecords[记录编号],A282)&lt;&gt;1,"记录编号重复",IF(OR(B282="",E282=""),"缺组合/功能",IF(COUNTIFS(Equipment[组合编号],B282)&lt;&gt;1,"组合编号无效",IF(COUNTIFS(FunctionMatrix[编号],E282)=0,"功能编号无效",IF(H282="不适用",IF(J282="已实测","适用性冲突",IF(I282="","待补不适用依据","不适用（非实测）")),IF(J282="阻塞",IF(I282="","待补阻塞原因","阻塞（非实测）"),IF(J282&lt;&gt;"已实测",IF(F282="","待展开路径","未实测"),IF(H282&lt;&gt;"适用","待确认适用性",IF(INDEX(Equipment[登记状态（自动）],MATCH(B282,Equipment[组合编号],0))&lt;&gt;"已登记","待补设备组合",IF(AND(F282&lt;&gt;"",G282&lt;&gt;"",K282&lt;&gt;"",L282&lt;&gt;"",M282&lt;&gt;"",N282&lt;&gt;"",ISNUMBER(O282),O282&gt;0,P282&lt;&gt;""),"记录齐全","待补实测记录")))))))))))</x:f>
        <x:v>待展开路径</x:v>
      </x:c>
    </x:row>
    <x:row r="283" ht="43.5" customHeight="1">
      <x:c r="A283" s="20" t="str">
        <x:v>REC-00274</x:v>
      </x:c>
      <x:c r="B283" s="20" t="str">
        <x:v>P1-B3-01</x:v>
      </x:c>
      <x:c r="C283" s="30" t="str">
        <x:f>IF(B283="","",IF(COUNTIFS(Equipment[组合编号],B283)&lt;&gt;1,"组合编号无效",INDEX(Equipment[PLC组],MATCH(B283,Equipment[组合编号],0))))</x:f>
        <x:v>汇川小型</x:v>
      </x:c>
      <x:c r="D283" s="30" t="str">
        <x:f>IF(B283="","",IF(COUNTIFS(Equipment[组合编号],B283)&lt;&gt;1,"组合编号无效",INDEX(Equipment[驱动品牌],MATCH(B283,Equipment[组合编号],0))))</x:f>
        <x:v>繁易</x:v>
      </x:c>
      <x:c r="E283" s="20" t="str">
        <x:v>P02</x:v>
      </x:c>
      <x:c r="F283" s="20"/>
      <x:c r="G283" s="20"/>
      <x:c r="H283" s="20" t="str">
        <x:v>待判定</x:v>
      </x:c>
      <x:c r="I283" s="20"/>
      <x:c r="J283" s="20" t="str">
        <x:v>未测试</x:v>
      </x:c>
      <x:c r="K283" s="20"/>
      <x:c r="L283" s="20"/>
      <x:c r="M283" s="20"/>
      <x:c r="N283" s="20"/>
      <x:c r="O283" s="31"/>
      <x:c r="P283" s="20"/>
      <x:c r="Q283" s="20"/>
      <x:c r="R283" s="20" t="str">
        <x:v>待展开</x:v>
      </x:c>
      <x:c r="S283" s="20"/>
      <x:c r="T283" s="31"/>
      <x:c r="U283" s="30" t="str">
        <x:f>IF(A283="","缺记录编号",IF(COUNTIFS(PathRecords[记录编号],A283)&lt;&gt;1,"记录编号重复",IF(OR(B283="",E283=""),"缺组合/功能",IF(COUNTIFS(Equipment[组合编号],B283)&lt;&gt;1,"组合编号无效",IF(COUNTIFS(FunctionMatrix[编号],E283)=0,"功能编号无效",IF(H283="不适用",IF(J283="已实测","适用性冲突",IF(I283="","待补不适用依据","不适用（非实测）")),IF(J283="阻塞",IF(I283="","待补阻塞原因","阻塞（非实测）"),IF(J283&lt;&gt;"已实测",IF(F283="","待展开路径","未实测"),IF(H283&lt;&gt;"适用","待确认适用性",IF(INDEX(Equipment[登记状态（自动）],MATCH(B283,Equipment[组合编号],0))&lt;&gt;"已登记","待补设备组合",IF(AND(F283&lt;&gt;"",G283&lt;&gt;"",K283&lt;&gt;"",L283&lt;&gt;"",M283&lt;&gt;"",N283&lt;&gt;"",ISNUMBER(O283),O283&gt;0,P283&lt;&gt;""),"记录齐全","待补实测记录")))))))))))</x:f>
        <x:v>待展开路径</x:v>
      </x:c>
    </x:row>
    <x:row r="284" ht="43.5" customHeight="1">
      <x:c r="A284" s="20" t="str">
        <x:v>REC-00275</x:v>
      </x:c>
      <x:c r="B284" s="20" t="str">
        <x:v>P1-B3-01</x:v>
      </x:c>
      <x:c r="C284" s="30" t="str">
        <x:f>IF(B284="","",IF(COUNTIFS(Equipment[组合编号],B284)&lt;&gt;1,"组合编号无效",INDEX(Equipment[PLC组],MATCH(B284,Equipment[组合编号],0))))</x:f>
        <x:v>汇川小型</x:v>
      </x:c>
      <x:c r="D284" s="30" t="str">
        <x:f>IF(B284="","",IF(COUNTIFS(Equipment[组合编号],B284)&lt;&gt;1,"组合编号无效",INDEX(Equipment[驱动品牌],MATCH(B284,Equipment[组合编号],0))))</x:f>
        <x:v>繁易</x:v>
      </x:c>
      <x:c r="E284" s="20" t="str">
        <x:v>P03</x:v>
      </x:c>
      <x:c r="F284" s="20"/>
      <x:c r="G284" s="20"/>
      <x:c r="H284" s="20" t="str">
        <x:v>待判定</x:v>
      </x:c>
      <x:c r="I284" s="20"/>
      <x:c r="J284" s="20" t="str">
        <x:v>未测试</x:v>
      </x:c>
      <x:c r="K284" s="20"/>
      <x:c r="L284" s="20"/>
      <x:c r="M284" s="20"/>
      <x:c r="N284" s="20"/>
      <x:c r="O284" s="31"/>
      <x:c r="P284" s="20"/>
      <x:c r="Q284" s="20"/>
      <x:c r="R284" s="20" t="str">
        <x:v>待展开</x:v>
      </x:c>
      <x:c r="S284" s="20"/>
      <x:c r="T284" s="31"/>
      <x:c r="U284" s="30" t="str">
        <x:f>IF(A284="","缺记录编号",IF(COUNTIFS(PathRecords[记录编号],A284)&lt;&gt;1,"记录编号重复",IF(OR(B284="",E284=""),"缺组合/功能",IF(COUNTIFS(Equipment[组合编号],B284)&lt;&gt;1,"组合编号无效",IF(COUNTIFS(FunctionMatrix[编号],E284)=0,"功能编号无效",IF(H284="不适用",IF(J284="已实测","适用性冲突",IF(I284="","待补不适用依据","不适用（非实测）")),IF(J284="阻塞",IF(I284="","待补阻塞原因","阻塞（非实测）"),IF(J284&lt;&gt;"已实测",IF(F284="","待展开路径","未实测"),IF(H284&lt;&gt;"适用","待确认适用性",IF(INDEX(Equipment[登记状态（自动）],MATCH(B284,Equipment[组合编号],0))&lt;&gt;"已登记","待补设备组合",IF(AND(F284&lt;&gt;"",G284&lt;&gt;"",K284&lt;&gt;"",L284&lt;&gt;"",M284&lt;&gt;"",N284&lt;&gt;"",ISNUMBER(O284),O284&gt;0,P284&lt;&gt;""),"记录齐全","待补实测记录")))))))))))</x:f>
        <x:v>待展开路径</x:v>
      </x:c>
    </x:row>
    <x:row r="285" ht="43.5" customHeight="1">
      <x:c r="A285" s="20" t="str">
        <x:v>REC-00276</x:v>
      </x:c>
      <x:c r="B285" s="20" t="str">
        <x:v>P1-B3-01</x:v>
      </x:c>
      <x:c r="C285" s="30" t="str">
        <x:f>IF(B285="","",IF(COUNTIFS(Equipment[组合编号],B285)&lt;&gt;1,"组合编号无效",INDEX(Equipment[PLC组],MATCH(B285,Equipment[组合编号],0))))</x:f>
        <x:v>汇川小型</x:v>
      </x:c>
      <x:c r="D285" s="30" t="str">
        <x:f>IF(B285="","",IF(COUNTIFS(Equipment[组合编号],B285)&lt;&gt;1,"组合编号无效",INDEX(Equipment[驱动品牌],MATCH(B285,Equipment[组合编号],0))))</x:f>
        <x:v>繁易</x:v>
      </x:c>
      <x:c r="E285" s="20" t="str">
        <x:v>P04</x:v>
      </x:c>
      <x:c r="F285" s="20"/>
      <x:c r="G285" s="20"/>
      <x:c r="H285" s="20" t="str">
        <x:v>待判定</x:v>
      </x:c>
      <x:c r="I285" s="20"/>
      <x:c r="J285" s="20" t="str">
        <x:v>未测试</x:v>
      </x:c>
      <x:c r="K285" s="20"/>
      <x:c r="L285" s="20"/>
      <x:c r="M285" s="20"/>
      <x:c r="N285" s="20"/>
      <x:c r="O285" s="31"/>
      <x:c r="P285" s="20"/>
      <x:c r="Q285" s="20"/>
      <x:c r="R285" s="20" t="str">
        <x:v>待展开</x:v>
      </x:c>
      <x:c r="S285" s="20"/>
      <x:c r="T285" s="31"/>
      <x:c r="U285" s="30" t="str">
        <x:f>IF(A285="","缺记录编号",IF(COUNTIFS(PathRecords[记录编号],A285)&lt;&gt;1,"记录编号重复",IF(OR(B285="",E285=""),"缺组合/功能",IF(COUNTIFS(Equipment[组合编号],B285)&lt;&gt;1,"组合编号无效",IF(COUNTIFS(FunctionMatrix[编号],E285)=0,"功能编号无效",IF(H285="不适用",IF(J285="已实测","适用性冲突",IF(I285="","待补不适用依据","不适用（非实测）")),IF(J285="阻塞",IF(I285="","待补阻塞原因","阻塞（非实测）"),IF(J285&lt;&gt;"已实测",IF(F285="","待展开路径","未实测"),IF(H285&lt;&gt;"适用","待确认适用性",IF(INDEX(Equipment[登记状态（自动）],MATCH(B285,Equipment[组合编号],0))&lt;&gt;"已登记","待补设备组合",IF(AND(F285&lt;&gt;"",G285&lt;&gt;"",K285&lt;&gt;"",L285&lt;&gt;"",M285&lt;&gt;"",N285&lt;&gt;"",ISNUMBER(O285),O285&gt;0,P285&lt;&gt;""),"记录齐全","待补实测记录")))))))))))</x:f>
        <x:v>待展开路径</x:v>
      </x:c>
    </x:row>
    <x:row r="286" ht="43.5" customHeight="1">
      <x:c r="A286" s="20" t="str">
        <x:v>REC-00277</x:v>
      </x:c>
      <x:c r="B286" s="20" t="str">
        <x:v>P1-B3-01</x:v>
      </x:c>
      <x:c r="C286" s="30" t="str">
        <x:f>IF(B286="","",IF(COUNTIFS(Equipment[组合编号],B286)&lt;&gt;1,"组合编号无效",INDEX(Equipment[PLC组],MATCH(B286,Equipment[组合编号],0))))</x:f>
        <x:v>汇川小型</x:v>
      </x:c>
      <x:c r="D286" s="30" t="str">
        <x:f>IF(B286="","",IF(COUNTIFS(Equipment[组合编号],B286)&lt;&gt;1,"组合编号无效",INDEX(Equipment[驱动品牌],MATCH(B286,Equipment[组合编号],0))))</x:f>
        <x:v>繁易</x:v>
      </x:c>
      <x:c r="E286" s="20" t="str">
        <x:v>P05</x:v>
      </x:c>
      <x:c r="F286" s="20"/>
      <x:c r="G286" s="20"/>
      <x:c r="H286" s="20" t="str">
        <x:v>待判定</x:v>
      </x:c>
      <x:c r="I286" s="20"/>
      <x:c r="J286" s="20" t="str">
        <x:v>未测试</x:v>
      </x:c>
      <x:c r="K286" s="20"/>
      <x:c r="L286" s="20"/>
      <x:c r="M286" s="20"/>
      <x:c r="N286" s="20"/>
      <x:c r="O286" s="31"/>
      <x:c r="P286" s="20"/>
      <x:c r="Q286" s="20"/>
      <x:c r="R286" s="20" t="str">
        <x:v>待展开</x:v>
      </x:c>
      <x:c r="S286" s="20"/>
      <x:c r="T286" s="31"/>
      <x:c r="U286" s="30" t="str">
        <x:f>IF(A286="","缺记录编号",IF(COUNTIFS(PathRecords[记录编号],A286)&lt;&gt;1,"记录编号重复",IF(OR(B286="",E286=""),"缺组合/功能",IF(COUNTIFS(Equipment[组合编号],B286)&lt;&gt;1,"组合编号无效",IF(COUNTIFS(FunctionMatrix[编号],E286)=0,"功能编号无效",IF(H286="不适用",IF(J286="已实测","适用性冲突",IF(I286="","待补不适用依据","不适用（非实测）")),IF(J286="阻塞",IF(I286="","待补阻塞原因","阻塞（非实测）"),IF(J286&lt;&gt;"已实测",IF(F286="","待展开路径","未实测"),IF(H286&lt;&gt;"适用","待确认适用性",IF(INDEX(Equipment[登记状态（自动）],MATCH(B286,Equipment[组合编号],0))&lt;&gt;"已登记","待补设备组合",IF(AND(F286&lt;&gt;"",G286&lt;&gt;"",K286&lt;&gt;"",L286&lt;&gt;"",M286&lt;&gt;"",N286&lt;&gt;"",ISNUMBER(O286),O286&gt;0,P286&lt;&gt;""),"记录齐全","待补实测记录")))))))))))</x:f>
        <x:v>待展开路径</x:v>
      </x:c>
    </x:row>
    <x:row r="287" ht="43.5" customHeight="1">
      <x:c r="A287" s="20" t="str">
        <x:v>REC-00278</x:v>
      </x:c>
      <x:c r="B287" s="20" t="str">
        <x:v>P1-B3-01</x:v>
      </x:c>
      <x:c r="C287" s="30" t="str">
        <x:f>IF(B287="","",IF(COUNTIFS(Equipment[组合编号],B287)&lt;&gt;1,"组合编号无效",INDEX(Equipment[PLC组],MATCH(B287,Equipment[组合编号],0))))</x:f>
        <x:v>汇川小型</x:v>
      </x:c>
      <x:c r="D287" s="30" t="str">
        <x:f>IF(B287="","",IF(COUNTIFS(Equipment[组合编号],B287)&lt;&gt;1,"组合编号无效",INDEX(Equipment[驱动品牌],MATCH(B287,Equipment[组合编号],0))))</x:f>
        <x:v>繁易</x:v>
      </x:c>
      <x:c r="E287" s="20" t="str">
        <x:v>P06</x:v>
      </x:c>
      <x:c r="F287" s="20"/>
      <x:c r="G287" s="20"/>
      <x:c r="H287" s="20" t="str">
        <x:v>待判定</x:v>
      </x:c>
      <x:c r="I287" s="20"/>
      <x:c r="J287" s="20" t="str">
        <x:v>未测试</x:v>
      </x:c>
      <x:c r="K287" s="20"/>
      <x:c r="L287" s="20"/>
      <x:c r="M287" s="20"/>
      <x:c r="N287" s="20"/>
      <x:c r="O287" s="31"/>
      <x:c r="P287" s="20"/>
      <x:c r="Q287" s="20"/>
      <x:c r="R287" s="20" t="str">
        <x:v>待展开</x:v>
      </x:c>
      <x:c r="S287" s="20"/>
      <x:c r="T287" s="31"/>
      <x:c r="U287" s="30" t="str">
        <x:f>IF(A287="","缺记录编号",IF(COUNTIFS(PathRecords[记录编号],A287)&lt;&gt;1,"记录编号重复",IF(OR(B287="",E287=""),"缺组合/功能",IF(COUNTIFS(Equipment[组合编号],B287)&lt;&gt;1,"组合编号无效",IF(COUNTIFS(FunctionMatrix[编号],E287)=0,"功能编号无效",IF(H287="不适用",IF(J287="已实测","适用性冲突",IF(I287="","待补不适用依据","不适用（非实测）")),IF(J287="阻塞",IF(I287="","待补阻塞原因","阻塞（非实测）"),IF(J287&lt;&gt;"已实测",IF(F287="","待展开路径","未实测"),IF(H287&lt;&gt;"适用","待确认适用性",IF(INDEX(Equipment[登记状态（自动）],MATCH(B287,Equipment[组合编号],0))&lt;&gt;"已登记","待补设备组合",IF(AND(F287&lt;&gt;"",G287&lt;&gt;"",K287&lt;&gt;"",L287&lt;&gt;"",M287&lt;&gt;"",N287&lt;&gt;"",ISNUMBER(O287),O287&gt;0,P287&lt;&gt;""),"记录齐全","待补实测记录")))))))))))</x:f>
        <x:v>待展开路径</x:v>
      </x:c>
    </x:row>
    <x:row r="288" ht="43.5" customHeight="1">
      <x:c r="A288" s="20" t="str">
        <x:v>REC-00279</x:v>
      </x:c>
      <x:c r="B288" s="20" t="str">
        <x:v>P1-B3-01</x:v>
      </x:c>
      <x:c r="C288" s="30" t="str">
        <x:f>IF(B288="","",IF(COUNTIFS(Equipment[组合编号],B288)&lt;&gt;1,"组合编号无效",INDEX(Equipment[PLC组],MATCH(B288,Equipment[组合编号],0))))</x:f>
        <x:v>汇川小型</x:v>
      </x:c>
      <x:c r="D288" s="30" t="str">
        <x:f>IF(B288="","",IF(COUNTIFS(Equipment[组合编号],B288)&lt;&gt;1,"组合编号无效",INDEX(Equipment[驱动品牌],MATCH(B288,Equipment[组合编号],0))))</x:f>
        <x:v>繁易</x:v>
      </x:c>
      <x:c r="E288" s="20" t="str">
        <x:v>P07</x:v>
      </x:c>
      <x:c r="F288" s="20"/>
      <x:c r="G288" s="20"/>
      <x:c r="H288" s="20" t="str">
        <x:v>待判定</x:v>
      </x:c>
      <x:c r="I288" s="20"/>
      <x:c r="J288" s="20" t="str">
        <x:v>未测试</x:v>
      </x:c>
      <x:c r="K288" s="20"/>
      <x:c r="L288" s="20"/>
      <x:c r="M288" s="20"/>
      <x:c r="N288" s="20"/>
      <x:c r="O288" s="31"/>
      <x:c r="P288" s="20"/>
      <x:c r="Q288" s="20"/>
      <x:c r="R288" s="20" t="str">
        <x:v>待展开</x:v>
      </x:c>
      <x:c r="S288" s="20"/>
      <x:c r="T288" s="31"/>
      <x:c r="U288" s="30" t="str">
        <x:f>IF(A288="","缺记录编号",IF(COUNTIFS(PathRecords[记录编号],A288)&lt;&gt;1,"记录编号重复",IF(OR(B288="",E288=""),"缺组合/功能",IF(COUNTIFS(Equipment[组合编号],B288)&lt;&gt;1,"组合编号无效",IF(COUNTIFS(FunctionMatrix[编号],E288)=0,"功能编号无效",IF(H288="不适用",IF(J288="已实测","适用性冲突",IF(I288="","待补不适用依据","不适用（非实测）")),IF(J288="阻塞",IF(I288="","待补阻塞原因","阻塞（非实测）"),IF(J288&lt;&gt;"已实测",IF(F288="","待展开路径","未实测"),IF(H288&lt;&gt;"适用","待确认适用性",IF(INDEX(Equipment[登记状态（自动）],MATCH(B288,Equipment[组合编号],0))&lt;&gt;"已登记","待补设备组合",IF(AND(F288&lt;&gt;"",G288&lt;&gt;"",K288&lt;&gt;"",L288&lt;&gt;"",M288&lt;&gt;"",N288&lt;&gt;"",ISNUMBER(O288),O288&gt;0,P288&lt;&gt;""),"记录齐全","待补实测记录")))))))))))</x:f>
        <x:v>待展开路径</x:v>
      </x:c>
    </x:row>
    <x:row r="289" ht="43.5" customHeight="1">
      <x:c r="A289" s="20" t="str">
        <x:v>REC-00280</x:v>
      </x:c>
      <x:c r="B289" s="20" t="str">
        <x:v>P1-B3-01</x:v>
      </x:c>
      <x:c r="C289" s="30" t="str">
        <x:f>IF(B289="","",IF(COUNTIFS(Equipment[组合编号],B289)&lt;&gt;1,"组合编号无效",INDEX(Equipment[PLC组],MATCH(B289,Equipment[组合编号],0))))</x:f>
        <x:v>汇川小型</x:v>
      </x:c>
      <x:c r="D289" s="30" t="str">
        <x:f>IF(B289="","",IF(COUNTIFS(Equipment[组合编号],B289)&lt;&gt;1,"组合编号无效",INDEX(Equipment[驱动品牌],MATCH(B289,Equipment[组合编号],0))))</x:f>
        <x:v>繁易</x:v>
      </x:c>
      <x:c r="E289" s="20" t="str">
        <x:v>P08</x:v>
      </x:c>
      <x:c r="F289" s="20"/>
      <x:c r="G289" s="20"/>
      <x:c r="H289" s="20" t="str">
        <x:v>待判定</x:v>
      </x:c>
      <x:c r="I289" s="20"/>
      <x:c r="J289" s="20" t="str">
        <x:v>未测试</x:v>
      </x:c>
      <x:c r="K289" s="20"/>
      <x:c r="L289" s="20"/>
      <x:c r="M289" s="20"/>
      <x:c r="N289" s="20"/>
      <x:c r="O289" s="31"/>
      <x:c r="P289" s="20"/>
      <x:c r="Q289" s="20"/>
      <x:c r="R289" s="20" t="str">
        <x:v>待展开</x:v>
      </x:c>
      <x:c r="S289" s="20"/>
      <x:c r="T289" s="31"/>
      <x:c r="U289" s="30" t="str">
        <x:f>IF(A289="","缺记录编号",IF(COUNTIFS(PathRecords[记录编号],A289)&lt;&gt;1,"记录编号重复",IF(OR(B289="",E289=""),"缺组合/功能",IF(COUNTIFS(Equipment[组合编号],B289)&lt;&gt;1,"组合编号无效",IF(COUNTIFS(FunctionMatrix[编号],E289)=0,"功能编号无效",IF(H289="不适用",IF(J289="已实测","适用性冲突",IF(I289="","待补不适用依据","不适用（非实测）")),IF(J289="阻塞",IF(I289="","待补阻塞原因","阻塞（非实测）"),IF(J289&lt;&gt;"已实测",IF(F289="","待展开路径","未实测"),IF(H289&lt;&gt;"适用","待确认适用性",IF(INDEX(Equipment[登记状态（自动）],MATCH(B289,Equipment[组合编号],0))&lt;&gt;"已登记","待补设备组合",IF(AND(F289&lt;&gt;"",G289&lt;&gt;"",K289&lt;&gt;"",L289&lt;&gt;"",M289&lt;&gt;"",N289&lt;&gt;"",ISNUMBER(O289),O289&gt;0,P289&lt;&gt;""),"记录齐全","待补实测记录")))))))))))</x:f>
        <x:v>待展开路径</x:v>
      </x:c>
    </x:row>
    <x:row r="290" ht="43.5" customHeight="1">
      <x:c r="A290" s="20" t="str">
        <x:v>REC-00281</x:v>
      </x:c>
      <x:c r="B290" s="20" t="str">
        <x:v>P1-B3-01</x:v>
      </x:c>
      <x:c r="C290" s="30" t="str">
        <x:f>IF(B290="","",IF(COUNTIFS(Equipment[组合编号],B290)&lt;&gt;1,"组合编号无效",INDEX(Equipment[PLC组],MATCH(B290,Equipment[组合编号],0))))</x:f>
        <x:v>汇川小型</x:v>
      </x:c>
      <x:c r="D290" s="30" t="str">
        <x:f>IF(B290="","",IF(COUNTIFS(Equipment[组合编号],B290)&lt;&gt;1,"组合编号无效",INDEX(Equipment[驱动品牌],MATCH(B290,Equipment[组合编号],0))))</x:f>
        <x:v>繁易</x:v>
      </x:c>
      <x:c r="E290" s="20" t="str">
        <x:v>P09</x:v>
      </x:c>
      <x:c r="F290" s="20"/>
      <x:c r="G290" s="20"/>
      <x:c r="H290" s="20" t="str">
        <x:v>待判定</x:v>
      </x:c>
      <x:c r="I290" s="20"/>
      <x:c r="J290" s="20" t="str">
        <x:v>未测试</x:v>
      </x:c>
      <x:c r="K290" s="20"/>
      <x:c r="L290" s="20"/>
      <x:c r="M290" s="20"/>
      <x:c r="N290" s="20"/>
      <x:c r="O290" s="31"/>
      <x:c r="P290" s="20"/>
      <x:c r="Q290" s="20"/>
      <x:c r="R290" s="20" t="str">
        <x:v>待展开</x:v>
      </x:c>
      <x:c r="S290" s="20"/>
      <x:c r="T290" s="31"/>
      <x:c r="U290" s="30" t="str">
        <x:f>IF(A290="","缺记录编号",IF(COUNTIFS(PathRecords[记录编号],A290)&lt;&gt;1,"记录编号重复",IF(OR(B290="",E290=""),"缺组合/功能",IF(COUNTIFS(Equipment[组合编号],B290)&lt;&gt;1,"组合编号无效",IF(COUNTIFS(FunctionMatrix[编号],E290)=0,"功能编号无效",IF(H290="不适用",IF(J290="已实测","适用性冲突",IF(I290="","待补不适用依据","不适用（非实测）")),IF(J290="阻塞",IF(I290="","待补阻塞原因","阻塞（非实测）"),IF(J290&lt;&gt;"已实测",IF(F290="","待展开路径","未实测"),IF(H290&lt;&gt;"适用","待确认适用性",IF(INDEX(Equipment[登记状态（自动）],MATCH(B290,Equipment[组合编号],0))&lt;&gt;"已登记","待补设备组合",IF(AND(F290&lt;&gt;"",G290&lt;&gt;"",K290&lt;&gt;"",L290&lt;&gt;"",M290&lt;&gt;"",N290&lt;&gt;"",ISNUMBER(O290),O290&gt;0,P290&lt;&gt;""),"记录齐全","待补实测记录")))))))))))</x:f>
        <x:v>待展开路径</x:v>
      </x:c>
    </x:row>
    <x:row r="291" ht="43.5" customHeight="1">
      <x:c r="A291" s="20" t="str">
        <x:v>REC-00282</x:v>
      </x:c>
      <x:c r="B291" s="20" t="str">
        <x:v>P1-B3-01</x:v>
      </x:c>
      <x:c r="C291" s="30" t="str">
        <x:f>IF(B291="","",IF(COUNTIFS(Equipment[组合编号],B291)&lt;&gt;1,"组合编号无效",INDEX(Equipment[PLC组],MATCH(B291,Equipment[组合编号],0))))</x:f>
        <x:v>汇川小型</x:v>
      </x:c>
      <x:c r="D291" s="30" t="str">
        <x:f>IF(B291="","",IF(COUNTIFS(Equipment[组合编号],B291)&lt;&gt;1,"组合编号无效",INDEX(Equipment[驱动品牌],MATCH(B291,Equipment[组合编号],0))))</x:f>
        <x:v>繁易</x:v>
      </x:c>
      <x:c r="E291" s="20" t="str">
        <x:v>P10</x:v>
      </x:c>
      <x:c r="F291" s="20"/>
      <x:c r="G291" s="20"/>
      <x:c r="H291" s="20" t="str">
        <x:v>待判定</x:v>
      </x:c>
      <x:c r="I291" s="20"/>
      <x:c r="J291" s="20" t="str">
        <x:v>未测试</x:v>
      </x:c>
      <x:c r="K291" s="20"/>
      <x:c r="L291" s="20"/>
      <x:c r="M291" s="20"/>
      <x:c r="N291" s="20"/>
      <x:c r="O291" s="31"/>
      <x:c r="P291" s="20"/>
      <x:c r="Q291" s="20"/>
      <x:c r="R291" s="20" t="str">
        <x:v>待展开</x:v>
      </x:c>
      <x:c r="S291" s="20"/>
      <x:c r="T291" s="31"/>
      <x:c r="U291" s="30" t="str">
        <x:f>IF(A291="","缺记录编号",IF(COUNTIFS(PathRecords[记录编号],A291)&lt;&gt;1,"记录编号重复",IF(OR(B291="",E291=""),"缺组合/功能",IF(COUNTIFS(Equipment[组合编号],B291)&lt;&gt;1,"组合编号无效",IF(COUNTIFS(FunctionMatrix[编号],E291)=0,"功能编号无效",IF(H291="不适用",IF(J291="已实测","适用性冲突",IF(I291="","待补不适用依据","不适用（非实测）")),IF(J291="阻塞",IF(I291="","待补阻塞原因","阻塞（非实测）"),IF(J291&lt;&gt;"已实测",IF(F291="","待展开路径","未实测"),IF(H291&lt;&gt;"适用","待确认适用性",IF(INDEX(Equipment[登记状态（自动）],MATCH(B291,Equipment[组合编号],0))&lt;&gt;"已登记","待补设备组合",IF(AND(F291&lt;&gt;"",G291&lt;&gt;"",K291&lt;&gt;"",L291&lt;&gt;"",M291&lt;&gt;"",N291&lt;&gt;"",ISNUMBER(O291),O291&gt;0,P291&lt;&gt;""),"记录齐全","待补实测记录")))))))))))</x:f>
        <x:v>待展开路径</x:v>
      </x:c>
    </x:row>
    <x:row r="292" ht="43.5" customHeight="1">
      <x:c r="A292" s="20" t="str">
        <x:v>REC-00283</x:v>
      </x:c>
      <x:c r="B292" s="20" t="str">
        <x:v>P1-B3-01</x:v>
      </x:c>
      <x:c r="C292" s="30" t="str">
        <x:f>IF(B292="","",IF(COUNTIFS(Equipment[组合编号],B292)&lt;&gt;1,"组合编号无效",INDEX(Equipment[PLC组],MATCH(B292,Equipment[组合编号],0))))</x:f>
        <x:v>汇川小型</x:v>
      </x:c>
      <x:c r="D292" s="30" t="str">
        <x:f>IF(B292="","",IF(COUNTIFS(Equipment[组合编号],B292)&lt;&gt;1,"组合编号无效",INDEX(Equipment[驱动品牌],MATCH(B292,Equipment[组合编号],0))))</x:f>
        <x:v>繁易</x:v>
      </x:c>
      <x:c r="E292" s="20" t="str">
        <x:v>A01</x:v>
      </x:c>
      <x:c r="F292" s="20"/>
      <x:c r="G292" s="20"/>
      <x:c r="H292" s="20" t="str">
        <x:v>待判定</x:v>
      </x:c>
      <x:c r="I292" s="20"/>
      <x:c r="J292" s="20" t="str">
        <x:v>未测试</x:v>
      </x:c>
      <x:c r="K292" s="20"/>
      <x:c r="L292" s="20"/>
      <x:c r="M292" s="20"/>
      <x:c r="N292" s="20"/>
      <x:c r="O292" s="31"/>
      <x:c r="P292" s="20"/>
      <x:c r="Q292" s="20"/>
      <x:c r="R292" s="20" t="str">
        <x:v>待展开</x:v>
      </x:c>
      <x:c r="S292" s="20"/>
      <x:c r="T292" s="31"/>
      <x:c r="U292" s="30" t="str">
        <x:f>IF(A292="","缺记录编号",IF(COUNTIFS(PathRecords[记录编号],A292)&lt;&gt;1,"记录编号重复",IF(OR(B292="",E292=""),"缺组合/功能",IF(COUNTIFS(Equipment[组合编号],B292)&lt;&gt;1,"组合编号无效",IF(COUNTIFS(FunctionMatrix[编号],E292)=0,"功能编号无效",IF(H292="不适用",IF(J292="已实测","适用性冲突",IF(I292="","待补不适用依据","不适用（非实测）")),IF(J292="阻塞",IF(I292="","待补阻塞原因","阻塞（非实测）"),IF(J292&lt;&gt;"已实测",IF(F292="","待展开路径","未实测"),IF(H292&lt;&gt;"适用","待确认适用性",IF(INDEX(Equipment[登记状态（自动）],MATCH(B292,Equipment[组合编号],0))&lt;&gt;"已登记","待补设备组合",IF(AND(F292&lt;&gt;"",G292&lt;&gt;"",K292&lt;&gt;"",L292&lt;&gt;"",M292&lt;&gt;"",N292&lt;&gt;"",ISNUMBER(O292),O292&gt;0,P292&lt;&gt;""),"记录齐全","待补实测记录")))))))))))</x:f>
        <x:v>待展开路径</x:v>
      </x:c>
    </x:row>
    <x:row r="293" ht="43.5" customHeight="1">
      <x:c r="A293" s="20" t="str">
        <x:v>REC-00284</x:v>
      </x:c>
      <x:c r="B293" s="20" t="str">
        <x:v>P1-B3-01</x:v>
      </x:c>
      <x:c r="C293" s="30" t="str">
        <x:f>IF(B293="","",IF(COUNTIFS(Equipment[组合编号],B293)&lt;&gt;1,"组合编号无效",INDEX(Equipment[PLC组],MATCH(B293,Equipment[组合编号],0))))</x:f>
        <x:v>汇川小型</x:v>
      </x:c>
      <x:c r="D293" s="30" t="str">
        <x:f>IF(B293="","",IF(COUNTIFS(Equipment[组合编号],B293)&lt;&gt;1,"组合编号无效",INDEX(Equipment[驱动品牌],MATCH(B293,Equipment[组合编号],0))))</x:f>
        <x:v>繁易</x:v>
      </x:c>
      <x:c r="E293" s="20" t="str">
        <x:v>A02</x:v>
      </x:c>
      <x:c r="F293" s="20"/>
      <x:c r="G293" s="20"/>
      <x:c r="H293" s="20" t="str">
        <x:v>待判定</x:v>
      </x:c>
      <x:c r="I293" s="20"/>
      <x:c r="J293" s="20" t="str">
        <x:v>未测试</x:v>
      </x:c>
      <x:c r="K293" s="20"/>
      <x:c r="L293" s="20"/>
      <x:c r="M293" s="20"/>
      <x:c r="N293" s="20"/>
      <x:c r="O293" s="31"/>
      <x:c r="P293" s="20"/>
      <x:c r="Q293" s="20"/>
      <x:c r="R293" s="20" t="str">
        <x:v>待展开</x:v>
      </x:c>
      <x:c r="S293" s="20"/>
      <x:c r="T293" s="31"/>
      <x:c r="U293" s="30" t="str">
        <x:f>IF(A293="","缺记录编号",IF(COUNTIFS(PathRecords[记录编号],A293)&lt;&gt;1,"记录编号重复",IF(OR(B293="",E293=""),"缺组合/功能",IF(COUNTIFS(Equipment[组合编号],B293)&lt;&gt;1,"组合编号无效",IF(COUNTIFS(FunctionMatrix[编号],E293)=0,"功能编号无效",IF(H293="不适用",IF(J293="已实测","适用性冲突",IF(I293="","待补不适用依据","不适用（非实测）")),IF(J293="阻塞",IF(I293="","待补阻塞原因","阻塞（非实测）"),IF(J293&lt;&gt;"已实测",IF(F293="","待展开路径","未实测"),IF(H293&lt;&gt;"适用","待确认适用性",IF(INDEX(Equipment[登记状态（自动）],MATCH(B293,Equipment[组合编号],0))&lt;&gt;"已登记","待补设备组合",IF(AND(F293&lt;&gt;"",G293&lt;&gt;"",K293&lt;&gt;"",L293&lt;&gt;"",M293&lt;&gt;"",N293&lt;&gt;"",ISNUMBER(O293),O293&gt;0,P293&lt;&gt;""),"记录齐全","待补实测记录")))))))))))</x:f>
        <x:v>待展开路径</x:v>
      </x:c>
    </x:row>
    <x:row r="294" ht="43.5" customHeight="1">
      <x:c r="A294" s="20" t="str">
        <x:v>REC-00285</x:v>
      </x:c>
      <x:c r="B294" s="20" t="str">
        <x:v>P1-B3-01</x:v>
      </x:c>
      <x:c r="C294" s="30" t="str">
        <x:f>IF(B294="","",IF(COUNTIFS(Equipment[组合编号],B294)&lt;&gt;1,"组合编号无效",INDEX(Equipment[PLC组],MATCH(B294,Equipment[组合编号],0))))</x:f>
        <x:v>汇川小型</x:v>
      </x:c>
      <x:c r="D294" s="30" t="str">
        <x:f>IF(B294="","",IF(COUNTIFS(Equipment[组合编号],B294)&lt;&gt;1,"组合编号无效",INDEX(Equipment[驱动品牌],MATCH(B294,Equipment[组合编号],0))))</x:f>
        <x:v>繁易</x:v>
      </x:c>
      <x:c r="E294" s="20" t="str">
        <x:v>A03</x:v>
      </x:c>
      <x:c r="F294" s="20"/>
      <x:c r="G294" s="20"/>
      <x:c r="H294" s="20" t="str">
        <x:v>待判定</x:v>
      </x:c>
      <x:c r="I294" s="20"/>
      <x:c r="J294" s="20" t="str">
        <x:v>未测试</x:v>
      </x:c>
      <x:c r="K294" s="20"/>
      <x:c r="L294" s="20"/>
      <x:c r="M294" s="20"/>
      <x:c r="N294" s="20"/>
      <x:c r="O294" s="31"/>
      <x:c r="P294" s="20"/>
      <x:c r="Q294" s="20"/>
      <x:c r="R294" s="20" t="str">
        <x:v>待展开</x:v>
      </x:c>
      <x:c r="S294" s="20"/>
      <x:c r="T294" s="31"/>
      <x:c r="U294" s="30" t="str">
        <x:f>IF(A294="","缺记录编号",IF(COUNTIFS(PathRecords[记录编号],A294)&lt;&gt;1,"记录编号重复",IF(OR(B294="",E294=""),"缺组合/功能",IF(COUNTIFS(Equipment[组合编号],B294)&lt;&gt;1,"组合编号无效",IF(COUNTIFS(FunctionMatrix[编号],E294)=0,"功能编号无效",IF(H294="不适用",IF(J294="已实测","适用性冲突",IF(I294="","待补不适用依据","不适用（非实测）")),IF(J294="阻塞",IF(I294="","待补阻塞原因","阻塞（非实测）"),IF(J294&lt;&gt;"已实测",IF(F294="","待展开路径","未实测"),IF(H294&lt;&gt;"适用","待确认适用性",IF(INDEX(Equipment[登记状态（自动）],MATCH(B294,Equipment[组合编号],0))&lt;&gt;"已登记","待补设备组合",IF(AND(F294&lt;&gt;"",G294&lt;&gt;"",K294&lt;&gt;"",L294&lt;&gt;"",M294&lt;&gt;"",N294&lt;&gt;"",ISNUMBER(O294),O294&gt;0,P294&lt;&gt;""),"记录齐全","待补实测记录")))))))))))</x:f>
        <x:v>待展开路径</x:v>
      </x:c>
    </x:row>
    <x:row r="295" ht="43.5" customHeight="1">
      <x:c r="A295" s="20" t="str">
        <x:v>REC-00286</x:v>
      </x:c>
      <x:c r="B295" s="20" t="str">
        <x:v>P1-B3-01</x:v>
      </x:c>
      <x:c r="C295" s="30" t="str">
        <x:f>IF(B295="","",IF(COUNTIFS(Equipment[组合编号],B295)&lt;&gt;1,"组合编号无效",INDEX(Equipment[PLC组],MATCH(B295,Equipment[组合编号],0))))</x:f>
        <x:v>汇川小型</x:v>
      </x:c>
      <x:c r="D295" s="30" t="str">
        <x:f>IF(B295="","",IF(COUNTIFS(Equipment[组合编号],B295)&lt;&gt;1,"组合编号无效",INDEX(Equipment[驱动品牌],MATCH(B295,Equipment[组合编号],0))))</x:f>
        <x:v>繁易</x:v>
      </x:c>
      <x:c r="E295" s="20" t="str">
        <x:v>A04</x:v>
      </x:c>
      <x:c r="F295" s="20"/>
      <x:c r="G295" s="20"/>
      <x:c r="H295" s="20" t="str">
        <x:v>待判定</x:v>
      </x:c>
      <x:c r="I295" s="20"/>
      <x:c r="J295" s="20" t="str">
        <x:v>未测试</x:v>
      </x:c>
      <x:c r="K295" s="20"/>
      <x:c r="L295" s="20"/>
      <x:c r="M295" s="20"/>
      <x:c r="N295" s="20"/>
      <x:c r="O295" s="31"/>
      <x:c r="P295" s="20"/>
      <x:c r="Q295" s="20"/>
      <x:c r="R295" s="20" t="str">
        <x:v>待展开</x:v>
      </x:c>
      <x:c r="S295" s="20"/>
      <x:c r="T295" s="31"/>
      <x:c r="U295" s="30" t="str">
        <x:f>IF(A295="","缺记录编号",IF(COUNTIFS(PathRecords[记录编号],A295)&lt;&gt;1,"记录编号重复",IF(OR(B295="",E295=""),"缺组合/功能",IF(COUNTIFS(Equipment[组合编号],B295)&lt;&gt;1,"组合编号无效",IF(COUNTIFS(FunctionMatrix[编号],E295)=0,"功能编号无效",IF(H295="不适用",IF(J295="已实测","适用性冲突",IF(I295="","待补不适用依据","不适用（非实测）")),IF(J295="阻塞",IF(I295="","待补阻塞原因","阻塞（非实测）"),IF(J295&lt;&gt;"已实测",IF(F295="","待展开路径","未实测"),IF(H295&lt;&gt;"适用","待确认适用性",IF(INDEX(Equipment[登记状态（自动）],MATCH(B295,Equipment[组合编号],0))&lt;&gt;"已登记","待补设备组合",IF(AND(F295&lt;&gt;"",G295&lt;&gt;"",K295&lt;&gt;"",L295&lt;&gt;"",M295&lt;&gt;"",N295&lt;&gt;"",ISNUMBER(O295),O295&gt;0,P295&lt;&gt;""),"记录齐全","待补实测记录")))))))))))</x:f>
        <x:v>待展开路径</x:v>
      </x:c>
    </x:row>
    <x:row r="296" ht="43.5" customHeight="1">
      <x:c r="A296" s="20" t="str">
        <x:v>REC-00287</x:v>
      </x:c>
      <x:c r="B296" s="20" t="str">
        <x:v>P1-B3-01</x:v>
      </x:c>
      <x:c r="C296" s="30" t="str">
        <x:f>IF(B296="","",IF(COUNTIFS(Equipment[组合编号],B296)&lt;&gt;1,"组合编号无效",INDEX(Equipment[PLC组],MATCH(B296,Equipment[组合编号],0))))</x:f>
        <x:v>汇川小型</x:v>
      </x:c>
      <x:c r="D296" s="30" t="str">
        <x:f>IF(B296="","",IF(COUNTIFS(Equipment[组合编号],B296)&lt;&gt;1,"组合编号无效",INDEX(Equipment[驱动品牌],MATCH(B296,Equipment[组合编号],0))))</x:f>
        <x:v>繁易</x:v>
      </x:c>
      <x:c r="E296" s="20" t="str">
        <x:v>A05</x:v>
      </x:c>
      <x:c r="F296" s="20"/>
      <x:c r="G296" s="20"/>
      <x:c r="H296" s="20" t="str">
        <x:v>待判定</x:v>
      </x:c>
      <x:c r="I296" s="20"/>
      <x:c r="J296" s="20" t="str">
        <x:v>未测试</x:v>
      </x:c>
      <x:c r="K296" s="20"/>
      <x:c r="L296" s="20"/>
      <x:c r="M296" s="20"/>
      <x:c r="N296" s="20"/>
      <x:c r="O296" s="31"/>
      <x:c r="P296" s="20"/>
      <x:c r="Q296" s="20"/>
      <x:c r="R296" s="20" t="str">
        <x:v>待展开</x:v>
      </x:c>
      <x:c r="S296" s="20"/>
      <x:c r="T296" s="31"/>
      <x:c r="U296" s="30" t="str">
        <x:f>IF(A296="","缺记录编号",IF(COUNTIFS(PathRecords[记录编号],A296)&lt;&gt;1,"记录编号重复",IF(OR(B296="",E296=""),"缺组合/功能",IF(COUNTIFS(Equipment[组合编号],B296)&lt;&gt;1,"组合编号无效",IF(COUNTIFS(FunctionMatrix[编号],E296)=0,"功能编号无效",IF(H296="不适用",IF(J296="已实测","适用性冲突",IF(I296="","待补不适用依据","不适用（非实测）")),IF(J296="阻塞",IF(I296="","待补阻塞原因","阻塞（非实测）"),IF(J296&lt;&gt;"已实测",IF(F296="","待展开路径","未实测"),IF(H296&lt;&gt;"适用","待确认适用性",IF(INDEX(Equipment[登记状态（自动）],MATCH(B296,Equipment[组合编号],0))&lt;&gt;"已登记","待补设备组合",IF(AND(F296&lt;&gt;"",G296&lt;&gt;"",K296&lt;&gt;"",L296&lt;&gt;"",M296&lt;&gt;"",N296&lt;&gt;"",ISNUMBER(O296),O296&gt;0,P296&lt;&gt;""),"记录齐全","待补实测记录")))))))))))</x:f>
        <x:v>待展开路径</x:v>
      </x:c>
    </x:row>
    <x:row r="297" ht="43.5" customHeight="1">
      <x:c r="A297" s="20" t="str">
        <x:v>REC-00288</x:v>
      </x:c>
      <x:c r="B297" s="20" t="str">
        <x:v>P1-B3-01</x:v>
      </x:c>
      <x:c r="C297" s="30" t="str">
        <x:f>IF(B297="","",IF(COUNTIFS(Equipment[组合编号],B297)&lt;&gt;1,"组合编号无效",INDEX(Equipment[PLC组],MATCH(B297,Equipment[组合编号],0))))</x:f>
        <x:v>汇川小型</x:v>
      </x:c>
      <x:c r="D297" s="30" t="str">
        <x:f>IF(B297="","",IF(COUNTIFS(Equipment[组合编号],B297)&lt;&gt;1,"组合编号无效",INDEX(Equipment[驱动品牌],MATCH(B297,Equipment[组合编号],0))))</x:f>
        <x:v>繁易</x:v>
      </x:c>
      <x:c r="E297" s="20" t="str">
        <x:v>A06</x:v>
      </x:c>
      <x:c r="F297" s="20"/>
      <x:c r="G297" s="20"/>
      <x:c r="H297" s="20" t="str">
        <x:v>待判定</x:v>
      </x:c>
      <x:c r="I297" s="20"/>
      <x:c r="J297" s="20" t="str">
        <x:v>未测试</x:v>
      </x:c>
      <x:c r="K297" s="20"/>
      <x:c r="L297" s="20"/>
      <x:c r="M297" s="20"/>
      <x:c r="N297" s="20"/>
      <x:c r="O297" s="31"/>
      <x:c r="P297" s="20"/>
      <x:c r="Q297" s="20"/>
      <x:c r="R297" s="20" t="str">
        <x:v>待展开</x:v>
      </x:c>
      <x:c r="S297" s="20"/>
      <x:c r="T297" s="31"/>
      <x:c r="U297" s="30" t="str">
        <x:f>IF(A297="","缺记录编号",IF(COUNTIFS(PathRecords[记录编号],A297)&lt;&gt;1,"记录编号重复",IF(OR(B297="",E297=""),"缺组合/功能",IF(COUNTIFS(Equipment[组合编号],B297)&lt;&gt;1,"组合编号无效",IF(COUNTIFS(FunctionMatrix[编号],E297)=0,"功能编号无效",IF(H297="不适用",IF(J297="已实测","适用性冲突",IF(I297="","待补不适用依据","不适用（非实测）")),IF(J297="阻塞",IF(I297="","待补阻塞原因","阻塞（非实测）"),IF(J297&lt;&gt;"已实测",IF(F297="","待展开路径","未实测"),IF(H297&lt;&gt;"适用","待确认适用性",IF(INDEX(Equipment[登记状态（自动）],MATCH(B297,Equipment[组合编号],0))&lt;&gt;"已登记","待补设备组合",IF(AND(F297&lt;&gt;"",G297&lt;&gt;"",K297&lt;&gt;"",L297&lt;&gt;"",M297&lt;&gt;"",N297&lt;&gt;"",ISNUMBER(O297),O297&gt;0,P297&lt;&gt;""),"记录齐全","待补实测记录")))))))))))</x:f>
        <x:v>待展开路径</x:v>
      </x:c>
    </x:row>
    <x:row r="298" ht="43.5" customHeight="1">
      <x:c r="A298" s="20" t="str">
        <x:v>REC-00289</x:v>
      </x:c>
      <x:c r="B298" s="20" t="str">
        <x:v>P1-B3-01</x:v>
      </x:c>
      <x:c r="C298" s="30" t="str">
        <x:f>IF(B298="","",IF(COUNTIFS(Equipment[组合编号],B298)&lt;&gt;1,"组合编号无效",INDEX(Equipment[PLC组],MATCH(B298,Equipment[组合编号],0))))</x:f>
        <x:v>汇川小型</x:v>
      </x:c>
      <x:c r="D298" s="30" t="str">
        <x:f>IF(B298="","",IF(COUNTIFS(Equipment[组合编号],B298)&lt;&gt;1,"组合编号无效",INDEX(Equipment[驱动品牌],MATCH(B298,Equipment[组合编号],0))))</x:f>
        <x:v>繁易</x:v>
      </x:c>
      <x:c r="E298" s="20" t="str">
        <x:v>A07</x:v>
      </x:c>
      <x:c r="F298" s="20"/>
      <x:c r="G298" s="20"/>
      <x:c r="H298" s="20" t="str">
        <x:v>待判定</x:v>
      </x:c>
      <x:c r="I298" s="20"/>
      <x:c r="J298" s="20" t="str">
        <x:v>未测试</x:v>
      </x:c>
      <x:c r="K298" s="20"/>
      <x:c r="L298" s="20"/>
      <x:c r="M298" s="20"/>
      <x:c r="N298" s="20"/>
      <x:c r="O298" s="31"/>
      <x:c r="P298" s="20"/>
      <x:c r="Q298" s="20"/>
      <x:c r="R298" s="20" t="str">
        <x:v>待展开</x:v>
      </x:c>
      <x:c r="S298" s="20"/>
      <x:c r="T298" s="31"/>
      <x:c r="U298" s="30" t="str">
        <x:f>IF(A298="","缺记录编号",IF(COUNTIFS(PathRecords[记录编号],A298)&lt;&gt;1,"记录编号重复",IF(OR(B298="",E298=""),"缺组合/功能",IF(COUNTIFS(Equipment[组合编号],B298)&lt;&gt;1,"组合编号无效",IF(COUNTIFS(FunctionMatrix[编号],E298)=0,"功能编号无效",IF(H298="不适用",IF(J298="已实测","适用性冲突",IF(I298="","待补不适用依据","不适用（非实测）")),IF(J298="阻塞",IF(I298="","待补阻塞原因","阻塞（非实测）"),IF(J298&lt;&gt;"已实测",IF(F298="","待展开路径","未实测"),IF(H298&lt;&gt;"适用","待确认适用性",IF(INDEX(Equipment[登记状态（自动）],MATCH(B298,Equipment[组合编号],0))&lt;&gt;"已登记","待补设备组合",IF(AND(F298&lt;&gt;"",G298&lt;&gt;"",K298&lt;&gt;"",L298&lt;&gt;"",M298&lt;&gt;"",N298&lt;&gt;"",ISNUMBER(O298),O298&gt;0,P298&lt;&gt;""),"记录齐全","待补实测记录")))))))))))</x:f>
        <x:v>待展开路径</x:v>
      </x:c>
    </x:row>
    <x:row r="299" ht="43.5" customHeight="1">
      <x:c r="A299" s="20" t="str">
        <x:v>REC-00290</x:v>
      </x:c>
      <x:c r="B299" s="20" t="str">
        <x:v>P1-B3-01</x:v>
      </x:c>
      <x:c r="C299" s="30" t="str">
        <x:f>IF(B299="","",IF(COUNTIFS(Equipment[组合编号],B299)&lt;&gt;1,"组合编号无效",INDEX(Equipment[PLC组],MATCH(B299,Equipment[组合编号],0))))</x:f>
        <x:v>汇川小型</x:v>
      </x:c>
      <x:c r="D299" s="30" t="str">
        <x:f>IF(B299="","",IF(COUNTIFS(Equipment[组合编号],B299)&lt;&gt;1,"组合编号无效",INDEX(Equipment[驱动品牌],MATCH(B299,Equipment[组合编号],0))))</x:f>
        <x:v>繁易</x:v>
      </x:c>
      <x:c r="E299" s="20" t="str">
        <x:v>A08</x:v>
      </x:c>
      <x:c r="F299" s="20"/>
      <x:c r="G299" s="20"/>
      <x:c r="H299" s="20" t="str">
        <x:v>待判定</x:v>
      </x:c>
      <x:c r="I299" s="20"/>
      <x:c r="J299" s="20" t="str">
        <x:v>未测试</x:v>
      </x:c>
      <x:c r="K299" s="20"/>
      <x:c r="L299" s="20"/>
      <x:c r="M299" s="20"/>
      <x:c r="N299" s="20"/>
      <x:c r="O299" s="31"/>
      <x:c r="P299" s="20"/>
      <x:c r="Q299" s="20"/>
      <x:c r="R299" s="20" t="str">
        <x:v>待展开</x:v>
      </x:c>
      <x:c r="S299" s="20"/>
      <x:c r="T299" s="31"/>
      <x:c r="U299" s="30" t="str">
        <x:f>IF(A299="","缺记录编号",IF(COUNTIFS(PathRecords[记录编号],A299)&lt;&gt;1,"记录编号重复",IF(OR(B299="",E299=""),"缺组合/功能",IF(COUNTIFS(Equipment[组合编号],B299)&lt;&gt;1,"组合编号无效",IF(COUNTIFS(FunctionMatrix[编号],E299)=0,"功能编号无效",IF(H299="不适用",IF(J299="已实测","适用性冲突",IF(I299="","待补不适用依据","不适用（非实测）")),IF(J299="阻塞",IF(I299="","待补阻塞原因","阻塞（非实测）"),IF(J299&lt;&gt;"已实测",IF(F299="","待展开路径","未实测"),IF(H299&lt;&gt;"适用","待确认适用性",IF(INDEX(Equipment[登记状态（自动）],MATCH(B299,Equipment[组合编号],0))&lt;&gt;"已登记","待补设备组合",IF(AND(F299&lt;&gt;"",G299&lt;&gt;"",K299&lt;&gt;"",L299&lt;&gt;"",M299&lt;&gt;"",N299&lt;&gt;"",ISNUMBER(O299),O299&gt;0,P299&lt;&gt;""),"记录齐全","待补实测记录")))))))))))</x:f>
        <x:v>待展开路径</x:v>
      </x:c>
    </x:row>
    <x:row r="300" ht="43.5" customHeight="1">
      <x:c r="A300" s="20" t="str">
        <x:v>REC-00291</x:v>
      </x:c>
      <x:c r="B300" s="20" t="str">
        <x:v>P1-B3-01</x:v>
      </x:c>
      <x:c r="C300" s="30" t="str">
        <x:f>IF(B300="","",IF(COUNTIFS(Equipment[组合编号],B300)&lt;&gt;1,"组合编号无效",INDEX(Equipment[PLC组],MATCH(B300,Equipment[组合编号],0))))</x:f>
        <x:v>汇川小型</x:v>
      </x:c>
      <x:c r="D300" s="30" t="str">
        <x:f>IF(B300="","",IF(COUNTIFS(Equipment[组合编号],B300)&lt;&gt;1,"组合编号无效",INDEX(Equipment[驱动品牌],MATCH(B300,Equipment[组合编号],0))))</x:f>
        <x:v>繁易</x:v>
      </x:c>
      <x:c r="E300" s="20" t="str">
        <x:v>A09</x:v>
      </x:c>
      <x:c r="F300" s="20"/>
      <x:c r="G300" s="20"/>
      <x:c r="H300" s="20" t="str">
        <x:v>待判定</x:v>
      </x:c>
      <x:c r="I300" s="20"/>
      <x:c r="J300" s="20" t="str">
        <x:v>未测试</x:v>
      </x:c>
      <x:c r="K300" s="20"/>
      <x:c r="L300" s="20"/>
      <x:c r="M300" s="20"/>
      <x:c r="N300" s="20"/>
      <x:c r="O300" s="31"/>
      <x:c r="P300" s="20"/>
      <x:c r="Q300" s="20"/>
      <x:c r="R300" s="20" t="str">
        <x:v>待展开</x:v>
      </x:c>
      <x:c r="S300" s="20"/>
      <x:c r="T300" s="31"/>
      <x:c r="U300" s="30" t="str">
        <x:f>IF(A300="","缺记录编号",IF(COUNTIFS(PathRecords[记录编号],A300)&lt;&gt;1,"记录编号重复",IF(OR(B300="",E300=""),"缺组合/功能",IF(COUNTIFS(Equipment[组合编号],B300)&lt;&gt;1,"组合编号无效",IF(COUNTIFS(FunctionMatrix[编号],E300)=0,"功能编号无效",IF(H300="不适用",IF(J300="已实测","适用性冲突",IF(I300="","待补不适用依据","不适用（非实测）")),IF(J300="阻塞",IF(I300="","待补阻塞原因","阻塞（非实测）"),IF(J300&lt;&gt;"已实测",IF(F300="","待展开路径","未实测"),IF(H300&lt;&gt;"适用","待确认适用性",IF(INDEX(Equipment[登记状态（自动）],MATCH(B300,Equipment[组合编号],0))&lt;&gt;"已登记","待补设备组合",IF(AND(F300&lt;&gt;"",G300&lt;&gt;"",K300&lt;&gt;"",L300&lt;&gt;"",M300&lt;&gt;"",N300&lt;&gt;"",ISNUMBER(O300),O300&gt;0,P300&lt;&gt;""),"记录齐全","待补实测记录")))))))))))</x:f>
        <x:v>待展开路径</x:v>
      </x:c>
    </x:row>
    <x:row r="301" ht="43.5" customHeight="1">
      <x:c r="A301" s="20" t="str">
        <x:v>REC-00292</x:v>
      </x:c>
      <x:c r="B301" s="20" t="str">
        <x:v>P1-B3-01</x:v>
      </x:c>
      <x:c r="C301" s="30" t="str">
        <x:f>IF(B301="","",IF(COUNTIFS(Equipment[组合编号],B301)&lt;&gt;1,"组合编号无效",INDEX(Equipment[PLC组],MATCH(B301,Equipment[组合编号],0))))</x:f>
        <x:v>汇川小型</x:v>
      </x:c>
      <x:c r="D301" s="30" t="str">
        <x:f>IF(B301="","",IF(COUNTIFS(Equipment[组合编号],B301)&lt;&gt;1,"组合编号无效",INDEX(Equipment[驱动品牌],MATCH(B301,Equipment[组合编号],0))))</x:f>
        <x:v>繁易</x:v>
      </x:c>
      <x:c r="E301" s="20" t="str">
        <x:v>C01</x:v>
      </x:c>
      <x:c r="F301" s="20"/>
      <x:c r="G301" s="20"/>
      <x:c r="H301" s="20" t="str">
        <x:v>待判定</x:v>
      </x:c>
      <x:c r="I301" s="20"/>
      <x:c r="J301" s="20" t="str">
        <x:v>未测试</x:v>
      </x:c>
      <x:c r="K301" s="20"/>
      <x:c r="L301" s="20"/>
      <x:c r="M301" s="20"/>
      <x:c r="N301" s="20"/>
      <x:c r="O301" s="31"/>
      <x:c r="P301" s="20"/>
      <x:c r="Q301" s="20"/>
      <x:c r="R301" s="20" t="str">
        <x:v>待展开</x:v>
      </x:c>
      <x:c r="S301" s="20"/>
      <x:c r="T301" s="31"/>
      <x:c r="U301" s="30" t="str">
        <x:f>IF(A301="","缺记录编号",IF(COUNTIFS(PathRecords[记录编号],A301)&lt;&gt;1,"记录编号重复",IF(OR(B301="",E301=""),"缺组合/功能",IF(COUNTIFS(Equipment[组合编号],B301)&lt;&gt;1,"组合编号无效",IF(COUNTIFS(FunctionMatrix[编号],E301)=0,"功能编号无效",IF(H301="不适用",IF(J301="已实测","适用性冲突",IF(I301="","待补不适用依据","不适用（非实测）")),IF(J301="阻塞",IF(I301="","待补阻塞原因","阻塞（非实测）"),IF(J301&lt;&gt;"已实测",IF(F301="","待展开路径","未实测"),IF(H301&lt;&gt;"适用","待确认适用性",IF(INDEX(Equipment[登记状态（自动）],MATCH(B301,Equipment[组合编号],0))&lt;&gt;"已登记","待补设备组合",IF(AND(F301&lt;&gt;"",G301&lt;&gt;"",K301&lt;&gt;"",L301&lt;&gt;"",M301&lt;&gt;"",N301&lt;&gt;"",ISNUMBER(O301),O301&gt;0,P301&lt;&gt;""),"记录齐全","待补实测记录")))))))))))</x:f>
        <x:v>待展开路径</x:v>
      </x:c>
    </x:row>
    <x:row r="302" ht="43.5" customHeight="1">
      <x:c r="A302" s="20" t="str">
        <x:v>REC-00293</x:v>
      </x:c>
      <x:c r="B302" s="20" t="str">
        <x:v>P1-B3-01</x:v>
      </x:c>
      <x:c r="C302" s="30" t="str">
        <x:f>IF(B302="","",IF(COUNTIFS(Equipment[组合编号],B302)&lt;&gt;1,"组合编号无效",INDEX(Equipment[PLC组],MATCH(B302,Equipment[组合编号],0))))</x:f>
        <x:v>汇川小型</x:v>
      </x:c>
      <x:c r="D302" s="30" t="str">
        <x:f>IF(B302="","",IF(COUNTIFS(Equipment[组合编号],B302)&lt;&gt;1,"组合编号无效",INDEX(Equipment[驱动品牌],MATCH(B302,Equipment[组合编号],0))))</x:f>
        <x:v>繁易</x:v>
      </x:c>
      <x:c r="E302" s="20" t="str">
        <x:v>C02</x:v>
      </x:c>
      <x:c r="F302" s="20"/>
      <x:c r="G302" s="20"/>
      <x:c r="H302" s="20" t="str">
        <x:v>待判定</x:v>
      </x:c>
      <x:c r="I302" s="20"/>
      <x:c r="J302" s="20" t="str">
        <x:v>未测试</x:v>
      </x:c>
      <x:c r="K302" s="20"/>
      <x:c r="L302" s="20"/>
      <x:c r="M302" s="20"/>
      <x:c r="N302" s="20"/>
      <x:c r="O302" s="31"/>
      <x:c r="P302" s="20"/>
      <x:c r="Q302" s="20"/>
      <x:c r="R302" s="20" t="str">
        <x:v>待展开</x:v>
      </x:c>
      <x:c r="S302" s="20"/>
      <x:c r="T302" s="31"/>
      <x:c r="U302" s="30" t="str">
        <x:f>IF(A302="","缺记录编号",IF(COUNTIFS(PathRecords[记录编号],A302)&lt;&gt;1,"记录编号重复",IF(OR(B302="",E302=""),"缺组合/功能",IF(COUNTIFS(Equipment[组合编号],B302)&lt;&gt;1,"组合编号无效",IF(COUNTIFS(FunctionMatrix[编号],E302)=0,"功能编号无效",IF(H302="不适用",IF(J302="已实测","适用性冲突",IF(I302="","待补不适用依据","不适用（非实测）")),IF(J302="阻塞",IF(I302="","待补阻塞原因","阻塞（非实测）"),IF(J302&lt;&gt;"已实测",IF(F302="","待展开路径","未实测"),IF(H302&lt;&gt;"适用","待确认适用性",IF(INDEX(Equipment[登记状态（自动）],MATCH(B302,Equipment[组合编号],0))&lt;&gt;"已登记","待补设备组合",IF(AND(F302&lt;&gt;"",G302&lt;&gt;"",K302&lt;&gt;"",L302&lt;&gt;"",M302&lt;&gt;"",N302&lt;&gt;"",ISNUMBER(O302),O302&gt;0,P302&lt;&gt;""),"记录齐全","待补实测记录")))))))))))</x:f>
        <x:v>待展开路径</x:v>
      </x:c>
    </x:row>
    <x:row r="303" ht="43.5" customHeight="1">
      <x:c r="A303" s="20" t="str">
        <x:v>REC-00294</x:v>
      </x:c>
      <x:c r="B303" s="20" t="str">
        <x:v>P1-B3-01</x:v>
      </x:c>
      <x:c r="C303" s="30" t="str">
        <x:f>IF(B303="","",IF(COUNTIFS(Equipment[组合编号],B303)&lt;&gt;1,"组合编号无效",INDEX(Equipment[PLC组],MATCH(B303,Equipment[组合编号],0))))</x:f>
        <x:v>汇川小型</x:v>
      </x:c>
      <x:c r="D303" s="30" t="str">
        <x:f>IF(B303="","",IF(COUNTIFS(Equipment[组合编号],B303)&lt;&gt;1,"组合编号无效",INDEX(Equipment[驱动品牌],MATCH(B303,Equipment[组合编号],0))))</x:f>
        <x:v>繁易</x:v>
      </x:c>
      <x:c r="E303" s="20" t="str">
        <x:v>C03</x:v>
      </x:c>
      <x:c r="F303" s="20"/>
      <x:c r="G303" s="20"/>
      <x:c r="H303" s="20" t="str">
        <x:v>待判定</x:v>
      </x:c>
      <x:c r="I303" s="20"/>
      <x:c r="J303" s="20" t="str">
        <x:v>未测试</x:v>
      </x:c>
      <x:c r="K303" s="20"/>
      <x:c r="L303" s="20"/>
      <x:c r="M303" s="20"/>
      <x:c r="N303" s="20"/>
      <x:c r="O303" s="31"/>
      <x:c r="P303" s="20"/>
      <x:c r="Q303" s="20"/>
      <x:c r="R303" s="20" t="str">
        <x:v>待展开</x:v>
      </x:c>
      <x:c r="S303" s="20"/>
      <x:c r="T303" s="31"/>
      <x:c r="U303" s="30" t="str">
        <x:f>IF(A303="","缺记录编号",IF(COUNTIFS(PathRecords[记录编号],A303)&lt;&gt;1,"记录编号重复",IF(OR(B303="",E303=""),"缺组合/功能",IF(COUNTIFS(Equipment[组合编号],B303)&lt;&gt;1,"组合编号无效",IF(COUNTIFS(FunctionMatrix[编号],E303)=0,"功能编号无效",IF(H303="不适用",IF(J303="已实测","适用性冲突",IF(I303="","待补不适用依据","不适用（非实测）")),IF(J303="阻塞",IF(I303="","待补阻塞原因","阻塞（非实测）"),IF(J303&lt;&gt;"已实测",IF(F303="","待展开路径","未实测"),IF(H303&lt;&gt;"适用","待确认适用性",IF(INDEX(Equipment[登记状态（自动）],MATCH(B303,Equipment[组合编号],0))&lt;&gt;"已登记","待补设备组合",IF(AND(F303&lt;&gt;"",G303&lt;&gt;"",K303&lt;&gt;"",L303&lt;&gt;"",M303&lt;&gt;"",N303&lt;&gt;"",ISNUMBER(O303),O303&gt;0,P303&lt;&gt;""),"记录齐全","待补实测记录")))))))))))</x:f>
        <x:v>待展开路径</x:v>
      </x:c>
    </x:row>
    <x:row r="304" ht="43.5" customHeight="1">
      <x:c r="A304" s="20" t="str">
        <x:v>REC-00295</x:v>
      </x:c>
      <x:c r="B304" s="20" t="str">
        <x:v>P1-B3-01</x:v>
      </x:c>
      <x:c r="C304" s="30" t="str">
        <x:f>IF(B304="","",IF(COUNTIFS(Equipment[组合编号],B304)&lt;&gt;1,"组合编号无效",INDEX(Equipment[PLC组],MATCH(B304,Equipment[组合编号],0))))</x:f>
        <x:v>汇川小型</x:v>
      </x:c>
      <x:c r="D304" s="30" t="str">
        <x:f>IF(B304="","",IF(COUNTIFS(Equipment[组合编号],B304)&lt;&gt;1,"组合编号无效",INDEX(Equipment[驱动品牌],MATCH(B304,Equipment[组合编号],0))))</x:f>
        <x:v>繁易</x:v>
      </x:c>
      <x:c r="E304" s="20" t="str">
        <x:v>C04</x:v>
      </x:c>
      <x:c r="F304" s="20"/>
      <x:c r="G304" s="20"/>
      <x:c r="H304" s="20" t="str">
        <x:v>待判定</x:v>
      </x:c>
      <x:c r="I304" s="20"/>
      <x:c r="J304" s="20" t="str">
        <x:v>未测试</x:v>
      </x:c>
      <x:c r="K304" s="20"/>
      <x:c r="L304" s="20"/>
      <x:c r="M304" s="20"/>
      <x:c r="N304" s="20"/>
      <x:c r="O304" s="31"/>
      <x:c r="P304" s="20"/>
      <x:c r="Q304" s="20"/>
      <x:c r="R304" s="20" t="str">
        <x:v>待展开</x:v>
      </x:c>
      <x:c r="S304" s="20"/>
      <x:c r="T304" s="31"/>
      <x:c r="U304" s="30" t="str">
        <x:f>IF(A304="","缺记录编号",IF(COUNTIFS(PathRecords[记录编号],A304)&lt;&gt;1,"记录编号重复",IF(OR(B304="",E304=""),"缺组合/功能",IF(COUNTIFS(Equipment[组合编号],B304)&lt;&gt;1,"组合编号无效",IF(COUNTIFS(FunctionMatrix[编号],E304)=0,"功能编号无效",IF(H304="不适用",IF(J304="已实测","适用性冲突",IF(I304="","待补不适用依据","不适用（非实测）")),IF(J304="阻塞",IF(I304="","待补阻塞原因","阻塞（非实测）"),IF(J304&lt;&gt;"已实测",IF(F304="","待展开路径","未实测"),IF(H304&lt;&gt;"适用","待确认适用性",IF(INDEX(Equipment[登记状态（自动）],MATCH(B304,Equipment[组合编号],0))&lt;&gt;"已登记","待补设备组合",IF(AND(F304&lt;&gt;"",G304&lt;&gt;"",K304&lt;&gt;"",L304&lt;&gt;"",M304&lt;&gt;"",N304&lt;&gt;"",ISNUMBER(O304),O304&gt;0,P304&lt;&gt;""),"记录齐全","待补实测记录")))))))))))</x:f>
        <x:v>待展开路径</x:v>
      </x:c>
    </x:row>
    <x:row r="305" ht="43.5" customHeight="1">
      <x:c r="A305" s="20" t="str">
        <x:v>REC-00296</x:v>
      </x:c>
      <x:c r="B305" s="20" t="str">
        <x:v>P1-B3-01</x:v>
      </x:c>
      <x:c r="C305" s="30" t="str">
        <x:f>IF(B305="","",IF(COUNTIFS(Equipment[组合编号],B305)&lt;&gt;1,"组合编号无效",INDEX(Equipment[PLC组],MATCH(B305,Equipment[组合编号],0))))</x:f>
        <x:v>汇川小型</x:v>
      </x:c>
      <x:c r="D305" s="30" t="str">
        <x:f>IF(B305="","",IF(COUNTIFS(Equipment[组合编号],B305)&lt;&gt;1,"组合编号无效",INDEX(Equipment[驱动品牌],MATCH(B305,Equipment[组合编号],0))))</x:f>
        <x:v>繁易</x:v>
      </x:c>
      <x:c r="E305" s="20" t="str">
        <x:v>C05</x:v>
      </x:c>
      <x:c r="F305" s="20"/>
      <x:c r="G305" s="20"/>
      <x:c r="H305" s="20" t="str">
        <x:v>待判定</x:v>
      </x:c>
      <x:c r="I305" s="20"/>
      <x:c r="J305" s="20" t="str">
        <x:v>未测试</x:v>
      </x:c>
      <x:c r="K305" s="20"/>
      <x:c r="L305" s="20"/>
      <x:c r="M305" s="20"/>
      <x:c r="N305" s="20"/>
      <x:c r="O305" s="31"/>
      <x:c r="P305" s="20"/>
      <x:c r="Q305" s="20"/>
      <x:c r="R305" s="20" t="str">
        <x:v>待展开</x:v>
      </x:c>
      <x:c r="S305" s="20"/>
      <x:c r="T305" s="31"/>
      <x:c r="U305" s="30" t="str">
        <x:f>IF(A305="","缺记录编号",IF(COUNTIFS(PathRecords[记录编号],A305)&lt;&gt;1,"记录编号重复",IF(OR(B305="",E305=""),"缺组合/功能",IF(COUNTIFS(Equipment[组合编号],B305)&lt;&gt;1,"组合编号无效",IF(COUNTIFS(FunctionMatrix[编号],E305)=0,"功能编号无效",IF(H305="不适用",IF(J305="已实测","适用性冲突",IF(I305="","待补不适用依据","不适用（非实测）")),IF(J305="阻塞",IF(I305="","待补阻塞原因","阻塞（非实测）"),IF(J305&lt;&gt;"已实测",IF(F305="","待展开路径","未实测"),IF(H305&lt;&gt;"适用","待确认适用性",IF(INDEX(Equipment[登记状态（自动）],MATCH(B305,Equipment[组合编号],0))&lt;&gt;"已登记","待补设备组合",IF(AND(F305&lt;&gt;"",G305&lt;&gt;"",K305&lt;&gt;"",L305&lt;&gt;"",M305&lt;&gt;"",N305&lt;&gt;"",ISNUMBER(O305),O305&gt;0,P305&lt;&gt;""),"记录齐全","待补实测记录")))))))))))</x:f>
        <x:v>待展开路径</x:v>
      </x:c>
    </x:row>
    <x:row r="306" ht="43.5" customHeight="1">
      <x:c r="A306" s="20" t="str">
        <x:v>REC-00297</x:v>
      </x:c>
      <x:c r="B306" s="20" t="str">
        <x:v>P1-B3-01</x:v>
      </x:c>
      <x:c r="C306" s="30" t="str">
        <x:f>IF(B306="","",IF(COUNTIFS(Equipment[组合编号],B306)&lt;&gt;1,"组合编号无效",INDEX(Equipment[PLC组],MATCH(B306,Equipment[组合编号],0))))</x:f>
        <x:v>汇川小型</x:v>
      </x:c>
      <x:c r="D306" s="30" t="str">
        <x:f>IF(B306="","",IF(COUNTIFS(Equipment[组合编号],B306)&lt;&gt;1,"组合编号无效",INDEX(Equipment[驱动品牌],MATCH(B306,Equipment[组合编号],0))))</x:f>
        <x:v>繁易</x:v>
      </x:c>
      <x:c r="E306" s="20" t="str">
        <x:v>C06</x:v>
      </x:c>
      <x:c r="F306" s="20"/>
      <x:c r="G306" s="20"/>
      <x:c r="H306" s="20" t="str">
        <x:v>待判定</x:v>
      </x:c>
      <x:c r="I306" s="20"/>
      <x:c r="J306" s="20" t="str">
        <x:v>未测试</x:v>
      </x:c>
      <x:c r="K306" s="20"/>
      <x:c r="L306" s="20"/>
      <x:c r="M306" s="20"/>
      <x:c r="N306" s="20"/>
      <x:c r="O306" s="31"/>
      <x:c r="P306" s="20"/>
      <x:c r="Q306" s="20"/>
      <x:c r="R306" s="20" t="str">
        <x:v>待展开</x:v>
      </x:c>
      <x:c r="S306" s="20"/>
      <x:c r="T306" s="31"/>
      <x:c r="U306" s="30" t="str">
        <x:f>IF(A306="","缺记录编号",IF(COUNTIFS(PathRecords[记录编号],A306)&lt;&gt;1,"记录编号重复",IF(OR(B306="",E306=""),"缺组合/功能",IF(COUNTIFS(Equipment[组合编号],B306)&lt;&gt;1,"组合编号无效",IF(COUNTIFS(FunctionMatrix[编号],E306)=0,"功能编号无效",IF(H306="不适用",IF(J306="已实测","适用性冲突",IF(I306="","待补不适用依据","不适用（非实测）")),IF(J306="阻塞",IF(I306="","待补阻塞原因","阻塞（非实测）"),IF(J306&lt;&gt;"已实测",IF(F306="","待展开路径","未实测"),IF(H306&lt;&gt;"适用","待确认适用性",IF(INDEX(Equipment[登记状态（自动）],MATCH(B306,Equipment[组合编号],0))&lt;&gt;"已登记","待补设备组合",IF(AND(F306&lt;&gt;"",G306&lt;&gt;"",K306&lt;&gt;"",L306&lt;&gt;"",M306&lt;&gt;"",N306&lt;&gt;"",ISNUMBER(O306),O306&gt;0,P306&lt;&gt;""),"记录齐全","待补实测记录")))))))))))</x:f>
        <x:v>待展开路径</x:v>
      </x:c>
    </x:row>
    <x:row r="307" ht="43.5" customHeight="1">
      <x:c r="A307" s="20" t="str">
        <x:v>REC-00298</x:v>
      </x:c>
      <x:c r="B307" s="20" t="str">
        <x:v>P1-B3-01</x:v>
      </x:c>
      <x:c r="C307" s="30" t="str">
        <x:f>IF(B307="","",IF(COUNTIFS(Equipment[组合编号],B307)&lt;&gt;1,"组合编号无效",INDEX(Equipment[PLC组],MATCH(B307,Equipment[组合编号],0))))</x:f>
        <x:v>汇川小型</x:v>
      </x:c>
      <x:c r="D307" s="30" t="str">
        <x:f>IF(B307="","",IF(COUNTIFS(Equipment[组合编号],B307)&lt;&gt;1,"组合编号无效",INDEX(Equipment[驱动品牌],MATCH(B307,Equipment[组合编号],0))))</x:f>
        <x:v>繁易</x:v>
      </x:c>
      <x:c r="E307" s="20" t="str">
        <x:v>C07</x:v>
      </x:c>
      <x:c r="F307" s="20"/>
      <x:c r="G307" s="20"/>
      <x:c r="H307" s="20" t="str">
        <x:v>待判定</x:v>
      </x:c>
      <x:c r="I307" s="20"/>
      <x:c r="J307" s="20" t="str">
        <x:v>未测试</x:v>
      </x:c>
      <x:c r="K307" s="20"/>
      <x:c r="L307" s="20"/>
      <x:c r="M307" s="20"/>
      <x:c r="N307" s="20"/>
      <x:c r="O307" s="31"/>
      <x:c r="P307" s="20"/>
      <x:c r="Q307" s="20"/>
      <x:c r="R307" s="20" t="str">
        <x:v>待展开</x:v>
      </x:c>
      <x:c r="S307" s="20"/>
      <x:c r="T307" s="31"/>
      <x:c r="U307" s="30" t="str">
        <x:f>IF(A307="","缺记录编号",IF(COUNTIFS(PathRecords[记录编号],A307)&lt;&gt;1,"记录编号重复",IF(OR(B307="",E307=""),"缺组合/功能",IF(COUNTIFS(Equipment[组合编号],B307)&lt;&gt;1,"组合编号无效",IF(COUNTIFS(FunctionMatrix[编号],E307)=0,"功能编号无效",IF(H307="不适用",IF(J307="已实测","适用性冲突",IF(I307="","待补不适用依据","不适用（非实测）")),IF(J307="阻塞",IF(I307="","待补阻塞原因","阻塞（非实测）"),IF(J307&lt;&gt;"已实测",IF(F307="","待展开路径","未实测"),IF(H307&lt;&gt;"适用","待确认适用性",IF(INDEX(Equipment[登记状态（自动）],MATCH(B307,Equipment[组合编号],0))&lt;&gt;"已登记","待补设备组合",IF(AND(F307&lt;&gt;"",G307&lt;&gt;"",K307&lt;&gt;"",L307&lt;&gt;"",M307&lt;&gt;"",N307&lt;&gt;"",ISNUMBER(O307),O307&gt;0,P307&lt;&gt;""),"记录齐全","待补实测记录")))))))))))</x:f>
        <x:v>待展开路径</x:v>
      </x:c>
    </x:row>
    <x:row r="308" ht="43.5" customHeight="1">
      <x:c r="A308" s="20" t="str">
        <x:v>REC-00299</x:v>
      </x:c>
      <x:c r="B308" s="20" t="str">
        <x:v>P1-B3-01</x:v>
      </x:c>
      <x:c r="C308" s="30" t="str">
        <x:f>IF(B308="","",IF(COUNTIFS(Equipment[组合编号],B308)&lt;&gt;1,"组合编号无效",INDEX(Equipment[PLC组],MATCH(B308,Equipment[组合编号],0))))</x:f>
        <x:v>汇川小型</x:v>
      </x:c>
      <x:c r="D308" s="30" t="str">
        <x:f>IF(B308="","",IF(COUNTIFS(Equipment[组合编号],B308)&lt;&gt;1,"组合编号无效",INDEX(Equipment[驱动品牌],MATCH(B308,Equipment[组合编号],0))))</x:f>
        <x:v>繁易</x:v>
      </x:c>
      <x:c r="E308" s="20" t="str">
        <x:v>C08</x:v>
      </x:c>
      <x:c r="F308" s="20"/>
      <x:c r="G308" s="20"/>
      <x:c r="H308" s="20" t="str">
        <x:v>待判定</x:v>
      </x:c>
      <x:c r="I308" s="20"/>
      <x:c r="J308" s="20" t="str">
        <x:v>未测试</x:v>
      </x:c>
      <x:c r="K308" s="20"/>
      <x:c r="L308" s="20"/>
      <x:c r="M308" s="20"/>
      <x:c r="N308" s="20"/>
      <x:c r="O308" s="31"/>
      <x:c r="P308" s="20"/>
      <x:c r="Q308" s="20"/>
      <x:c r="R308" s="20" t="str">
        <x:v>待展开</x:v>
      </x:c>
      <x:c r="S308" s="20"/>
      <x:c r="T308" s="31"/>
      <x:c r="U308" s="30" t="str">
        <x:f>IF(A308="","缺记录编号",IF(COUNTIFS(PathRecords[记录编号],A308)&lt;&gt;1,"记录编号重复",IF(OR(B308="",E308=""),"缺组合/功能",IF(COUNTIFS(Equipment[组合编号],B308)&lt;&gt;1,"组合编号无效",IF(COUNTIFS(FunctionMatrix[编号],E308)=0,"功能编号无效",IF(H308="不适用",IF(J308="已实测","适用性冲突",IF(I308="","待补不适用依据","不适用（非实测）")),IF(J308="阻塞",IF(I308="","待补阻塞原因","阻塞（非实测）"),IF(J308&lt;&gt;"已实测",IF(F308="","待展开路径","未实测"),IF(H308&lt;&gt;"适用","待确认适用性",IF(INDEX(Equipment[登记状态（自动）],MATCH(B308,Equipment[组合编号],0))&lt;&gt;"已登记","待补设备组合",IF(AND(F308&lt;&gt;"",G308&lt;&gt;"",K308&lt;&gt;"",L308&lt;&gt;"",M308&lt;&gt;"",N308&lt;&gt;"",ISNUMBER(O308),O308&gt;0,P308&lt;&gt;""),"记录齐全","待补实测记录")))))))))))</x:f>
        <x:v>待展开路径</x:v>
      </x:c>
    </x:row>
    <x:row r="309" ht="43.5" customHeight="1">
      <x:c r="A309" s="20" t="str">
        <x:v>REC-00300</x:v>
      </x:c>
      <x:c r="B309" s="20" t="str">
        <x:v>P1-B3-01</x:v>
      </x:c>
      <x:c r="C309" s="30" t="str">
        <x:f>IF(B309="","",IF(COUNTIFS(Equipment[组合编号],B309)&lt;&gt;1,"组合编号无效",INDEX(Equipment[PLC组],MATCH(B309,Equipment[组合编号],0))))</x:f>
        <x:v>汇川小型</x:v>
      </x:c>
      <x:c r="D309" s="30" t="str">
        <x:f>IF(B309="","",IF(COUNTIFS(Equipment[组合编号],B309)&lt;&gt;1,"组合编号无效",INDEX(Equipment[驱动品牌],MATCH(B309,Equipment[组合编号],0))))</x:f>
        <x:v>繁易</x:v>
      </x:c>
      <x:c r="E309" s="20" t="str">
        <x:v>C09</x:v>
      </x:c>
      <x:c r="F309" s="20"/>
      <x:c r="G309" s="20"/>
      <x:c r="H309" s="20" t="str">
        <x:v>待判定</x:v>
      </x:c>
      <x:c r="I309" s="20"/>
      <x:c r="J309" s="20" t="str">
        <x:v>未测试</x:v>
      </x:c>
      <x:c r="K309" s="20"/>
      <x:c r="L309" s="20"/>
      <x:c r="M309" s="20"/>
      <x:c r="N309" s="20"/>
      <x:c r="O309" s="31"/>
      <x:c r="P309" s="20"/>
      <x:c r="Q309" s="20"/>
      <x:c r="R309" s="20" t="str">
        <x:v>待展开</x:v>
      </x:c>
      <x:c r="S309" s="20"/>
      <x:c r="T309" s="31"/>
      <x:c r="U309" s="30" t="str">
        <x:f>IF(A309="","缺记录编号",IF(COUNTIFS(PathRecords[记录编号],A309)&lt;&gt;1,"记录编号重复",IF(OR(B309="",E309=""),"缺组合/功能",IF(COUNTIFS(Equipment[组合编号],B309)&lt;&gt;1,"组合编号无效",IF(COUNTIFS(FunctionMatrix[编号],E309)=0,"功能编号无效",IF(H309="不适用",IF(J309="已实测","适用性冲突",IF(I309="","待补不适用依据","不适用（非实测）")),IF(J309="阻塞",IF(I309="","待补阻塞原因","阻塞（非实测）"),IF(J309&lt;&gt;"已实测",IF(F309="","待展开路径","未实测"),IF(H309&lt;&gt;"适用","待确认适用性",IF(INDEX(Equipment[登记状态（自动）],MATCH(B309,Equipment[组合编号],0))&lt;&gt;"已登记","待补设备组合",IF(AND(F309&lt;&gt;"",G309&lt;&gt;"",K309&lt;&gt;"",L309&lt;&gt;"",M309&lt;&gt;"",N309&lt;&gt;"",ISNUMBER(O309),O309&gt;0,P309&lt;&gt;""),"记录齐全","待补实测记录")))))))))))</x:f>
        <x:v>待展开路径</x:v>
      </x:c>
    </x:row>
    <x:row r="310" ht="43.5" customHeight="1">
      <x:c r="A310" s="20" t="str">
        <x:v>REC-00301</x:v>
      </x:c>
      <x:c r="B310" s="20" t="str">
        <x:v>P1-B3-01</x:v>
      </x:c>
      <x:c r="C310" s="30" t="str">
        <x:f>IF(B310="","",IF(COUNTIFS(Equipment[组合编号],B310)&lt;&gt;1,"组合编号无效",INDEX(Equipment[PLC组],MATCH(B310,Equipment[组合编号],0))))</x:f>
        <x:v>汇川小型</x:v>
      </x:c>
      <x:c r="D310" s="30" t="str">
        <x:f>IF(B310="","",IF(COUNTIFS(Equipment[组合编号],B310)&lt;&gt;1,"组合编号无效",INDEX(Equipment[驱动品牌],MATCH(B310,Equipment[组合编号],0))))</x:f>
        <x:v>繁易</x:v>
      </x:c>
      <x:c r="E310" s="20" t="str">
        <x:v>C10</x:v>
      </x:c>
      <x:c r="F310" s="20"/>
      <x:c r="G310" s="20"/>
      <x:c r="H310" s="20" t="str">
        <x:v>待判定</x:v>
      </x:c>
      <x:c r="I310" s="20"/>
      <x:c r="J310" s="20" t="str">
        <x:v>未测试</x:v>
      </x:c>
      <x:c r="K310" s="20"/>
      <x:c r="L310" s="20"/>
      <x:c r="M310" s="20"/>
      <x:c r="N310" s="20"/>
      <x:c r="O310" s="31"/>
      <x:c r="P310" s="20"/>
      <x:c r="Q310" s="20"/>
      <x:c r="R310" s="20" t="str">
        <x:v>待展开</x:v>
      </x:c>
      <x:c r="S310" s="20"/>
      <x:c r="T310" s="31"/>
      <x:c r="U310" s="30" t="str">
        <x:f>IF(A310="","缺记录编号",IF(COUNTIFS(PathRecords[记录编号],A310)&lt;&gt;1,"记录编号重复",IF(OR(B310="",E310=""),"缺组合/功能",IF(COUNTIFS(Equipment[组合编号],B310)&lt;&gt;1,"组合编号无效",IF(COUNTIFS(FunctionMatrix[编号],E310)=0,"功能编号无效",IF(H310="不适用",IF(J310="已实测","适用性冲突",IF(I310="","待补不适用依据","不适用（非实测）")),IF(J310="阻塞",IF(I310="","待补阻塞原因","阻塞（非实测）"),IF(J310&lt;&gt;"已实测",IF(F310="","待展开路径","未实测"),IF(H310&lt;&gt;"适用","待确认适用性",IF(INDEX(Equipment[登记状态（自动）],MATCH(B310,Equipment[组合编号],0))&lt;&gt;"已登记","待补设备组合",IF(AND(F310&lt;&gt;"",G310&lt;&gt;"",K310&lt;&gt;"",L310&lt;&gt;"",M310&lt;&gt;"",N310&lt;&gt;"",ISNUMBER(O310),O310&gt;0,P310&lt;&gt;""),"记录齐全","待补实测记录")))))))))))</x:f>
        <x:v>待展开路径</x:v>
      </x:c>
    </x:row>
    <x:row r="311" ht="43.5" customHeight="1">
      <x:c r="A311" s="20" t="str">
        <x:v>REC-00302</x:v>
      </x:c>
      <x:c r="B311" s="20" t="str">
        <x:v>P1-B3-01</x:v>
      </x:c>
      <x:c r="C311" s="30" t="str">
        <x:f>IF(B311="","",IF(COUNTIFS(Equipment[组合编号],B311)&lt;&gt;1,"组合编号无效",INDEX(Equipment[PLC组],MATCH(B311,Equipment[组合编号],0))))</x:f>
        <x:v>汇川小型</x:v>
      </x:c>
      <x:c r="D311" s="30" t="str">
        <x:f>IF(B311="","",IF(COUNTIFS(Equipment[组合编号],B311)&lt;&gt;1,"组合编号无效",INDEX(Equipment[驱动品牌],MATCH(B311,Equipment[组合编号],0))))</x:f>
        <x:v>繁易</x:v>
      </x:c>
      <x:c r="E311" s="20" t="str">
        <x:v>T01</x:v>
      </x:c>
      <x:c r="F311" s="20"/>
      <x:c r="G311" s="20"/>
      <x:c r="H311" s="20" t="str">
        <x:v>待判定</x:v>
      </x:c>
      <x:c r="I311" s="20"/>
      <x:c r="J311" s="20" t="str">
        <x:v>未测试</x:v>
      </x:c>
      <x:c r="K311" s="20"/>
      <x:c r="L311" s="20"/>
      <x:c r="M311" s="20"/>
      <x:c r="N311" s="20"/>
      <x:c r="O311" s="31"/>
      <x:c r="P311" s="20"/>
      <x:c r="Q311" s="20"/>
      <x:c r="R311" s="20" t="str">
        <x:v>待展开</x:v>
      </x:c>
      <x:c r="S311" s="20"/>
      <x:c r="T311" s="31"/>
      <x:c r="U311" s="30" t="str">
        <x:f>IF(A311="","缺记录编号",IF(COUNTIFS(PathRecords[记录编号],A311)&lt;&gt;1,"记录编号重复",IF(OR(B311="",E311=""),"缺组合/功能",IF(COUNTIFS(Equipment[组合编号],B311)&lt;&gt;1,"组合编号无效",IF(COUNTIFS(FunctionMatrix[编号],E311)=0,"功能编号无效",IF(H311="不适用",IF(J311="已实测","适用性冲突",IF(I311="","待补不适用依据","不适用（非实测）")),IF(J311="阻塞",IF(I311="","待补阻塞原因","阻塞（非实测）"),IF(J311&lt;&gt;"已实测",IF(F311="","待展开路径","未实测"),IF(H311&lt;&gt;"适用","待确认适用性",IF(INDEX(Equipment[登记状态（自动）],MATCH(B311,Equipment[组合编号],0))&lt;&gt;"已登记","待补设备组合",IF(AND(F311&lt;&gt;"",G311&lt;&gt;"",K311&lt;&gt;"",L311&lt;&gt;"",M311&lt;&gt;"",N311&lt;&gt;"",ISNUMBER(O311),O311&gt;0,P311&lt;&gt;""),"记录齐全","待补实测记录")))))))))))</x:f>
        <x:v>待展开路径</x:v>
      </x:c>
    </x:row>
    <x:row r="312" ht="43.5" customHeight="1">
      <x:c r="A312" s="20" t="str">
        <x:v>REC-00303</x:v>
      </x:c>
      <x:c r="B312" s="20" t="str">
        <x:v>P1-B3-01</x:v>
      </x:c>
      <x:c r="C312" s="30" t="str">
        <x:f>IF(B312="","",IF(COUNTIFS(Equipment[组合编号],B312)&lt;&gt;1,"组合编号无效",INDEX(Equipment[PLC组],MATCH(B312,Equipment[组合编号],0))))</x:f>
        <x:v>汇川小型</x:v>
      </x:c>
      <x:c r="D312" s="30" t="str">
        <x:f>IF(B312="","",IF(COUNTIFS(Equipment[组合编号],B312)&lt;&gt;1,"组合编号无效",INDEX(Equipment[驱动品牌],MATCH(B312,Equipment[组合编号],0))))</x:f>
        <x:v>繁易</x:v>
      </x:c>
      <x:c r="E312" s="20" t="str">
        <x:v>T02</x:v>
      </x:c>
      <x:c r="F312" s="20"/>
      <x:c r="G312" s="20"/>
      <x:c r="H312" s="20" t="str">
        <x:v>待判定</x:v>
      </x:c>
      <x:c r="I312" s="20"/>
      <x:c r="J312" s="20" t="str">
        <x:v>未测试</x:v>
      </x:c>
      <x:c r="K312" s="20"/>
      <x:c r="L312" s="20"/>
      <x:c r="M312" s="20"/>
      <x:c r="N312" s="20"/>
      <x:c r="O312" s="31"/>
      <x:c r="P312" s="20"/>
      <x:c r="Q312" s="20"/>
      <x:c r="R312" s="20" t="str">
        <x:v>待展开</x:v>
      </x:c>
      <x:c r="S312" s="20"/>
      <x:c r="T312" s="31"/>
      <x:c r="U312" s="30" t="str">
        <x:f>IF(A312="","缺记录编号",IF(COUNTIFS(PathRecords[记录编号],A312)&lt;&gt;1,"记录编号重复",IF(OR(B312="",E312=""),"缺组合/功能",IF(COUNTIFS(Equipment[组合编号],B312)&lt;&gt;1,"组合编号无效",IF(COUNTIFS(FunctionMatrix[编号],E312)=0,"功能编号无效",IF(H312="不适用",IF(J312="已实测","适用性冲突",IF(I312="","待补不适用依据","不适用（非实测）")),IF(J312="阻塞",IF(I312="","待补阻塞原因","阻塞（非实测）"),IF(J312&lt;&gt;"已实测",IF(F312="","待展开路径","未实测"),IF(H312&lt;&gt;"适用","待确认适用性",IF(INDEX(Equipment[登记状态（自动）],MATCH(B312,Equipment[组合编号],0))&lt;&gt;"已登记","待补设备组合",IF(AND(F312&lt;&gt;"",G312&lt;&gt;"",K312&lt;&gt;"",L312&lt;&gt;"",M312&lt;&gt;"",N312&lt;&gt;"",ISNUMBER(O312),O312&gt;0,P312&lt;&gt;""),"记录齐全","待补实测记录")))))))))))</x:f>
        <x:v>待展开路径</x:v>
      </x:c>
    </x:row>
    <x:row r="313" ht="43.5" customHeight="1">
      <x:c r="A313" s="20" t="str">
        <x:v>REC-00304</x:v>
      </x:c>
      <x:c r="B313" s="20" t="str">
        <x:v>P1-B3-01</x:v>
      </x:c>
      <x:c r="C313" s="30" t="str">
        <x:f>IF(B313="","",IF(COUNTIFS(Equipment[组合编号],B313)&lt;&gt;1,"组合编号无效",INDEX(Equipment[PLC组],MATCH(B313,Equipment[组合编号],0))))</x:f>
        <x:v>汇川小型</x:v>
      </x:c>
      <x:c r="D313" s="30" t="str">
        <x:f>IF(B313="","",IF(COUNTIFS(Equipment[组合编号],B313)&lt;&gt;1,"组合编号无效",INDEX(Equipment[驱动品牌],MATCH(B313,Equipment[组合编号],0))))</x:f>
        <x:v>繁易</x:v>
      </x:c>
      <x:c r="E313" s="20" t="str">
        <x:v>T03</x:v>
      </x:c>
      <x:c r="F313" s="20"/>
      <x:c r="G313" s="20"/>
      <x:c r="H313" s="20" t="str">
        <x:v>待判定</x:v>
      </x:c>
      <x:c r="I313" s="20"/>
      <x:c r="J313" s="20" t="str">
        <x:v>未测试</x:v>
      </x:c>
      <x:c r="K313" s="20"/>
      <x:c r="L313" s="20"/>
      <x:c r="M313" s="20"/>
      <x:c r="N313" s="20"/>
      <x:c r="O313" s="31"/>
      <x:c r="P313" s="20"/>
      <x:c r="Q313" s="20"/>
      <x:c r="R313" s="20" t="str">
        <x:v>待展开</x:v>
      </x:c>
      <x:c r="S313" s="20"/>
      <x:c r="T313" s="31"/>
      <x:c r="U313" s="30" t="str">
        <x:f>IF(A313="","缺记录编号",IF(COUNTIFS(PathRecords[记录编号],A313)&lt;&gt;1,"记录编号重复",IF(OR(B313="",E313=""),"缺组合/功能",IF(COUNTIFS(Equipment[组合编号],B313)&lt;&gt;1,"组合编号无效",IF(COUNTIFS(FunctionMatrix[编号],E313)=0,"功能编号无效",IF(H313="不适用",IF(J313="已实测","适用性冲突",IF(I313="","待补不适用依据","不适用（非实测）")),IF(J313="阻塞",IF(I313="","待补阻塞原因","阻塞（非实测）"),IF(J313&lt;&gt;"已实测",IF(F313="","待展开路径","未实测"),IF(H313&lt;&gt;"适用","待确认适用性",IF(INDEX(Equipment[登记状态（自动）],MATCH(B313,Equipment[组合编号],0))&lt;&gt;"已登记","待补设备组合",IF(AND(F313&lt;&gt;"",G313&lt;&gt;"",K313&lt;&gt;"",L313&lt;&gt;"",M313&lt;&gt;"",N313&lt;&gt;"",ISNUMBER(O313),O313&gt;0,P313&lt;&gt;""),"记录齐全","待补实测记录")))))))))))</x:f>
        <x:v>待展开路径</x:v>
      </x:c>
    </x:row>
    <x:row r="314" ht="43.5" customHeight="1">
      <x:c r="A314" s="20" t="str">
        <x:v>REC-00305</x:v>
      </x:c>
      <x:c r="B314" s="20" t="str">
        <x:v>P1-B3-01</x:v>
      </x:c>
      <x:c r="C314" s="30" t="str">
        <x:f>IF(B314="","",IF(COUNTIFS(Equipment[组合编号],B314)&lt;&gt;1,"组合编号无效",INDEX(Equipment[PLC组],MATCH(B314,Equipment[组合编号],0))))</x:f>
        <x:v>汇川小型</x:v>
      </x:c>
      <x:c r="D314" s="30" t="str">
        <x:f>IF(B314="","",IF(COUNTIFS(Equipment[组合编号],B314)&lt;&gt;1,"组合编号无效",INDEX(Equipment[驱动品牌],MATCH(B314,Equipment[组合编号],0))))</x:f>
        <x:v>繁易</x:v>
      </x:c>
      <x:c r="E314" s="20" t="str">
        <x:v>T04</x:v>
      </x:c>
      <x:c r="F314" s="20"/>
      <x:c r="G314" s="20"/>
      <x:c r="H314" s="20" t="str">
        <x:v>待判定</x:v>
      </x:c>
      <x:c r="I314" s="20"/>
      <x:c r="J314" s="20" t="str">
        <x:v>未测试</x:v>
      </x:c>
      <x:c r="K314" s="20"/>
      <x:c r="L314" s="20"/>
      <x:c r="M314" s="20"/>
      <x:c r="N314" s="20"/>
      <x:c r="O314" s="31"/>
      <x:c r="P314" s="20"/>
      <x:c r="Q314" s="20"/>
      <x:c r="R314" s="20" t="str">
        <x:v>待展开</x:v>
      </x:c>
      <x:c r="S314" s="20"/>
      <x:c r="T314" s="31"/>
      <x:c r="U314" s="30" t="str">
        <x:f>IF(A314="","缺记录编号",IF(COUNTIFS(PathRecords[记录编号],A314)&lt;&gt;1,"记录编号重复",IF(OR(B314="",E314=""),"缺组合/功能",IF(COUNTIFS(Equipment[组合编号],B314)&lt;&gt;1,"组合编号无效",IF(COUNTIFS(FunctionMatrix[编号],E314)=0,"功能编号无效",IF(H314="不适用",IF(J314="已实测","适用性冲突",IF(I314="","待补不适用依据","不适用（非实测）")),IF(J314="阻塞",IF(I314="","待补阻塞原因","阻塞（非实测）"),IF(J314&lt;&gt;"已实测",IF(F314="","待展开路径","未实测"),IF(H314&lt;&gt;"适用","待确认适用性",IF(INDEX(Equipment[登记状态（自动）],MATCH(B314,Equipment[组合编号],0))&lt;&gt;"已登记","待补设备组合",IF(AND(F314&lt;&gt;"",G314&lt;&gt;"",K314&lt;&gt;"",L314&lt;&gt;"",M314&lt;&gt;"",N314&lt;&gt;"",ISNUMBER(O314),O314&gt;0,P314&lt;&gt;""),"记录齐全","待补实测记录")))))))))))</x:f>
        <x:v>待展开路径</x:v>
      </x:c>
    </x:row>
    <x:row r="315" ht="43.5" customHeight="1">
      <x:c r="A315" s="20" t="str">
        <x:v>REC-00306</x:v>
      </x:c>
      <x:c r="B315" s="20" t="str">
        <x:v>P1-B3-01</x:v>
      </x:c>
      <x:c r="C315" s="30" t="str">
        <x:f>IF(B315="","",IF(COUNTIFS(Equipment[组合编号],B315)&lt;&gt;1,"组合编号无效",INDEX(Equipment[PLC组],MATCH(B315,Equipment[组合编号],0))))</x:f>
        <x:v>汇川小型</x:v>
      </x:c>
      <x:c r="D315" s="30" t="str">
        <x:f>IF(B315="","",IF(COUNTIFS(Equipment[组合编号],B315)&lt;&gt;1,"组合编号无效",INDEX(Equipment[驱动品牌],MATCH(B315,Equipment[组合编号],0))))</x:f>
        <x:v>繁易</x:v>
      </x:c>
      <x:c r="E315" s="20" t="str">
        <x:v>T05</x:v>
      </x:c>
      <x:c r="F315" s="20"/>
      <x:c r="G315" s="20"/>
      <x:c r="H315" s="20" t="str">
        <x:v>待判定</x:v>
      </x:c>
      <x:c r="I315" s="20"/>
      <x:c r="J315" s="20" t="str">
        <x:v>未测试</x:v>
      </x:c>
      <x:c r="K315" s="20"/>
      <x:c r="L315" s="20"/>
      <x:c r="M315" s="20"/>
      <x:c r="N315" s="20"/>
      <x:c r="O315" s="31"/>
      <x:c r="P315" s="20"/>
      <x:c r="Q315" s="20"/>
      <x:c r="R315" s="20" t="str">
        <x:v>待展开</x:v>
      </x:c>
      <x:c r="S315" s="20"/>
      <x:c r="T315" s="31"/>
      <x:c r="U315" s="30" t="str">
        <x:f>IF(A315="","缺记录编号",IF(COUNTIFS(PathRecords[记录编号],A315)&lt;&gt;1,"记录编号重复",IF(OR(B315="",E315=""),"缺组合/功能",IF(COUNTIFS(Equipment[组合编号],B315)&lt;&gt;1,"组合编号无效",IF(COUNTIFS(FunctionMatrix[编号],E315)=0,"功能编号无效",IF(H315="不适用",IF(J315="已实测","适用性冲突",IF(I315="","待补不适用依据","不适用（非实测）")),IF(J315="阻塞",IF(I315="","待补阻塞原因","阻塞（非实测）"),IF(J315&lt;&gt;"已实测",IF(F315="","待展开路径","未实测"),IF(H315&lt;&gt;"适用","待确认适用性",IF(INDEX(Equipment[登记状态（自动）],MATCH(B315,Equipment[组合编号],0))&lt;&gt;"已登记","待补设备组合",IF(AND(F315&lt;&gt;"",G315&lt;&gt;"",K315&lt;&gt;"",L315&lt;&gt;"",M315&lt;&gt;"",N315&lt;&gt;"",ISNUMBER(O315),O315&gt;0,P315&lt;&gt;""),"记录齐全","待补实测记录")))))))))))</x:f>
        <x:v>待展开路径</x:v>
      </x:c>
    </x:row>
    <x:row r="316" ht="43.5" customHeight="1">
      <x:c r="A316" s="20" t="str">
        <x:v>REC-00307</x:v>
      </x:c>
      <x:c r="B316" s="20" t="str">
        <x:v>P1-B3-01</x:v>
      </x:c>
      <x:c r="C316" s="30" t="str">
        <x:f>IF(B316="","",IF(COUNTIFS(Equipment[组合编号],B316)&lt;&gt;1,"组合编号无效",INDEX(Equipment[PLC组],MATCH(B316,Equipment[组合编号],0))))</x:f>
        <x:v>汇川小型</x:v>
      </x:c>
      <x:c r="D316" s="30" t="str">
        <x:f>IF(B316="","",IF(COUNTIFS(Equipment[组合编号],B316)&lt;&gt;1,"组合编号无效",INDEX(Equipment[驱动品牌],MATCH(B316,Equipment[组合编号],0))))</x:f>
        <x:v>繁易</x:v>
      </x:c>
      <x:c r="E316" s="20" t="str">
        <x:v>T06</x:v>
      </x:c>
      <x:c r="F316" s="20"/>
      <x:c r="G316" s="20"/>
      <x:c r="H316" s="20" t="str">
        <x:v>待判定</x:v>
      </x:c>
      <x:c r="I316" s="20"/>
      <x:c r="J316" s="20" t="str">
        <x:v>未测试</x:v>
      </x:c>
      <x:c r="K316" s="20"/>
      <x:c r="L316" s="20"/>
      <x:c r="M316" s="20"/>
      <x:c r="N316" s="20"/>
      <x:c r="O316" s="31"/>
      <x:c r="P316" s="20"/>
      <x:c r="Q316" s="20"/>
      <x:c r="R316" s="20" t="str">
        <x:v>待展开</x:v>
      </x:c>
      <x:c r="S316" s="20"/>
      <x:c r="T316" s="31"/>
      <x:c r="U316" s="30" t="str">
        <x:f>IF(A316="","缺记录编号",IF(COUNTIFS(PathRecords[记录编号],A316)&lt;&gt;1,"记录编号重复",IF(OR(B316="",E316=""),"缺组合/功能",IF(COUNTIFS(Equipment[组合编号],B316)&lt;&gt;1,"组合编号无效",IF(COUNTIFS(FunctionMatrix[编号],E316)=0,"功能编号无效",IF(H316="不适用",IF(J316="已实测","适用性冲突",IF(I316="","待补不适用依据","不适用（非实测）")),IF(J316="阻塞",IF(I316="","待补阻塞原因","阻塞（非实测）"),IF(J316&lt;&gt;"已实测",IF(F316="","待展开路径","未实测"),IF(H316&lt;&gt;"适用","待确认适用性",IF(INDEX(Equipment[登记状态（自动）],MATCH(B316,Equipment[组合编号],0))&lt;&gt;"已登记","待补设备组合",IF(AND(F316&lt;&gt;"",G316&lt;&gt;"",K316&lt;&gt;"",L316&lt;&gt;"",M316&lt;&gt;"",N316&lt;&gt;"",ISNUMBER(O316),O316&gt;0,P316&lt;&gt;""),"记录齐全","待补实测记录")))))))))))</x:f>
        <x:v>待展开路径</x:v>
      </x:c>
    </x:row>
    <x:row r="317" ht="43.5" customHeight="1">
      <x:c r="A317" s="20" t="str">
        <x:v>REC-00308</x:v>
      </x:c>
      <x:c r="B317" s="20" t="str">
        <x:v>P1-B3-01</x:v>
      </x:c>
      <x:c r="C317" s="30" t="str">
        <x:f>IF(B317="","",IF(COUNTIFS(Equipment[组合编号],B317)&lt;&gt;1,"组合编号无效",INDEX(Equipment[PLC组],MATCH(B317,Equipment[组合编号],0))))</x:f>
        <x:v>汇川小型</x:v>
      </x:c>
      <x:c r="D317" s="30" t="str">
        <x:f>IF(B317="","",IF(COUNTIFS(Equipment[组合编号],B317)&lt;&gt;1,"组合编号无效",INDEX(Equipment[驱动品牌],MATCH(B317,Equipment[组合编号],0))))</x:f>
        <x:v>繁易</x:v>
      </x:c>
      <x:c r="E317" s="20" t="str">
        <x:v>T07</x:v>
      </x:c>
      <x:c r="F317" s="20"/>
      <x:c r="G317" s="20"/>
      <x:c r="H317" s="20" t="str">
        <x:v>待判定</x:v>
      </x:c>
      <x:c r="I317" s="20"/>
      <x:c r="J317" s="20" t="str">
        <x:v>未测试</x:v>
      </x:c>
      <x:c r="K317" s="20"/>
      <x:c r="L317" s="20"/>
      <x:c r="M317" s="20"/>
      <x:c r="N317" s="20"/>
      <x:c r="O317" s="31"/>
      <x:c r="P317" s="20"/>
      <x:c r="Q317" s="20"/>
      <x:c r="R317" s="20" t="str">
        <x:v>待展开</x:v>
      </x:c>
      <x:c r="S317" s="20"/>
      <x:c r="T317" s="31"/>
      <x:c r="U317" s="30" t="str">
        <x:f>IF(A317="","缺记录编号",IF(COUNTIFS(PathRecords[记录编号],A317)&lt;&gt;1,"记录编号重复",IF(OR(B317="",E317=""),"缺组合/功能",IF(COUNTIFS(Equipment[组合编号],B317)&lt;&gt;1,"组合编号无效",IF(COUNTIFS(FunctionMatrix[编号],E317)=0,"功能编号无效",IF(H317="不适用",IF(J317="已实测","适用性冲突",IF(I317="","待补不适用依据","不适用（非实测）")),IF(J317="阻塞",IF(I317="","待补阻塞原因","阻塞（非实测）"),IF(J317&lt;&gt;"已实测",IF(F317="","待展开路径","未实测"),IF(H317&lt;&gt;"适用","待确认适用性",IF(INDEX(Equipment[登记状态（自动）],MATCH(B317,Equipment[组合编号],0))&lt;&gt;"已登记","待补设备组合",IF(AND(F317&lt;&gt;"",G317&lt;&gt;"",K317&lt;&gt;"",L317&lt;&gt;"",M317&lt;&gt;"",N317&lt;&gt;"",ISNUMBER(O317),O317&gt;0,P317&lt;&gt;""),"记录齐全","待补实测记录")))))))))))</x:f>
        <x:v>待展开路径</x:v>
      </x:c>
    </x:row>
    <x:row r="318" ht="43.5" customHeight="1">
      <x:c r="A318" s="20" t="str">
        <x:v>REC-00309</x:v>
      </x:c>
      <x:c r="B318" s="20" t="str">
        <x:v>P1-B3-01</x:v>
      </x:c>
      <x:c r="C318" s="30" t="str">
        <x:f>IF(B318="","",IF(COUNTIFS(Equipment[组合编号],B318)&lt;&gt;1,"组合编号无效",INDEX(Equipment[PLC组],MATCH(B318,Equipment[组合编号],0))))</x:f>
        <x:v>汇川小型</x:v>
      </x:c>
      <x:c r="D318" s="30" t="str">
        <x:f>IF(B318="","",IF(COUNTIFS(Equipment[组合编号],B318)&lt;&gt;1,"组合编号无效",INDEX(Equipment[驱动品牌],MATCH(B318,Equipment[组合编号],0))))</x:f>
        <x:v>繁易</x:v>
      </x:c>
      <x:c r="E318" s="20" t="str">
        <x:v>T08</x:v>
      </x:c>
      <x:c r="F318" s="20"/>
      <x:c r="G318" s="20"/>
      <x:c r="H318" s="20" t="str">
        <x:v>待判定</x:v>
      </x:c>
      <x:c r="I318" s="20"/>
      <x:c r="J318" s="20" t="str">
        <x:v>未测试</x:v>
      </x:c>
      <x:c r="K318" s="20"/>
      <x:c r="L318" s="20"/>
      <x:c r="M318" s="20"/>
      <x:c r="N318" s="20"/>
      <x:c r="O318" s="31"/>
      <x:c r="P318" s="20"/>
      <x:c r="Q318" s="20"/>
      <x:c r="R318" s="20" t="str">
        <x:v>待展开</x:v>
      </x:c>
      <x:c r="S318" s="20"/>
      <x:c r="T318" s="31"/>
      <x:c r="U318" s="30" t="str">
        <x:f>IF(A318="","缺记录编号",IF(COUNTIFS(PathRecords[记录编号],A318)&lt;&gt;1,"记录编号重复",IF(OR(B318="",E318=""),"缺组合/功能",IF(COUNTIFS(Equipment[组合编号],B318)&lt;&gt;1,"组合编号无效",IF(COUNTIFS(FunctionMatrix[编号],E318)=0,"功能编号无效",IF(H318="不适用",IF(J318="已实测","适用性冲突",IF(I318="","待补不适用依据","不适用（非实测）")),IF(J318="阻塞",IF(I318="","待补阻塞原因","阻塞（非实测）"),IF(J318&lt;&gt;"已实测",IF(F318="","待展开路径","未实测"),IF(H318&lt;&gt;"适用","待确认适用性",IF(INDEX(Equipment[登记状态（自动）],MATCH(B318,Equipment[组合编号],0))&lt;&gt;"已登记","待补设备组合",IF(AND(F318&lt;&gt;"",G318&lt;&gt;"",K318&lt;&gt;"",L318&lt;&gt;"",M318&lt;&gt;"",N318&lt;&gt;"",ISNUMBER(O318),O318&gt;0,P318&lt;&gt;""),"记录齐全","待补实测记录")))))))))))</x:f>
        <x:v>待展开路径</x:v>
      </x:c>
    </x:row>
    <x:row r="319" ht="43.5" customHeight="1">
      <x:c r="A319" s="20" t="str">
        <x:v>REC-00310</x:v>
      </x:c>
      <x:c r="B319" s="20" t="str">
        <x:v>P1-B3-01</x:v>
      </x:c>
      <x:c r="C319" s="30" t="str">
        <x:f>IF(B319="","",IF(COUNTIFS(Equipment[组合编号],B319)&lt;&gt;1,"组合编号无效",INDEX(Equipment[PLC组],MATCH(B319,Equipment[组合编号],0))))</x:f>
        <x:v>汇川小型</x:v>
      </x:c>
      <x:c r="D319" s="30" t="str">
        <x:f>IF(B319="","",IF(COUNTIFS(Equipment[组合编号],B319)&lt;&gt;1,"组合编号无效",INDEX(Equipment[驱动品牌],MATCH(B319,Equipment[组合编号],0))))</x:f>
        <x:v>繁易</x:v>
      </x:c>
      <x:c r="E319" s="20" t="str">
        <x:v>T09</x:v>
      </x:c>
      <x:c r="F319" s="20"/>
      <x:c r="G319" s="20"/>
      <x:c r="H319" s="20" t="str">
        <x:v>待判定</x:v>
      </x:c>
      <x:c r="I319" s="20"/>
      <x:c r="J319" s="20" t="str">
        <x:v>未测试</x:v>
      </x:c>
      <x:c r="K319" s="20"/>
      <x:c r="L319" s="20"/>
      <x:c r="M319" s="20"/>
      <x:c r="N319" s="20"/>
      <x:c r="O319" s="31"/>
      <x:c r="P319" s="20"/>
      <x:c r="Q319" s="20"/>
      <x:c r="R319" s="20" t="str">
        <x:v>待展开</x:v>
      </x:c>
      <x:c r="S319" s="20"/>
      <x:c r="T319" s="31"/>
      <x:c r="U319" s="30" t="str">
        <x:f>IF(A319="","缺记录编号",IF(COUNTIFS(PathRecords[记录编号],A319)&lt;&gt;1,"记录编号重复",IF(OR(B319="",E319=""),"缺组合/功能",IF(COUNTIFS(Equipment[组合编号],B319)&lt;&gt;1,"组合编号无效",IF(COUNTIFS(FunctionMatrix[编号],E319)=0,"功能编号无效",IF(H319="不适用",IF(J319="已实测","适用性冲突",IF(I319="","待补不适用依据","不适用（非实测）")),IF(J319="阻塞",IF(I319="","待补阻塞原因","阻塞（非实测）"),IF(J319&lt;&gt;"已实测",IF(F319="","待展开路径","未实测"),IF(H319&lt;&gt;"适用","待确认适用性",IF(INDEX(Equipment[登记状态（自动）],MATCH(B319,Equipment[组合编号],0))&lt;&gt;"已登记","待补设备组合",IF(AND(F319&lt;&gt;"",G319&lt;&gt;"",K319&lt;&gt;"",L319&lt;&gt;"",M319&lt;&gt;"",N319&lt;&gt;"",ISNUMBER(O319),O319&gt;0,P319&lt;&gt;""),"记录齐全","待补实测记录")))))))))))</x:f>
        <x:v>待展开路径</x:v>
      </x:c>
    </x:row>
    <x:row r="320" ht="43.5" customHeight="1">
      <x:c r="A320" s="20" t="str">
        <x:v>REC-00311</x:v>
      </x:c>
      <x:c r="B320" s="20" t="str">
        <x:v>P1-B3-01</x:v>
      </x:c>
      <x:c r="C320" s="30" t="str">
        <x:f>IF(B320="","",IF(COUNTIFS(Equipment[组合编号],B320)&lt;&gt;1,"组合编号无效",INDEX(Equipment[PLC组],MATCH(B320,Equipment[组合编号],0))))</x:f>
        <x:v>汇川小型</x:v>
      </x:c>
      <x:c r="D320" s="30" t="str">
        <x:f>IF(B320="","",IF(COUNTIFS(Equipment[组合编号],B320)&lt;&gt;1,"组合编号无效",INDEX(Equipment[驱动品牌],MATCH(B320,Equipment[组合编号],0))))</x:f>
        <x:v>繁易</x:v>
      </x:c>
      <x:c r="E320" s="20" t="str">
        <x:v>R01</x:v>
      </x:c>
      <x:c r="F320" s="20"/>
      <x:c r="G320" s="20"/>
      <x:c r="H320" s="20" t="str">
        <x:v>待判定</x:v>
      </x:c>
      <x:c r="I320" s="20"/>
      <x:c r="J320" s="20" t="str">
        <x:v>未测试</x:v>
      </x:c>
      <x:c r="K320" s="20"/>
      <x:c r="L320" s="20"/>
      <x:c r="M320" s="20"/>
      <x:c r="N320" s="20"/>
      <x:c r="O320" s="31"/>
      <x:c r="P320" s="20"/>
      <x:c r="Q320" s="20"/>
      <x:c r="R320" s="20" t="str">
        <x:v>待展开</x:v>
      </x:c>
      <x:c r="S320" s="20"/>
      <x:c r="T320" s="31"/>
      <x:c r="U320" s="30" t="str">
        <x:f>IF(A320="","缺记录编号",IF(COUNTIFS(PathRecords[记录编号],A320)&lt;&gt;1,"记录编号重复",IF(OR(B320="",E320=""),"缺组合/功能",IF(COUNTIFS(Equipment[组合编号],B320)&lt;&gt;1,"组合编号无效",IF(COUNTIFS(FunctionMatrix[编号],E320)=0,"功能编号无效",IF(H320="不适用",IF(J320="已实测","适用性冲突",IF(I320="","待补不适用依据","不适用（非实测）")),IF(J320="阻塞",IF(I320="","待补阻塞原因","阻塞（非实测）"),IF(J320&lt;&gt;"已实测",IF(F320="","待展开路径","未实测"),IF(H320&lt;&gt;"适用","待确认适用性",IF(INDEX(Equipment[登记状态（自动）],MATCH(B320,Equipment[组合编号],0))&lt;&gt;"已登记","待补设备组合",IF(AND(F320&lt;&gt;"",G320&lt;&gt;"",K320&lt;&gt;"",L320&lt;&gt;"",M320&lt;&gt;"",N320&lt;&gt;"",ISNUMBER(O320),O320&gt;0,P320&lt;&gt;""),"记录齐全","待补实测记录")))))))))))</x:f>
        <x:v>待展开路径</x:v>
      </x:c>
    </x:row>
    <x:row r="321" ht="43.5" customHeight="1">
      <x:c r="A321" s="20" t="str">
        <x:v>REC-00312</x:v>
      </x:c>
      <x:c r="B321" s="20" t="str">
        <x:v>P1-B3-01</x:v>
      </x:c>
      <x:c r="C321" s="30" t="str">
        <x:f>IF(B321="","",IF(COUNTIFS(Equipment[组合编号],B321)&lt;&gt;1,"组合编号无效",INDEX(Equipment[PLC组],MATCH(B321,Equipment[组合编号],0))))</x:f>
        <x:v>汇川小型</x:v>
      </x:c>
      <x:c r="D321" s="30" t="str">
        <x:f>IF(B321="","",IF(COUNTIFS(Equipment[组合编号],B321)&lt;&gt;1,"组合编号无效",INDEX(Equipment[驱动品牌],MATCH(B321,Equipment[组合编号],0))))</x:f>
        <x:v>繁易</x:v>
      </x:c>
      <x:c r="E321" s="20" t="str">
        <x:v>R02</x:v>
      </x:c>
      <x:c r="F321" s="20"/>
      <x:c r="G321" s="20"/>
      <x:c r="H321" s="20" t="str">
        <x:v>待判定</x:v>
      </x:c>
      <x:c r="I321" s="20"/>
      <x:c r="J321" s="20" t="str">
        <x:v>未测试</x:v>
      </x:c>
      <x:c r="K321" s="20"/>
      <x:c r="L321" s="20"/>
      <x:c r="M321" s="20"/>
      <x:c r="N321" s="20"/>
      <x:c r="O321" s="31"/>
      <x:c r="P321" s="20"/>
      <x:c r="Q321" s="20"/>
      <x:c r="R321" s="20" t="str">
        <x:v>待展开</x:v>
      </x:c>
      <x:c r="S321" s="20"/>
      <x:c r="T321" s="31"/>
      <x:c r="U321" s="30" t="str">
        <x:f>IF(A321="","缺记录编号",IF(COUNTIFS(PathRecords[记录编号],A321)&lt;&gt;1,"记录编号重复",IF(OR(B321="",E321=""),"缺组合/功能",IF(COUNTIFS(Equipment[组合编号],B321)&lt;&gt;1,"组合编号无效",IF(COUNTIFS(FunctionMatrix[编号],E321)=0,"功能编号无效",IF(H321="不适用",IF(J321="已实测","适用性冲突",IF(I321="","待补不适用依据","不适用（非实测）")),IF(J321="阻塞",IF(I321="","待补阻塞原因","阻塞（非实测）"),IF(J321&lt;&gt;"已实测",IF(F321="","待展开路径","未实测"),IF(H321&lt;&gt;"适用","待确认适用性",IF(INDEX(Equipment[登记状态（自动）],MATCH(B321,Equipment[组合编号],0))&lt;&gt;"已登记","待补设备组合",IF(AND(F321&lt;&gt;"",G321&lt;&gt;"",K321&lt;&gt;"",L321&lt;&gt;"",M321&lt;&gt;"",N321&lt;&gt;"",ISNUMBER(O321),O321&gt;0,P321&lt;&gt;""),"记录齐全","待补实测记录")))))))))))</x:f>
        <x:v>待展开路径</x:v>
      </x:c>
    </x:row>
    <x:row r="322" ht="43.5" customHeight="1">
      <x:c r="A322" s="20" t="str">
        <x:v>REC-00313</x:v>
      </x:c>
      <x:c r="B322" s="20" t="str">
        <x:v>P1-B3-01</x:v>
      </x:c>
      <x:c r="C322" s="30" t="str">
        <x:f>IF(B322="","",IF(COUNTIFS(Equipment[组合编号],B322)&lt;&gt;1,"组合编号无效",INDEX(Equipment[PLC组],MATCH(B322,Equipment[组合编号],0))))</x:f>
        <x:v>汇川小型</x:v>
      </x:c>
      <x:c r="D322" s="30" t="str">
        <x:f>IF(B322="","",IF(COUNTIFS(Equipment[组合编号],B322)&lt;&gt;1,"组合编号无效",INDEX(Equipment[驱动品牌],MATCH(B322,Equipment[组合编号],0))))</x:f>
        <x:v>繁易</x:v>
      </x:c>
      <x:c r="E322" s="20" t="str">
        <x:v>R03</x:v>
      </x:c>
      <x:c r="F322" s="20"/>
      <x:c r="G322" s="20"/>
      <x:c r="H322" s="20" t="str">
        <x:v>待判定</x:v>
      </x:c>
      <x:c r="I322" s="20"/>
      <x:c r="J322" s="20" t="str">
        <x:v>未测试</x:v>
      </x:c>
      <x:c r="K322" s="20"/>
      <x:c r="L322" s="20"/>
      <x:c r="M322" s="20"/>
      <x:c r="N322" s="20"/>
      <x:c r="O322" s="31"/>
      <x:c r="P322" s="20"/>
      <x:c r="Q322" s="20"/>
      <x:c r="R322" s="20" t="str">
        <x:v>待展开</x:v>
      </x:c>
      <x:c r="S322" s="20"/>
      <x:c r="T322" s="31"/>
      <x:c r="U322" s="30" t="str">
        <x:f>IF(A322="","缺记录编号",IF(COUNTIFS(PathRecords[记录编号],A322)&lt;&gt;1,"记录编号重复",IF(OR(B322="",E322=""),"缺组合/功能",IF(COUNTIFS(Equipment[组合编号],B322)&lt;&gt;1,"组合编号无效",IF(COUNTIFS(FunctionMatrix[编号],E322)=0,"功能编号无效",IF(H322="不适用",IF(J322="已实测","适用性冲突",IF(I322="","待补不适用依据","不适用（非实测）")),IF(J322="阻塞",IF(I322="","待补阻塞原因","阻塞（非实测）"),IF(J322&lt;&gt;"已实测",IF(F322="","待展开路径","未实测"),IF(H322&lt;&gt;"适用","待确认适用性",IF(INDEX(Equipment[登记状态（自动）],MATCH(B322,Equipment[组合编号],0))&lt;&gt;"已登记","待补设备组合",IF(AND(F322&lt;&gt;"",G322&lt;&gt;"",K322&lt;&gt;"",L322&lt;&gt;"",M322&lt;&gt;"",N322&lt;&gt;"",ISNUMBER(O322),O322&gt;0,P322&lt;&gt;""),"记录齐全","待补实测记录")))))))))))</x:f>
        <x:v>待展开路径</x:v>
      </x:c>
    </x:row>
    <x:row r="323" ht="43.5" customHeight="1">
      <x:c r="A323" s="20" t="str">
        <x:v>REC-00314</x:v>
      </x:c>
      <x:c r="B323" s="20" t="str">
        <x:v>P1-B3-01</x:v>
      </x:c>
      <x:c r="C323" s="30" t="str">
        <x:f>IF(B323="","",IF(COUNTIFS(Equipment[组合编号],B323)&lt;&gt;1,"组合编号无效",INDEX(Equipment[PLC组],MATCH(B323,Equipment[组合编号],0))))</x:f>
        <x:v>汇川小型</x:v>
      </x:c>
      <x:c r="D323" s="30" t="str">
        <x:f>IF(B323="","",IF(COUNTIFS(Equipment[组合编号],B323)&lt;&gt;1,"组合编号无效",INDEX(Equipment[驱动品牌],MATCH(B323,Equipment[组合编号],0))))</x:f>
        <x:v>繁易</x:v>
      </x:c>
      <x:c r="E323" s="20" t="str">
        <x:v>R04</x:v>
      </x:c>
      <x:c r="F323" s="20"/>
      <x:c r="G323" s="20"/>
      <x:c r="H323" s="20" t="str">
        <x:v>待判定</x:v>
      </x:c>
      <x:c r="I323" s="20"/>
      <x:c r="J323" s="20" t="str">
        <x:v>未测试</x:v>
      </x:c>
      <x:c r="K323" s="20"/>
      <x:c r="L323" s="20"/>
      <x:c r="M323" s="20"/>
      <x:c r="N323" s="20"/>
      <x:c r="O323" s="31"/>
      <x:c r="P323" s="20"/>
      <x:c r="Q323" s="20"/>
      <x:c r="R323" s="20" t="str">
        <x:v>待展开</x:v>
      </x:c>
      <x:c r="S323" s="20"/>
      <x:c r="T323" s="31"/>
      <x:c r="U323" s="30" t="str">
        <x:f>IF(A323="","缺记录编号",IF(COUNTIFS(PathRecords[记录编号],A323)&lt;&gt;1,"记录编号重复",IF(OR(B323="",E323=""),"缺组合/功能",IF(COUNTIFS(Equipment[组合编号],B323)&lt;&gt;1,"组合编号无效",IF(COUNTIFS(FunctionMatrix[编号],E323)=0,"功能编号无效",IF(H323="不适用",IF(J323="已实测","适用性冲突",IF(I323="","待补不适用依据","不适用（非实测）")),IF(J323="阻塞",IF(I323="","待补阻塞原因","阻塞（非实测）"),IF(J323&lt;&gt;"已实测",IF(F323="","待展开路径","未实测"),IF(H323&lt;&gt;"适用","待确认适用性",IF(INDEX(Equipment[登记状态（自动）],MATCH(B323,Equipment[组合编号],0))&lt;&gt;"已登记","待补设备组合",IF(AND(F323&lt;&gt;"",G323&lt;&gt;"",K323&lt;&gt;"",L323&lt;&gt;"",M323&lt;&gt;"",N323&lt;&gt;"",ISNUMBER(O323),O323&gt;0,P323&lt;&gt;""),"记录齐全","待补实测记录")))))))))))</x:f>
        <x:v>待展开路径</x:v>
      </x:c>
    </x:row>
    <x:row r="324" ht="43.5" customHeight="1">
      <x:c r="A324" s="20" t="str">
        <x:v>REC-00315</x:v>
      </x:c>
      <x:c r="B324" s="20" t="str">
        <x:v>P1-B3-01</x:v>
      </x:c>
      <x:c r="C324" s="30" t="str">
        <x:f>IF(B324="","",IF(COUNTIFS(Equipment[组合编号],B324)&lt;&gt;1,"组合编号无效",INDEX(Equipment[PLC组],MATCH(B324,Equipment[组合编号],0))))</x:f>
        <x:v>汇川小型</x:v>
      </x:c>
      <x:c r="D324" s="30" t="str">
        <x:f>IF(B324="","",IF(COUNTIFS(Equipment[组合编号],B324)&lt;&gt;1,"组合编号无效",INDEX(Equipment[驱动品牌],MATCH(B324,Equipment[组合编号],0))))</x:f>
        <x:v>繁易</x:v>
      </x:c>
      <x:c r="E324" s="20" t="str">
        <x:v>R05</x:v>
      </x:c>
      <x:c r="F324" s="20"/>
      <x:c r="G324" s="20"/>
      <x:c r="H324" s="20" t="str">
        <x:v>待判定</x:v>
      </x:c>
      <x:c r="I324" s="20"/>
      <x:c r="J324" s="20" t="str">
        <x:v>未测试</x:v>
      </x:c>
      <x:c r="K324" s="20"/>
      <x:c r="L324" s="20"/>
      <x:c r="M324" s="20"/>
      <x:c r="N324" s="20"/>
      <x:c r="O324" s="31"/>
      <x:c r="P324" s="20"/>
      <x:c r="Q324" s="20"/>
      <x:c r="R324" s="20" t="str">
        <x:v>待展开</x:v>
      </x:c>
      <x:c r="S324" s="20"/>
      <x:c r="T324" s="31"/>
      <x:c r="U324" s="30" t="str">
        <x:f>IF(A324="","缺记录编号",IF(COUNTIFS(PathRecords[记录编号],A324)&lt;&gt;1,"记录编号重复",IF(OR(B324="",E324=""),"缺组合/功能",IF(COUNTIFS(Equipment[组合编号],B324)&lt;&gt;1,"组合编号无效",IF(COUNTIFS(FunctionMatrix[编号],E324)=0,"功能编号无效",IF(H324="不适用",IF(J324="已实测","适用性冲突",IF(I324="","待补不适用依据","不适用（非实测）")),IF(J324="阻塞",IF(I324="","待补阻塞原因","阻塞（非实测）"),IF(J324&lt;&gt;"已实测",IF(F324="","待展开路径","未实测"),IF(H324&lt;&gt;"适用","待确认适用性",IF(INDEX(Equipment[登记状态（自动）],MATCH(B324,Equipment[组合编号],0))&lt;&gt;"已登记","待补设备组合",IF(AND(F324&lt;&gt;"",G324&lt;&gt;"",K324&lt;&gt;"",L324&lt;&gt;"",M324&lt;&gt;"",N324&lt;&gt;"",ISNUMBER(O324),O324&gt;0,P324&lt;&gt;""),"记录齐全","待补实测记录")))))))))))</x:f>
        <x:v>待展开路径</x:v>
      </x:c>
    </x:row>
    <x:row r="325" ht="43.5" customHeight="1">
      <x:c r="A325" s="20" t="str">
        <x:v>REC-00316</x:v>
      </x:c>
      <x:c r="B325" s="20" t="str">
        <x:v>P1-B3-01</x:v>
      </x:c>
      <x:c r="C325" s="30" t="str">
        <x:f>IF(B325="","",IF(COUNTIFS(Equipment[组合编号],B325)&lt;&gt;1,"组合编号无效",INDEX(Equipment[PLC组],MATCH(B325,Equipment[组合编号],0))))</x:f>
        <x:v>汇川小型</x:v>
      </x:c>
      <x:c r="D325" s="30" t="str">
        <x:f>IF(B325="","",IF(COUNTIFS(Equipment[组合编号],B325)&lt;&gt;1,"组合编号无效",INDEX(Equipment[驱动品牌],MATCH(B325,Equipment[组合编号],0))))</x:f>
        <x:v>繁易</x:v>
      </x:c>
      <x:c r="E325" s="20" t="str">
        <x:v>R06</x:v>
      </x:c>
      <x:c r="F325" s="20"/>
      <x:c r="G325" s="20"/>
      <x:c r="H325" s="20" t="str">
        <x:v>待判定</x:v>
      </x:c>
      <x:c r="I325" s="20"/>
      <x:c r="J325" s="20" t="str">
        <x:v>未测试</x:v>
      </x:c>
      <x:c r="K325" s="20"/>
      <x:c r="L325" s="20"/>
      <x:c r="M325" s="20"/>
      <x:c r="N325" s="20"/>
      <x:c r="O325" s="31"/>
      <x:c r="P325" s="20"/>
      <x:c r="Q325" s="20"/>
      <x:c r="R325" s="20" t="str">
        <x:v>待展开</x:v>
      </x:c>
      <x:c r="S325" s="20"/>
      <x:c r="T325" s="31"/>
      <x:c r="U325" s="30" t="str">
        <x:f>IF(A325="","缺记录编号",IF(COUNTIFS(PathRecords[记录编号],A325)&lt;&gt;1,"记录编号重复",IF(OR(B325="",E325=""),"缺组合/功能",IF(COUNTIFS(Equipment[组合编号],B325)&lt;&gt;1,"组合编号无效",IF(COUNTIFS(FunctionMatrix[编号],E325)=0,"功能编号无效",IF(H325="不适用",IF(J325="已实测","适用性冲突",IF(I325="","待补不适用依据","不适用（非实测）")),IF(J325="阻塞",IF(I325="","待补阻塞原因","阻塞（非实测）"),IF(J325&lt;&gt;"已实测",IF(F325="","待展开路径","未实测"),IF(H325&lt;&gt;"适用","待确认适用性",IF(INDEX(Equipment[登记状态（自动）],MATCH(B325,Equipment[组合编号],0))&lt;&gt;"已登记","待补设备组合",IF(AND(F325&lt;&gt;"",G325&lt;&gt;"",K325&lt;&gt;"",L325&lt;&gt;"",M325&lt;&gt;"",N325&lt;&gt;"",ISNUMBER(O325),O325&gt;0,P325&lt;&gt;""),"记录齐全","待补实测记录")))))))))))</x:f>
        <x:v>待展开路径</x:v>
      </x:c>
    </x:row>
    <x:row r="326" ht="43.5" customHeight="1">
      <x:c r="A326" s="20" t="str">
        <x:v>REC-00317</x:v>
      </x:c>
      <x:c r="B326" s="20" t="str">
        <x:v>P1-B3-01</x:v>
      </x:c>
      <x:c r="C326" s="30" t="str">
        <x:f>IF(B326="","",IF(COUNTIFS(Equipment[组合编号],B326)&lt;&gt;1,"组合编号无效",INDEX(Equipment[PLC组],MATCH(B326,Equipment[组合编号],0))))</x:f>
        <x:v>汇川小型</x:v>
      </x:c>
      <x:c r="D326" s="30" t="str">
        <x:f>IF(B326="","",IF(COUNTIFS(Equipment[组合编号],B326)&lt;&gt;1,"组合编号无效",INDEX(Equipment[驱动品牌],MATCH(B326,Equipment[组合编号],0))))</x:f>
        <x:v>繁易</x:v>
      </x:c>
      <x:c r="E326" s="20" t="str">
        <x:v>R07</x:v>
      </x:c>
      <x:c r="F326" s="20"/>
      <x:c r="G326" s="20"/>
      <x:c r="H326" s="20" t="str">
        <x:v>待判定</x:v>
      </x:c>
      <x:c r="I326" s="20"/>
      <x:c r="J326" s="20" t="str">
        <x:v>未测试</x:v>
      </x:c>
      <x:c r="K326" s="20"/>
      <x:c r="L326" s="20"/>
      <x:c r="M326" s="20"/>
      <x:c r="N326" s="20"/>
      <x:c r="O326" s="31"/>
      <x:c r="P326" s="20"/>
      <x:c r="Q326" s="20"/>
      <x:c r="R326" s="20" t="str">
        <x:v>待展开</x:v>
      </x:c>
      <x:c r="S326" s="20"/>
      <x:c r="T326" s="31"/>
      <x:c r="U326" s="30" t="str">
        <x:f>IF(A326="","缺记录编号",IF(COUNTIFS(PathRecords[记录编号],A326)&lt;&gt;1,"记录编号重复",IF(OR(B326="",E326=""),"缺组合/功能",IF(COUNTIFS(Equipment[组合编号],B326)&lt;&gt;1,"组合编号无效",IF(COUNTIFS(FunctionMatrix[编号],E326)=0,"功能编号无效",IF(H326="不适用",IF(J326="已实测","适用性冲突",IF(I326="","待补不适用依据","不适用（非实测）")),IF(J326="阻塞",IF(I326="","待补阻塞原因","阻塞（非实测）"),IF(J326&lt;&gt;"已实测",IF(F326="","待展开路径","未实测"),IF(H326&lt;&gt;"适用","待确认适用性",IF(INDEX(Equipment[登记状态（自动）],MATCH(B326,Equipment[组合编号],0))&lt;&gt;"已登记","待补设备组合",IF(AND(F326&lt;&gt;"",G326&lt;&gt;"",K326&lt;&gt;"",L326&lt;&gt;"",M326&lt;&gt;"",N326&lt;&gt;"",ISNUMBER(O326),O326&gt;0,P326&lt;&gt;""),"记录齐全","待补实测记录")))))))))))</x:f>
        <x:v>待展开路径</x:v>
      </x:c>
    </x:row>
    <x:row r="327" ht="43.5" customHeight="1">
      <x:c r="A327" s="20" t="str">
        <x:v>REC-00318</x:v>
      </x:c>
      <x:c r="B327" s="20" t="str">
        <x:v>P1-B3-01</x:v>
      </x:c>
      <x:c r="C327" s="30" t="str">
        <x:f>IF(B327="","",IF(COUNTIFS(Equipment[组合编号],B327)&lt;&gt;1,"组合编号无效",INDEX(Equipment[PLC组],MATCH(B327,Equipment[组合编号],0))))</x:f>
        <x:v>汇川小型</x:v>
      </x:c>
      <x:c r="D327" s="30" t="str">
        <x:f>IF(B327="","",IF(COUNTIFS(Equipment[组合编号],B327)&lt;&gt;1,"组合编号无效",INDEX(Equipment[驱动品牌],MATCH(B327,Equipment[组合编号],0))))</x:f>
        <x:v>繁易</x:v>
      </x:c>
      <x:c r="E327" s="20" t="str">
        <x:v>R08</x:v>
      </x:c>
      <x:c r="F327" s="20"/>
      <x:c r="G327" s="20"/>
      <x:c r="H327" s="20" t="str">
        <x:v>待判定</x:v>
      </x:c>
      <x:c r="I327" s="20"/>
      <x:c r="J327" s="20" t="str">
        <x:v>未测试</x:v>
      </x:c>
      <x:c r="K327" s="20"/>
      <x:c r="L327" s="20"/>
      <x:c r="M327" s="20"/>
      <x:c r="N327" s="20"/>
      <x:c r="O327" s="31"/>
      <x:c r="P327" s="20"/>
      <x:c r="Q327" s="20"/>
      <x:c r="R327" s="20" t="str">
        <x:v>待展开</x:v>
      </x:c>
      <x:c r="S327" s="20"/>
      <x:c r="T327" s="31"/>
      <x:c r="U327" s="30" t="str">
        <x:f>IF(A327="","缺记录编号",IF(COUNTIFS(PathRecords[记录编号],A327)&lt;&gt;1,"记录编号重复",IF(OR(B327="",E327=""),"缺组合/功能",IF(COUNTIFS(Equipment[组合编号],B327)&lt;&gt;1,"组合编号无效",IF(COUNTIFS(FunctionMatrix[编号],E327)=0,"功能编号无效",IF(H327="不适用",IF(J327="已实测","适用性冲突",IF(I327="","待补不适用依据","不适用（非实测）")),IF(J327="阻塞",IF(I327="","待补阻塞原因","阻塞（非实测）"),IF(J327&lt;&gt;"已实测",IF(F327="","待展开路径","未实测"),IF(H327&lt;&gt;"适用","待确认适用性",IF(INDEX(Equipment[登记状态（自动）],MATCH(B327,Equipment[组合编号],0))&lt;&gt;"已登记","待补设备组合",IF(AND(F327&lt;&gt;"",G327&lt;&gt;"",K327&lt;&gt;"",L327&lt;&gt;"",M327&lt;&gt;"",N327&lt;&gt;"",ISNUMBER(O327),O327&gt;0,P327&lt;&gt;""),"记录齐全","待补实测记录")))))))))))</x:f>
        <x:v>待展开路径</x:v>
      </x:c>
    </x:row>
    <x:row r="328" ht="43.5" customHeight="1">
      <x:c r="A328" s="20" t="str">
        <x:v>REC-00319</x:v>
      </x:c>
      <x:c r="B328" s="20" t="str">
        <x:v>P1-B4-01</x:v>
      </x:c>
      <x:c r="C328" s="30" t="str">
        <x:f>IF(B328="","",IF(COUNTIFS(Equipment[组合编号],B328)&lt;&gt;1,"组合编号无效",INDEX(Equipment[PLC组],MATCH(B328,Equipment[组合编号],0))))</x:f>
        <x:v>汇川小型</x:v>
      </x:c>
      <x:c r="D328" s="30" t="str">
        <x:f>IF(B328="","",IF(COUNTIFS(Equipment[组合编号],B328)&lt;&gt;1,"组合编号无效",INDEX(Equipment[驱动品牌],MATCH(B328,Equipment[组合编号],0))))</x:f>
        <x:v>Elmo</x:v>
      </x:c>
      <x:c r="E328" s="20" t="str">
        <x:v>M01</x:v>
      </x:c>
      <x:c r="F328" s="20"/>
      <x:c r="G328" s="20"/>
      <x:c r="H328" s="20" t="str">
        <x:v>待判定</x:v>
      </x:c>
      <x:c r="I328" s="20"/>
      <x:c r="J328" s="20" t="str">
        <x:v>未测试</x:v>
      </x:c>
      <x:c r="K328" s="20"/>
      <x:c r="L328" s="20"/>
      <x:c r="M328" s="20"/>
      <x:c r="N328" s="20"/>
      <x:c r="O328" s="31"/>
      <x:c r="P328" s="20"/>
      <x:c r="Q328" s="20"/>
      <x:c r="R328" s="20" t="str">
        <x:v>待展开</x:v>
      </x:c>
      <x:c r="S328" s="20"/>
      <x:c r="T328" s="31"/>
      <x:c r="U328" s="30" t="str">
        <x:f>IF(A328="","缺记录编号",IF(COUNTIFS(PathRecords[记录编号],A328)&lt;&gt;1,"记录编号重复",IF(OR(B328="",E328=""),"缺组合/功能",IF(COUNTIFS(Equipment[组合编号],B328)&lt;&gt;1,"组合编号无效",IF(COUNTIFS(FunctionMatrix[编号],E328)=0,"功能编号无效",IF(H328="不适用",IF(J328="已实测","适用性冲突",IF(I328="","待补不适用依据","不适用（非实测）")),IF(J328="阻塞",IF(I328="","待补阻塞原因","阻塞（非实测）"),IF(J328&lt;&gt;"已实测",IF(F328="","待展开路径","未实测"),IF(H328&lt;&gt;"适用","待确认适用性",IF(INDEX(Equipment[登记状态（自动）],MATCH(B328,Equipment[组合编号],0))&lt;&gt;"已登记","待补设备组合",IF(AND(F328&lt;&gt;"",G328&lt;&gt;"",K328&lt;&gt;"",L328&lt;&gt;"",M328&lt;&gt;"",N328&lt;&gt;"",ISNUMBER(O328),O328&gt;0,P328&lt;&gt;""),"记录齐全","待补实测记录")))))))))))</x:f>
        <x:v>待展开路径</x:v>
      </x:c>
    </x:row>
    <x:row r="329" ht="43.5" customHeight="1">
      <x:c r="A329" s="20" t="str">
        <x:v>REC-00320</x:v>
      </x:c>
      <x:c r="B329" s="20" t="str">
        <x:v>P1-B4-01</x:v>
      </x:c>
      <x:c r="C329" s="30" t="str">
        <x:f>IF(B329="","",IF(COUNTIFS(Equipment[组合编号],B329)&lt;&gt;1,"组合编号无效",INDEX(Equipment[PLC组],MATCH(B329,Equipment[组合编号],0))))</x:f>
        <x:v>汇川小型</x:v>
      </x:c>
      <x:c r="D329" s="30" t="str">
        <x:f>IF(B329="","",IF(COUNTIFS(Equipment[组合编号],B329)&lt;&gt;1,"组合编号无效",INDEX(Equipment[驱动品牌],MATCH(B329,Equipment[组合编号],0))))</x:f>
        <x:v>Elmo</x:v>
      </x:c>
      <x:c r="E329" s="20" t="str">
        <x:v>M02</x:v>
      </x:c>
      <x:c r="F329" s="20"/>
      <x:c r="G329" s="20"/>
      <x:c r="H329" s="20" t="str">
        <x:v>待判定</x:v>
      </x:c>
      <x:c r="I329" s="20"/>
      <x:c r="J329" s="20" t="str">
        <x:v>未测试</x:v>
      </x:c>
      <x:c r="K329" s="20"/>
      <x:c r="L329" s="20"/>
      <x:c r="M329" s="20"/>
      <x:c r="N329" s="20"/>
      <x:c r="O329" s="31"/>
      <x:c r="P329" s="20"/>
      <x:c r="Q329" s="20"/>
      <x:c r="R329" s="20" t="str">
        <x:v>待展开</x:v>
      </x:c>
      <x:c r="S329" s="20"/>
      <x:c r="T329" s="31"/>
      <x:c r="U329" s="30" t="str">
        <x:f>IF(A329="","缺记录编号",IF(COUNTIFS(PathRecords[记录编号],A329)&lt;&gt;1,"记录编号重复",IF(OR(B329="",E329=""),"缺组合/功能",IF(COUNTIFS(Equipment[组合编号],B329)&lt;&gt;1,"组合编号无效",IF(COUNTIFS(FunctionMatrix[编号],E329)=0,"功能编号无效",IF(H329="不适用",IF(J329="已实测","适用性冲突",IF(I329="","待补不适用依据","不适用（非实测）")),IF(J329="阻塞",IF(I329="","待补阻塞原因","阻塞（非实测）"),IF(J329&lt;&gt;"已实测",IF(F329="","待展开路径","未实测"),IF(H329&lt;&gt;"适用","待确认适用性",IF(INDEX(Equipment[登记状态（自动）],MATCH(B329,Equipment[组合编号],0))&lt;&gt;"已登记","待补设备组合",IF(AND(F329&lt;&gt;"",G329&lt;&gt;"",K329&lt;&gt;"",L329&lt;&gt;"",M329&lt;&gt;"",N329&lt;&gt;"",ISNUMBER(O329),O329&gt;0,P329&lt;&gt;""),"记录齐全","待补实测记录")))))))))))</x:f>
        <x:v>待展开路径</x:v>
      </x:c>
    </x:row>
    <x:row r="330" ht="43.5" customHeight="1">
      <x:c r="A330" s="20" t="str">
        <x:v>REC-00321</x:v>
      </x:c>
      <x:c r="B330" s="20" t="str">
        <x:v>P1-B4-01</x:v>
      </x:c>
      <x:c r="C330" s="30" t="str">
        <x:f>IF(B330="","",IF(COUNTIFS(Equipment[组合编号],B330)&lt;&gt;1,"组合编号无效",INDEX(Equipment[PLC组],MATCH(B330,Equipment[组合编号],0))))</x:f>
        <x:v>汇川小型</x:v>
      </x:c>
      <x:c r="D330" s="30" t="str">
        <x:f>IF(B330="","",IF(COUNTIFS(Equipment[组合编号],B330)&lt;&gt;1,"组合编号无效",INDEX(Equipment[驱动品牌],MATCH(B330,Equipment[组合编号],0))))</x:f>
        <x:v>Elmo</x:v>
      </x:c>
      <x:c r="E330" s="20" t="str">
        <x:v>M03</x:v>
      </x:c>
      <x:c r="F330" s="20"/>
      <x:c r="G330" s="20"/>
      <x:c r="H330" s="20" t="str">
        <x:v>待判定</x:v>
      </x:c>
      <x:c r="I330" s="20"/>
      <x:c r="J330" s="20" t="str">
        <x:v>未测试</x:v>
      </x:c>
      <x:c r="K330" s="20"/>
      <x:c r="L330" s="20"/>
      <x:c r="M330" s="20"/>
      <x:c r="N330" s="20"/>
      <x:c r="O330" s="31"/>
      <x:c r="P330" s="20"/>
      <x:c r="Q330" s="20"/>
      <x:c r="R330" s="20" t="str">
        <x:v>待展开</x:v>
      </x:c>
      <x:c r="S330" s="20"/>
      <x:c r="T330" s="31"/>
      <x:c r="U330" s="30" t="str">
        <x:f>IF(A330="","缺记录编号",IF(COUNTIFS(PathRecords[记录编号],A330)&lt;&gt;1,"记录编号重复",IF(OR(B330="",E330=""),"缺组合/功能",IF(COUNTIFS(Equipment[组合编号],B330)&lt;&gt;1,"组合编号无效",IF(COUNTIFS(FunctionMatrix[编号],E330)=0,"功能编号无效",IF(H330="不适用",IF(J330="已实测","适用性冲突",IF(I330="","待补不适用依据","不适用（非实测）")),IF(J330="阻塞",IF(I330="","待补阻塞原因","阻塞（非实测）"),IF(J330&lt;&gt;"已实测",IF(F330="","待展开路径","未实测"),IF(H330&lt;&gt;"适用","待确认适用性",IF(INDEX(Equipment[登记状态（自动）],MATCH(B330,Equipment[组合编号],0))&lt;&gt;"已登记","待补设备组合",IF(AND(F330&lt;&gt;"",G330&lt;&gt;"",K330&lt;&gt;"",L330&lt;&gt;"",M330&lt;&gt;"",N330&lt;&gt;"",ISNUMBER(O330),O330&gt;0,P330&lt;&gt;""),"记录齐全","待补实测记录")))))))))))</x:f>
        <x:v>待展开路径</x:v>
      </x:c>
    </x:row>
    <x:row r="331" ht="43.5" customHeight="1">
      <x:c r="A331" s="20" t="str">
        <x:v>REC-00322</x:v>
      </x:c>
      <x:c r="B331" s="20" t="str">
        <x:v>P1-B4-01</x:v>
      </x:c>
      <x:c r="C331" s="30" t="str">
        <x:f>IF(B331="","",IF(COUNTIFS(Equipment[组合编号],B331)&lt;&gt;1,"组合编号无效",INDEX(Equipment[PLC组],MATCH(B331,Equipment[组合编号],0))))</x:f>
        <x:v>汇川小型</x:v>
      </x:c>
      <x:c r="D331" s="30" t="str">
        <x:f>IF(B331="","",IF(COUNTIFS(Equipment[组合编号],B331)&lt;&gt;1,"组合编号无效",INDEX(Equipment[驱动品牌],MATCH(B331,Equipment[组合编号],0))))</x:f>
        <x:v>Elmo</x:v>
      </x:c>
      <x:c r="E331" s="20" t="str">
        <x:v>M04</x:v>
      </x:c>
      <x:c r="F331" s="20"/>
      <x:c r="G331" s="20"/>
      <x:c r="H331" s="20" t="str">
        <x:v>待判定</x:v>
      </x:c>
      <x:c r="I331" s="20"/>
      <x:c r="J331" s="20" t="str">
        <x:v>未测试</x:v>
      </x:c>
      <x:c r="K331" s="20"/>
      <x:c r="L331" s="20"/>
      <x:c r="M331" s="20"/>
      <x:c r="N331" s="20"/>
      <x:c r="O331" s="31"/>
      <x:c r="P331" s="20"/>
      <x:c r="Q331" s="20"/>
      <x:c r="R331" s="20" t="str">
        <x:v>待展开</x:v>
      </x:c>
      <x:c r="S331" s="20"/>
      <x:c r="T331" s="31"/>
      <x:c r="U331" s="30" t="str">
        <x:f>IF(A331="","缺记录编号",IF(COUNTIFS(PathRecords[记录编号],A331)&lt;&gt;1,"记录编号重复",IF(OR(B331="",E331=""),"缺组合/功能",IF(COUNTIFS(Equipment[组合编号],B331)&lt;&gt;1,"组合编号无效",IF(COUNTIFS(FunctionMatrix[编号],E331)=0,"功能编号无效",IF(H331="不适用",IF(J331="已实测","适用性冲突",IF(I331="","待补不适用依据","不适用（非实测）")),IF(J331="阻塞",IF(I331="","待补阻塞原因","阻塞（非实测）"),IF(J331&lt;&gt;"已实测",IF(F331="","待展开路径","未实测"),IF(H331&lt;&gt;"适用","待确认适用性",IF(INDEX(Equipment[登记状态（自动）],MATCH(B331,Equipment[组合编号],0))&lt;&gt;"已登记","待补设备组合",IF(AND(F331&lt;&gt;"",G331&lt;&gt;"",K331&lt;&gt;"",L331&lt;&gt;"",M331&lt;&gt;"",N331&lt;&gt;"",ISNUMBER(O331),O331&gt;0,P331&lt;&gt;""),"记录齐全","待补实测记录")))))))))))</x:f>
        <x:v>待展开路径</x:v>
      </x:c>
    </x:row>
    <x:row r="332" ht="43.5" customHeight="1">
      <x:c r="A332" s="20" t="str">
        <x:v>REC-00323</x:v>
      </x:c>
      <x:c r="B332" s="20" t="str">
        <x:v>P1-B4-01</x:v>
      </x:c>
      <x:c r="C332" s="30" t="str">
        <x:f>IF(B332="","",IF(COUNTIFS(Equipment[组合编号],B332)&lt;&gt;1,"组合编号无效",INDEX(Equipment[PLC组],MATCH(B332,Equipment[组合编号],0))))</x:f>
        <x:v>汇川小型</x:v>
      </x:c>
      <x:c r="D332" s="30" t="str">
        <x:f>IF(B332="","",IF(COUNTIFS(Equipment[组合编号],B332)&lt;&gt;1,"组合编号无效",INDEX(Equipment[驱动品牌],MATCH(B332,Equipment[组合编号],0))))</x:f>
        <x:v>Elmo</x:v>
      </x:c>
      <x:c r="E332" s="20" t="str">
        <x:v>M05</x:v>
      </x:c>
      <x:c r="F332" s="20"/>
      <x:c r="G332" s="20"/>
      <x:c r="H332" s="20" t="str">
        <x:v>待判定</x:v>
      </x:c>
      <x:c r="I332" s="20"/>
      <x:c r="J332" s="20" t="str">
        <x:v>未测试</x:v>
      </x:c>
      <x:c r="K332" s="20"/>
      <x:c r="L332" s="20"/>
      <x:c r="M332" s="20"/>
      <x:c r="N332" s="20"/>
      <x:c r="O332" s="31"/>
      <x:c r="P332" s="20"/>
      <x:c r="Q332" s="20"/>
      <x:c r="R332" s="20" t="str">
        <x:v>待展开</x:v>
      </x:c>
      <x:c r="S332" s="20"/>
      <x:c r="T332" s="31"/>
      <x:c r="U332" s="30" t="str">
        <x:f>IF(A332="","缺记录编号",IF(COUNTIFS(PathRecords[记录编号],A332)&lt;&gt;1,"记录编号重复",IF(OR(B332="",E332=""),"缺组合/功能",IF(COUNTIFS(Equipment[组合编号],B332)&lt;&gt;1,"组合编号无效",IF(COUNTIFS(FunctionMatrix[编号],E332)=0,"功能编号无效",IF(H332="不适用",IF(J332="已实测","适用性冲突",IF(I332="","待补不适用依据","不适用（非实测）")),IF(J332="阻塞",IF(I332="","待补阻塞原因","阻塞（非实测）"),IF(J332&lt;&gt;"已实测",IF(F332="","待展开路径","未实测"),IF(H332&lt;&gt;"适用","待确认适用性",IF(INDEX(Equipment[登记状态（自动）],MATCH(B332,Equipment[组合编号],0))&lt;&gt;"已登记","待补设备组合",IF(AND(F332&lt;&gt;"",G332&lt;&gt;"",K332&lt;&gt;"",L332&lt;&gt;"",M332&lt;&gt;"",N332&lt;&gt;"",ISNUMBER(O332),O332&gt;0,P332&lt;&gt;""),"记录齐全","待补实测记录")))))))))))</x:f>
        <x:v>待展开路径</x:v>
      </x:c>
    </x:row>
    <x:row r="333" ht="43.5" customHeight="1">
      <x:c r="A333" s="20" t="str">
        <x:v>REC-00324</x:v>
      </x:c>
      <x:c r="B333" s="20" t="str">
        <x:v>P1-B4-01</x:v>
      </x:c>
      <x:c r="C333" s="30" t="str">
        <x:f>IF(B333="","",IF(COUNTIFS(Equipment[组合编号],B333)&lt;&gt;1,"组合编号无效",INDEX(Equipment[PLC组],MATCH(B333,Equipment[组合编号],0))))</x:f>
        <x:v>汇川小型</x:v>
      </x:c>
      <x:c r="D333" s="30" t="str">
        <x:f>IF(B333="","",IF(COUNTIFS(Equipment[组合编号],B333)&lt;&gt;1,"组合编号无效",INDEX(Equipment[驱动品牌],MATCH(B333,Equipment[组合编号],0))))</x:f>
        <x:v>Elmo</x:v>
      </x:c>
      <x:c r="E333" s="20" t="str">
        <x:v>M06</x:v>
      </x:c>
      <x:c r="F333" s="20"/>
      <x:c r="G333" s="20"/>
      <x:c r="H333" s="20" t="str">
        <x:v>待判定</x:v>
      </x:c>
      <x:c r="I333" s="20"/>
      <x:c r="J333" s="20" t="str">
        <x:v>未测试</x:v>
      </x:c>
      <x:c r="K333" s="20"/>
      <x:c r="L333" s="20"/>
      <x:c r="M333" s="20"/>
      <x:c r="N333" s="20"/>
      <x:c r="O333" s="31"/>
      <x:c r="P333" s="20"/>
      <x:c r="Q333" s="20"/>
      <x:c r="R333" s="20" t="str">
        <x:v>待展开</x:v>
      </x:c>
      <x:c r="S333" s="20"/>
      <x:c r="T333" s="31"/>
      <x:c r="U333" s="30" t="str">
        <x:f>IF(A333="","缺记录编号",IF(COUNTIFS(PathRecords[记录编号],A333)&lt;&gt;1,"记录编号重复",IF(OR(B333="",E333=""),"缺组合/功能",IF(COUNTIFS(Equipment[组合编号],B333)&lt;&gt;1,"组合编号无效",IF(COUNTIFS(FunctionMatrix[编号],E333)=0,"功能编号无效",IF(H333="不适用",IF(J333="已实测","适用性冲突",IF(I333="","待补不适用依据","不适用（非实测）")),IF(J333="阻塞",IF(I333="","待补阻塞原因","阻塞（非实测）"),IF(J333&lt;&gt;"已实测",IF(F333="","待展开路径","未实测"),IF(H333&lt;&gt;"适用","待确认适用性",IF(INDEX(Equipment[登记状态（自动）],MATCH(B333,Equipment[组合编号],0))&lt;&gt;"已登记","待补设备组合",IF(AND(F333&lt;&gt;"",G333&lt;&gt;"",K333&lt;&gt;"",L333&lt;&gt;"",M333&lt;&gt;"",N333&lt;&gt;"",ISNUMBER(O333),O333&gt;0,P333&lt;&gt;""),"记录齐全","待补实测记录")))))))))))</x:f>
        <x:v>待展开路径</x:v>
      </x:c>
    </x:row>
    <x:row r="334" ht="43.5" customHeight="1">
      <x:c r="A334" s="20" t="str">
        <x:v>REC-00325</x:v>
      </x:c>
      <x:c r="B334" s="20" t="str">
        <x:v>P1-B4-01</x:v>
      </x:c>
      <x:c r="C334" s="30" t="str">
        <x:f>IF(B334="","",IF(COUNTIFS(Equipment[组合编号],B334)&lt;&gt;1,"组合编号无效",INDEX(Equipment[PLC组],MATCH(B334,Equipment[组合编号],0))))</x:f>
        <x:v>汇川小型</x:v>
      </x:c>
      <x:c r="D334" s="30" t="str">
        <x:f>IF(B334="","",IF(COUNTIFS(Equipment[组合编号],B334)&lt;&gt;1,"组合编号无效",INDEX(Equipment[驱动品牌],MATCH(B334,Equipment[组合编号],0))))</x:f>
        <x:v>Elmo</x:v>
      </x:c>
      <x:c r="E334" s="20" t="str">
        <x:v>M07</x:v>
      </x:c>
      <x:c r="F334" s="20"/>
      <x:c r="G334" s="20"/>
      <x:c r="H334" s="20" t="str">
        <x:v>待判定</x:v>
      </x:c>
      <x:c r="I334" s="20"/>
      <x:c r="J334" s="20" t="str">
        <x:v>未测试</x:v>
      </x:c>
      <x:c r="K334" s="20"/>
      <x:c r="L334" s="20"/>
      <x:c r="M334" s="20"/>
      <x:c r="N334" s="20"/>
      <x:c r="O334" s="31"/>
      <x:c r="P334" s="20"/>
      <x:c r="Q334" s="20"/>
      <x:c r="R334" s="20" t="str">
        <x:v>待展开</x:v>
      </x:c>
      <x:c r="S334" s="20"/>
      <x:c r="T334" s="31"/>
      <x:c r="U334" s="30" t="str">
        <x:f>IF(A334="","缺记录编号",IF(COUNTIFS(PathRecords[记录编号],A334)&lt;&gt;1,"记录编号重复",IF(OR(B334="",E334=""),"缺组合/功能",IF(COUNTIFS(Equipment[组合编号],B334)&lt;&gt;1,"组合编号无效",IF(COUNTIFS(FunctionMatrix[编号],E334)=0,"功能编号无效",IF(H334="不适用",IF(J334="已实测","适用性冲突",IF(I334="","待补不适用依据","不适用（非实测）")),IF(J334="阻塞",IF(I334="","待补阻塞原因","阻塞（非实测）"),IF(J334&lt;&gt;"已实测",IF(F334="","待展开路径","未实测"),IF(H334&lt;&gt;"适用","待确认适用性",IF(INDEX(Equipment[登记状态（自动）],MATCH(B334,Equipment[组合编号],0))&lt;&gt;"已登记","待补设备组合",IF(AND(F334&lt;&gt;"",G334&lt;&gt;"",K334&lt;&gt;"",L334&lt;&gt;"",M334&lt;&gt;"",N334&lt;&gt;"",ISNUMBER(O334),O334&gt;0,P334&lt;&gt;""),"记录齐全","待补实测记录")))))))))))</x:f>
        <x:v>待展开路径</x:v>
      </x:c>
    </x:row>
    <x:row r="335" ht="43.5" customHeight="1">
      <x:c r="A335" s="20" t="str">
        <x:v>REC-00326</x:v>
      </x:c>
      <x:c r="B335" s="20" t="str">
        <x:v>P1-B4-01</x:v>
      </x:c>
      <x:c r="C335" s="30" t="str">
        <x:f>IF(B335="","",IF(COUNTIFS(Equipment[组合编号],B335)&lt;&gt;1,"组合编号无效",INDEX(Equipment[PLC组],MATCH(B335,Equipment[组合编号],0))))</x:f>
        <x:v>汇川小型</x:v>
      </x:c>
      <x:c r="D335" s="30" t="str">
        <x:f>IF(B335="","",IF(COUNTIFS(Equipment[组合编号],B335)&lt;&gt;1,"组合编号无效",INDEX(Equipment[驱动品牌],MATCH(B335,Equipment[组合编号],0))))</x:f>
        <x:v>Elmo</x:v>
      </x:c>
      <x:c r="E335" s="20" t="str">
        <x:v>M09</x:v>
      </x:c>
      <x:c r="F335" s="20"/>
      <x:c r="G335" s="20"/>
      <x:c r="H335" s="20" t="str">
        <x:v>待判定</x:v>
      </x:c>
      <x:c r="I335" s="20"/>
      <x:c r="J335" s="20" t="str">
        <x:v>未测试</x:v>
      </x:c>
      <x:c r="K335" s="20"/>
      <x:c r="L335" s="20"/>
      <x:c r="M335" s="20"/>
      <x:c r="N335" s="20"/>
      <x:c r="O335" s="31"/>
      <x:c r="P335" s="20"/>
      <x:c r="Q335" s="20"/>
      <x:c r="R335" s="20" t="str">
        <x:v>待展开</x:v>
      </x:c>
      <x:c r="S335" s="20"/>
      <x:c r="T335" s="31"/>
      <x:c r="U335" s="30" t="str">
        <x:f>IF(A335="","缺记录编号",IF(COUNTIFS(PathRecords[记录编号],A335)&lt;&gt;1,"记录编号重复",IF(OR(B335="",E335=""),"缺组合/功能",IF(COUNTIFS(Equipment[组合编号],B335)&lt;&gt;1,"组合编号无效",IF(COUNTIFS(FunctionMatrix[编号],E335)=0,"功能编号无效",IF(H335="不适用",IF(J335="已实测","适用性冲突",IF(I335="","待补不适用依据","不适用（非实测）")),IF(J335="阻塞",IF(I335="","待补阻塞原因","阻塞（非实测）"),IF(J335&lt;&gt;"已实测",IF(F335="","待展开路径","未实测"),IF(H335&lt;&gt;"适用","待确认适用性",IF(INDEX(Equipment[登记状态（自动）],MATCH(B335,Equipment[组合编号],0))&lt;&gt;"已登记","待补设备组合",IF(AND(F335&lt;&gt;"",G335&lt;&gt;"",K335&lt;&gt;"",L335&lt;&gt;"",M335&lt;&gt;"",N335&lt;&gt;"",ISNUMBER(O335),O335&gt;0,P335&lt;&gt;""),"记录齐全","待补实测记录")))))))))))</x:f>
        <x:v>待展开路径</x:v>
      </x:c>
    </x:row>
    <x:row r="336" ht="43.5" customHeight="1">
      <x:c r="A336" s="20" t="str">
        <x:v>REC-00327</x:v>
      </x:c>
      <x:c r="B336" s="20" t="str">
        <x:v>P1-B4-01</x:v>
      </x:c>
      <x:c r="C336" s="30" t="str">
        <x:f>IF(B336="","",IF(COUNTIFS(Equipment[组合编号],B336)&lt;&gt;1,"组合编号无效",INDEX(Equipment[PLC组],MATCH(B336,Equipment[组合编号],0))))</x:f>
        <x:v>汇川小型</x:v>
      </x:c>
      <x:c r="D336" s="30" t="str">
        <x:f>IF(B336="","",IF(COUNTIFS(Equipment[组合编号],B336)&lt;&gt;1,"组合编号无效",INDEX(Equipment[驱动品牌],MATCH(B336,Equipment[组合编号],0))))</x:f>
        <x:v>Elmo</x:v>
      </x:c>
      <x:c r="E336" s="20" t="str">
        <x:v>M10</x:v>
      </x:c>
      <x:c r="F336" s="20"/>
      <x:c r="G336" s="20"/>
      <x:c r="H336" s="20" t="str">
        <x:v>待判定</x:v>
      </x:c>
      <x:c r="I336" s="20"/>
      <x:c r="J336" s="20" t="str">
        <x:v>未测试</x:v>
      </x:c>
      <x:c r="K336" s="20"/>
      <x:c r="L336" s="20"/>
      <x:c r="M336" s="20"/>
      <x:c r="N336" s="20"/>
      <x:c r="O336" s="31"/>
      <x:c r="P336" s="20"/>
      <x:c r="Q336" s="20"/>
      <x:c r="R336" s="20" t="str">
        <x:v>待展开</x:v>
      </x:c>
      <x:c r="S336" s="20"/>
      <x:c r="T336" s="31"/>
      <x:c r="U336" s="30" t="str">
        <x:f>IF(A336="","缺记录编号",IF(COUNTIFS(PathRecords[记录编号],A336)&lt;&gt;1,"记录编号重复",IF(OR(B336="",E336=""),"缺组合/功能",IF(COUNTIFS(Equipment[组合编号],B336)&lt;&gt;1,"组合编号无效",IF(COUNTIFS(FunctionMatrix[编号],E336)=0,"功能编号无效",IF(H336="不适用",IF(J336="已实测","适用性冲突",IF(I336="","待补不适用依据","不适用（非实测）")),IF(J336="阻塞",IF(I336="","待补阻塞原因","阻塞（非实测）"),IF(J336&lt;&gt;"已实测",IF(F336="","待展开路径","未实测"),IF(H336&lt;&gt;"适用","待确认适用性",IF(INDEX(Equipment[登记状态（自动）],MATCH(B336,Equipment[组合编号],0))&lt;&gt;"已登记","待补设备组合",IF(AND(F336&lt;&gt;"",G336&lt;&gt;"",K336&lt;&gt;"",L336&lt;&gt;"",M336&lt;&gt;"",N336&lt;&gt;"",ISNUMBER(O336),O336&gt;0,P336&lt;&gt;""),"记录齐全","待补实测记录")))))))))))</x:f>
        <x:v>待展开路径</x:v>
      </x:c>
    </x:row>
    <x:row r="337" ht="43.5" customHeight="1">
      <x:c r="A337" s="20" t="str">
        <x:v>REC-00328</x:v>
      </x:c>
      <x:c r="B337" s="20" t="str">
        <x:v>P1-B4-01</x:v>
      </x:c>
      <x:c r="C337" s="30" t="str">
        <x:f>IF(B337="","",IF(COUNTIFS(Equipment[组合编号],B337)&lt;&gt;1,"组合编号无效",INDEX(Equipment[PLC组],MATCH(B337,Equipment[组合编号],0))))</x:f>
        <x:v>汇川小型</x:v>
      </x:c>
      <x:c r="D337" s="30" t="str">
        <x:f>IF(B337="","",IF(COUNTIFS(Equipment[组合编号],B337)&lt;&gt;1,"组合编号无效",INDEX(Equipment[驱动品牌],MATCH(B337,Equipment[组合编号],0))))</x:f>
        <x:v>Elmo</x:v>
      </x:c>
      <x:c r="E337" s="20" t="str">
        <x:v>D01</x:v>
      </x:c>
      <x:c r="F337" s="20"/>
      <x:c r="G337" s="20"/>
      <x:c r="H337" s="20" t="str">
        <x:v>待判定</x:v>
      </x:c>
      <x:c r="I337" s="20"/>
      <x:c r="J337" s="20" t="str">
        <x:v>未测试</x:v>
      </x:c>
      <x:c r="K337" s="20"/>
      <x:c r="L337" s="20"/>
      <x:c r="M337" s="20"/>
      <x:c r="N337" s="20"/>
      <x:c r="O337" s="31"/>
      <x:c r="P337" s="20"/>
      <x:c r="Q337" s="20"/>
      <x:c r="R337" s="20" t="str">
        <x:v>待展开</x:v>
      </x:c>
      <x:c r="S337" s="20"/>
      <x:c r="T337" s="31"/>
      <x:c r="U337" s="30" t="str">
        <x:f>IF(A337="","缺记录编号",IF(COUNTIFS(PathRecords[记录编号],A337)&lt;&gt;1,"记录编号重复",IF(OR(B337="",E337=""),"缺组合/功能",IF(COUNTIFS(Equipment[组合编号],B337)&lt;&gt;1,"组合编号无效",IF(COUNTIFS(FunctionMatrix[编号],E337)=0,"功能编号无效",IF(H337="不适用",IF(J337="已实测","适用性冲突",IF(I337="","待补不适用依据","不适用（非实测）")),IF(J337="阻塞",IF(I337="","待补阻塞原因","阻塞（非实测）"),IF(J337&lt;&gt;"已实测",IF(F337="","待展开路径","未实测"),IF(H337&lt;&gt;"适用","待确认适用性",IF(INDEX(Equipment[登记状态（自动）],MATCH(B337,Equipment[组合编号],0))&lt;&gt;"已登记","待补设备组合",IF(AND(F337&lt;&gt;"",G337&lt;&gt;"",K337&lt;&gt;"",L337&lt;&gt;"",M337&lt;&gt;"",N337&lt;&gt;"",ISNUMBER(O337),O337&gt;0,P337&lt;&gt;""),"记录齐全","待补实测记录")))))))))))</x:f>
        <x:v>待展开路径</x:v>
      </x:c>
    </x:row>
    <x:row r="338" ht="43.5" customHeight="1">
      <x:c r="A338" s="20" t="str">
        <x:v>REC-00329</x:v>
      </x:c>
      <x:c r="B338" s="20" t="str">
        <x:v>P1-B4-01</x:v>
      </x:c>
      <x:c r="C338" s="30" t="str">
        <x:f>IF(B338="","",IF(COUNTIFS(Equipment[组合编号],B338)&lt;&gt;1,"组合编号无效",INDEX(Equipment[PLC组],MATCH(B338,Equipment[组合编号],0))))</x:f>
        <x:v>汇川小型</x:v>
      </x:c>
      <x:c r="D338" s="30" t="str">
        <x:f>IF(B338="","",IF(COUNTIFS(Equipment[组合编号],B338)&lt;&gt;1,"组合编号无效",INDEX(Equipment[驱动品牌],MATCH(B338,Equipment[组合编号],0))))</x:f>
        <x:v>Elmo</x:v>
      </x:c>
      <x:c r="E338" s="20" t="str">
        <x:v>D02</x:v>
      </x:c>
      <x:c r="F338" s="20"/>
      <x:c r="G338" s="20"/>
      <x:c r="H338" s="20" t="str">
        <x:v>待判定</x:v>
      </x:c>
      <x:c r="I338" s="20"/>
      <x:c r="J338" s="20" t="str">
        <x:v>未测试</x:v>
      </x:c>
      <x:c r="K338" s="20"/>
      <x:c r="L338" s="20"/>
      <x:c r="M338" s="20"/>
      <x:c r="N338" s="20"/>
      <x:c r="O338" s="31"/>
      <x:c r="P338" s="20"/>
      <x:c r="Q338" s="20"/>
      <x:c r="R338" s="20" t="str">
        <x:v>待展开</x:v>
      </x:c>
      <x:c r="S338" s="20"/>
      <x:c r="T338" s="31"/>
      <x:c r="U338" s="30" t="str">
        <x:f>IF(A338="","缺记录编号",IF(COUNTIFS(PathRecords[记录编号],A338)&lt;&gt;1,"记录编号重复",IF(OR(B338="",E338=""),"缺组合/功能",IF(COUNTIFS(Equipment[组合编号],B338)&lt;&gt;1,"组合编号无效",IF(COUNTIFS(FunctionMatrix[编号],E338)=0,"功能编号无效",IF(H338="不适用",IF(J338="已实测","适用性冲突",IF(I338="","待补不适用依据","不适用（非实测）")),IF(J338="阻塞",IF(I338="","待补阻塞原因","阻塞（非实测）"),IF(J338&lt;&gt;"已实测",IF(F338="","待展开路径","未实测"),IF(H338&lt;&gt;"适用","待确认适用性",IF(INDEX(Equipment[登记状态（自动）],MATCH(B338,Equipment[组合编号],0))&lt;&gt;"已登记","待补设备组合",IF(AND(F338&lt;&gt;"",G338&lt;&gt;"",K338&lt;&gt;"",L338&lt;&gt;"",M338&lt;&gt;"",N338&lt;&gt;"",ISNUMBER(O338),O338&gt;0,P338&lt;&gt;""),"记录齐全","待补实测记录")))))))))))</x:f>
        <x:v>待展开路径</x:v>
      </x:c>
    </x:row>
    <x:row r="339" ht="43.5" customHeight="1">
      <x:c r="A339" s="20" t="str">
        <x:v>REC-00330</x:v>
      </x:c>
      <x:c r="B339" s="20" t="str">
        <x:v>P1-B4-01</x:v>
      </x:c>
      <x:c r="C339" s="30" t="str">
        <x:f>IF(B339="","",IF(COUNTIFS(Equipment[组合编号],B339)&lt;&gt;1,"组合编号无效",INDEX(Equipment[PLC组],MATCH(B339,Equipment[组合编号],0))))</x:f>
        <x:v>汇川小型</x:v>
      </x:c>
      <x:c r="D339" s="30" t="str">
        <x:f>IF(B339="","",IF(COUNTIFS(Equipment[组合编号],B339)&lt;&gt;1,"组合编号无效",INDEX(Equipment[驱动品牌],MATCH(B339,Equipment[组合编号],0))))</x:f>
        <x:v>Elmo</x:v>
      </x:c>
      <x:c r="E339" s="20" t="str">
        <x:v>D03</x:v>
      </x:c>
      <x:c r="F339" s="20"/>
      <x:c r="G339" s="20"/>
      <x:c r="H339" s="20" t="str">
        <x:v>待判定</x:v>
      </x:c>
      <x:c r="I339" s="20"/>
      <x:c r="J339" s="20" t="str">
        <x:v>未测试</x:v>
      </x:c>
      <x:c r="K339" s="20"/>
      <x:c r="L339" s="20"/>
      <x:c r="M339" s="20"/>
      <x:c r="N339" s="20"/>
      <x:c r="O339" s="31"/>
      <x:c r="P339" s="20"/>
      <x:c r="Q339" s="20"/>
      <x:c r="R339" s="20" t="str">
        <x:v>待展开</x:v>
      </x:c>
      <x:c r="S339" s="20"/>
      <x:c r="T339" s="31"/>
      <x:c r="U339" s="30" t="str">
        <x:f>IF(A339="","缺记录编号",IF(COUNTIFS(PathRecords[记录编号],A339)&lt;&gt;1,"记录编号重复",IF(OR(B339="",E339=""),"缺组合/功能",IF(COUNTIFS(Equipment[组合编号],B339)&lt;&gt;1,"组合编号无效",IF(COUNTIFS(FunctionMatrix[编号],E339)=0,"功能编号无效",IF(H339="不适用",IF(J339="已实测","适用性冲突",IF(I339="","待补不适用依据","不适用（非实测）")),IF(J339="阻塞",IF(I339="","待补阻塞原因","阻塞（非实测）"),IF(J339&lt;&gt;"已实测",IF(F339="","待展开路径","未实测"),IF(H339&lt;&gt;"适用","待确认适用性",IF(INDEX(Equipment[登记状态（自动）],MATCH(B339,Equipment[组合编号],0))&lt;&gt;"已登记","待补设备组合",IF(AND(F339&lt;&gt;"",G339&lt;&gt;"",K339&lt;&gt;"",L339&lt;&gt;"",M339&lt;&gt;"",N339&lt;&gt;"",ISNUMBER(O339),O339&gt;0,P339&lt;&gt;""),"记录齐全","待补实测记录")))))))))))</x:f>
        <x:v>待展开路径</x:v>
      </x:c>
    </x:row>
    <x:row r="340" ht="43.5" customHeight="1">
      <x:c r="A340" s="20" t="str">
        <x:v>REC-00331</x:v>
      </x:c>
      <x:c r="B340" s="20" t="str">
        <x:v>P1-B4-01</x:v>
      </x:c>
      <x:c r="C340" s="30" t="str">
        <x:f>IF(B340="","",IF(COUNTIFS(Equipment[组合编号],B340)&lt;&gt;1,"组合编号无效",INDEX(Equipment[PLC组],MATCH(B340,Equipment[组合编号],0))))</x:f>
        <x:v>汇川小型</x:v>
      </x:c>
      <x:c r="D340" s="30" t="str">
        <x:f>IF(B340="","",IF(COUNTIFS(Equipment[组合编号],B340)&lt;&gt;1,"组合编号无效",INDEX(Equipment[驱动品牌],MATCH(B340,Equipment[组合编号],0))))</x:f>
        <x:v>Elmo</x:v>
      </x:c>
      <x:c r="E340" s="20" t="str">
        <x:v>D04</x:v>
      </x:c>
      <x:c r="F340" s="20"/>
      <x:c r="G340" s="20"/>
      <x:c r="H340" s="20" t="str">
        <x:v>待判定</x:v>
      </x:c>
      <x:c r="I340" s="20"/>
      <x:c r="J340" s="20" t="str">
        <x:v>未测试</x:v>
      </x:c>
      <x:c r="K340" s="20"/>
      <x:c r="L340" s="20"/>
      <x:c r="M340" s="20"/>
      <x:c r="N340" s="20"/>
      <x:c r="O340" s="31"/>
      <x:c r="P340" s="20"/>
      <x:c r="Q340" s="20"/>
      <x:c r="R340" s="20" t="str">
        <x:v>待展开</x:v>
      </x:c>
      <x:c r="S340" s="20"/>
      <x:c r="T340" s="31"/>
      <x:c r="U340" s="30" t="str">
        <x:f>IF(A340="","缺记录编号",IF(COUNTIFS(PathRecords[记录编号],A340)&lt;&gt;1,"记录编号重复",IF(OR(B340="",E340=""),"缺组合/功能",IF(COUNTIFS(Equipment[组合编号],B340)&lt;&gt;1,"组合编号无效",IF(COUNTIFS(FunctionMatrix[编号],E340)=0,"功能编号无效",IF(H340="不适用",IF(J340="已实测","适用性冲突",IF(I340="","待补不适用依据","不适用（非实测）")),IF(J340="阻塞",IF(I340="","待补阻塞原因","阻塞（非实测）"),IF(J340&lt;&gt;"已实测",IF(F340="","待展开路径","未实测"),IF(H340&lt;&gt;"适用","待确认适用性",IF(INDEX(Equipment[登记状态（自动）],MATCH(B340,Equipment[组合编号],0))&lt;&gt;"已登记","待补设备组合",IF(AND(F340&lt;&gt;"",G340&lt;&gt;"",K340&lt;&gt;"",L340&lt;&gt;"",M340&lt;&gt;"",N340&lt;&gt;"",ISNUMBER(O340),O340&gt;0,P340&lt;&gt;""),"记录齐全","待补实测记录")))))))))))</x:f>
        <x:v>待展开路径</x:v>
      </x:c>
    </x:row>
    <x:row r="341" ht="43.5" customHeight="1">
      <x:c r="A341" s="20" t="str">
        <x:v>REC-00332</x:v>
      </x:c>
      <x:c r="B341" s="20" t="str">
        <x:v>P1-B4-01</x:v>
      </x:c>
      <x:c r="C341" s="30" t="str">
        <x:f>IF(B341="","",IF(COUNTIFS(Equipment[组合编号],B341)&lt;&gt;1,"组合编号无效",INDEX(Equipment[PLC组],MATCH(B341,Equipment[组合编号],0))))</x:f>
        <x:v>汇川小型</x:v>
      </x:c>
      <x:c r="D341" s="30" t="str">
        <x:f>IF(B341="","",IF(COUNTIFS(Equipment[组合编号],B341)&lt;&gt;1,"组合编号无效",INDEX(Equipment[驱动品牌],MATCH(B341,Equipment[组合编号],0))))</x:f>
        <x:v>Elmo</x:v>
      </x:c>
      <x:c r="E341" s="20" t="str">
        <x:v>D05</x:v>
      </x:c>
      <x:c r="F341" s="20"/>
      <x:c r="G341" s="20"/>
      <x:c r="H341" s="20" t="str">
        <x:v>待判定</x:v>
      </x:c>
      <x:c r="I341" s="20"/>
      <x:c r="J341" s="20" t="str">
        <x:v>未测试</x:v>
      </x:c>
      <x:c r="K341" s="20"/>
      <x:c r="L341" s="20"/>
      <x:c r="M341" s="20"/>
      <x:c r="N341" s="20"/>
      <x:c r="O341" s="31"/>
      <x:c r="P341" s="20"/>
      <x:c r="Q341" s="20"/>
      <x:c r="R341" s="20" t="str">
        <x:v>待展开</x:v>
      </x:c>
      <x:c r="S341" s="20"/>
      <x:c r="T341" s="31"/>
      <x:c r="U341" s="30" t="str">
        <x:f>IF(A341="","缺记录编号",IF(COUNTIFS(PathRecords[记录编号],A341)&lt;&gt;1,"记录编号重复",IF(OR(B341="",E341=""),"缺组合/功能",IF(COUNTIFS(Equipment[组合编号],B341)&lt;&gt;1,"组合编号无效",IF(COUNTIFS(FunctionMatrix[编号],E341)=0,"功能编号无效",IF(H341="不适用",IF(J341="已实测","适用性冲突",IF(I341="","待补不适用依据","不适用（非实测）")),IF(J341="阻塞",IF(I341="","待补阻塞原因","阻塞（非实测）"),IF(J341&lt;&gt;"已实测",IF(F341="","待展开路径","未实测"),IF(H341&lt;&gt;"适用","待确认适用性",IF(INDEX(Equipment[登记状态（自动）],MATCH(B341,Equipment[组合编号],0))&lt;&gt;"已登记","待补设备组合",IF(AND(F341&lt;&gt;"",G341&lt;&gt;"",K341&lt;&gt;"",L341&lt;&gt;"",M341&lt;&gt;"",N341&lt;&gt;"",ISNUMBER(O341),O341&gt;0,P341&lt;&gt;""),"记录齐全","待补实测记录")))))))))))</x:f>
        <x:v>待展开路径</x:v>
      </x:c>
    </x:row>
    <x:row r="342" ht="43.5" customHeight="1">
      <x:c r="A342" s="20" t="str">
        <x:v>REC-00333</x:v>
      </x:c>
      <x:c r="B342" s="20" t="str">
        <x:v>P1-B4-01</x:v>
      </x:c>
      <x:c r="C342" s="30" t="str">
        <x:f>IF(B342="","",IF(COUNTIFS(Equipment[组合编号],B342)&lt;&gt;1,"组合编号无效",INDEX(Equipment[PLC组],MATCH(B342,Equipment[组合编号],0))))</x:f>
        <x:v>汇川小型</x:v>
      </x:c>
      <x:c r="D342" s="30" t="str">
        <x:f>IF(B342="","",IF(COUNTIFS(Equipment[组合编号],B342)&lt;&gt;1,"组合编号无效",INDEX(Equipment[驱动品牌],MATCH(B342,Equipment[组合编号],0))))</x:f>
        <x:v>Elmo</x:v>
      </x:c>
      <x:c r="E342" s="20" t="str">
        <x:v>D06</x:v>
      </x:c>
      <x:c r="F342" s="20"/>
      <x:c r="G342" s="20"/>
      <x:c r="H342" s="20" t="str">
        <x:v>待判定</x:v>
      </x:c>
      <x:c r="I342" s="20"/>
      <x:c r="J342" s="20" t="str">
        <x:v>未测试</x:v>
      </x:c>
      <x:c r="K342" s="20"/>
      <x:c r="L342" s="20"/>
      <x:c r="M342" s="20"/>
      <x:c r="N342" s="20"/>
      <x:c r="O342" s="31"/>
      <x:c r="P342" s="20"/>
      <x:c r="Q342" s="20"/>
      <x:c r="R342" s="20" t="str">
        <x:v>待展开</x:v>
      </x:c>
      <x:c r="S342" s="20"/>
      <x:c r="T342" s="31"/>
      <x:c r="U342" s="30" t="str">
        <x:f>IF(A342="","缺记录编号",IF(COUNTIFS(PathRecords[记录编号],A342)&lt;&gt;1,"记录编号重复",IF(OR(B342="",E342=""),"缺组合/功能",IF(COUNTIFS(Equipment[组合编号],B342)&lt;&gt;1,"组合编号无效",IF(COUNTIFS(FunctionMatrix[编号],E342)=0,"功能编号无效",IF(H342="不适用",IF(J342="已实测","适用性冲突",IF(I342="","待补不适用依据","不适用（非实测）")),IF(J342="阻塞",IF(I342="","待补阻塞原因","阻塞（非实测）"),IF(J342&lt;&gt;"已实测",IF(F342="","待展开路径","未实测"),IF(H342&lt;&gt;"适用","待确认适用性",IF(INDEX(Equipment[登记状态（自动）],MATCH(B342,Equipment[组合编号],0))&lt;&gt;"已登记","待补设备组合",IF(AND(F342&lt;&gt;"",G342&lt;&gt;"",K342&lt;&gt;"",L342&lt;&gt;"",M342&lt;&gt;"",N342&lt;&gt;"",ISNUMBER(O342),O342&gt;0,P342&lt;&gt;""),"记录齐全","待补实测记录")))))))))))</x:f>
        <x:v>待展开路径</x:v>
      </x:c>
    </x:row>
    <x:row r="343" ht="43.5" customHeight="1">
      <x:c r="A343" s="20" t="str">
        <x:v>REC-00334</x:v>
      </x:c>
      <x:c r="B343" s="20" t="str">
        <x:v>P1-B4-01</x:v>
      </x:c>
      <x:c r="C343" s="30" t="str">
        <x:f>IF(B343="","",IF(COUNTIFS(Equipment[组合编号],B343)&lt;&gt;1,"组合编号无效",INDEX(Equipment[PLC组],MATCH(B343,Equipment[组合编号],0))))</x:f>
        <x:v>汇川小型</x:v>
      </x:c>
      <x:c r="D343" s="30" t="str">
        <x:f>IF(B343="","",IF(COUNTIFS(Equipment[组合编号],B343)&lt;&gt;1,"组合编号无效",INDEX(Equipment[驱动品牌],MATCH(B343,Equipment[组合编号],0))))</x:f>
        <x:v>Elmo</x:v>
      </x:c>
      <x:c r="E343" s="20" t="str">
        <x:v>D07</x:v>
      </x:c>
      <x:c r="F343" s="20"/>
      <x:c r="G343" s="20"/>
      <x:c r="H343" s="20" t="str">
        <x:v>待判定</x:v>
      </x:c>
      <x:c r="I343" s="20"/>
      <x:c r="J343" s="20" t="str">
        <x:v>未测试</x:v>
      </x:c>
      <x:c r="K343" s="20"/>
      <x:c r="L343" s="20"/>
      <x:c r="M343" s="20"/>
      <x:c r="N343" s="20"/>
      <x:c r="O343" s="31"/>
      <x:c r="P343" s="20"/>
      <x:c r="Q343" s="20"/>
      <x:c r="R343" s="20" t="str">
        <x:v>待展开</x:v>
      </x:c>
      <x:c r="S343" s="20"/>
      <x:c r="T343" s="31"/>
      <x:c r="U343" s="30" t="str">
        <x:f>IF(A343="","缺记录编号",IF(COUNTIFS(PathRecords[记录编号],A343)&lt;&gt;1,"记录编号重复",IF(OR(B343="",E343=""),"缺组合/功能",IF(COUNTIFS(Equipment[组合编号],B343)&lt;&gt;1,"组合编号无效",IF(COUNTIFS(FunctionMatrix[编号],E343)=0,"功能编号无效",IF(H343="不适用",IF(J343="已实测","适用性冲突",IF(I343="","待补不适用依据","不适用（非实测）")),IF(J343="阻塞",IF(I343="","待补阻塞原因","阻塞（非实测）"),IF(J343&lt;&gt;"已实测",IF(F343="","待展开路径","未实测"),IF(H343&lt;&gt;"适用","待确认适用性",IF(INDEX(Equipment[登记状态（自动）],MATCH(B343,Equipment[组合编号],0))&lt;&gt;"已登记","待补设备组合",IF(AND(F343&lt;&gt;"",G343&lt;&gt;"",K343&lt;&gt;"",L343&lt;&gt;"",M343&lt;&gt;"",N343&lt;&gt;"",ISNUMBER(O343),O343&gt;0,P343&lt;&gt;""),"记录齐全","待补实测记录")))))))))))</x:f>
        <x:v>待展开路径</x:v>
      </x:c>
    </x:row>
    <x:row r="344" ht="43.5" customHeight="1">
      <x:c r="A344" s="20" t="str">
        <x:v>REC-00335</x:v>
      </x:c>
      <x:c r="B344" s="20" t="str">
        <x:v>P1-B4-01</x:v>
      </x:c>
      <x:c r="C344" s="30" t="str">
        <x:f>IF(B344="","",IF(COUNTIFS(Equipment[组合编号],B344)&lt;&gt;1,"组合编号无效",INDEX(Equipment[PLC组],MATCH(B344,Equipment[组合编号],0))))</x:f>
        <x:v>汇川小型</x:v>
      </x:c>
      <x:c r="D344" s="30" t="str">
        <x:f>IF(B344="","",IF(COUNTIFS(Equipment[组合编号],B344)&lt;&gt;1,"组合编号无效",INDEX(Equipment[驱动品牌],MATCH(B344,Equipment[组合编号],0))))</x:f>
        <x:v>Elmo</x:v>
      </x:c>
      <x:c r="E344" s="20" t="str">
        <x:v>D08</x:v>
      </x:c>
      <x:c r="F344" s="20"/>
      <x:c r="G344" s="20"/>
      <x:c r="H344" s="20" t="str">
        <x:v>待判定</x:v>
      </x:c>
      <x:c r="I344" s="20"/>
      <x:c r="J344" s="20" t="str">
        <x:v>未测试</x:v>
      </x:c>
      <x:c r="K344" s="20"/>
      <x:c r="L344" s="20"/>
      <x:c r="M344" s="20"/>
      <x:c r="N344" s="20"/>
      <x:c r="O344" s="31"/>
      <x:c r="P344" s="20"/>
      <x:c r="Q344" s="20"/>
      <x:c r="R344" s="20" t="str">
        <x:v>待展开</x:v>
      </x:c>
      <x:c r="S344" s="20"/>
      <x:c r="T344" s="31"/>
      <x:c r="U344" s="30" t="str">
        <x:f>IF(A344="","缺记录编号",IF(COUNTIFS(PathRecords[记录编号],A344)&lt;&gt;1,"记录编号重复",IF(OR(B344="",E344=""),"缺组合/功能",IF(COUNTIFS(Equipment[组合编号],B344)&lt;&gt;1,"组合编号无效",IF(COUNTIFS(FunctionMatrix[编号],E344)=0,"功能编号无效",IF(H344="不适用",IF(J344="已实测","适用性冲突",IF(I344="","待补不适用依据","不适用（非实测）")),IF(J344="阻塞",IF(I344="","待补阻塞原因","阻塞（非实测）"),IF(J344&lt;&gt;"已实测",IF(F344="","待展开路径","未实测"),IF(H344&lt;&gt;"适用","待确认适用性",IF(INDEX(Equipment[登记状态（自动）],MATCH(B344,Equipment[组合编号],0))&lt;&gt;"已登记","待补设备组合",IF(AND(F344&lt;&gt;"",G344&lt;&gt;"",K344&lt;&gt;"",L344&lt;&gt;"",M344&lt;&gt;"",N344&lt;&gt;"",ISNUMBER(O344),O344&gt;0,P344&lt;&gt;""),"记录齐全","待补实测记录")))))))))))</x:f>
        <x:v>待展开路径</x:v>
      </x:c>
    </x:row>
    <x:row r="345" ht="43.5" customHeight="1">
      <x:c r="A345" s="20" t="str">
        <x:v>REC-00336</x:v>
      </x:c>
      <x:c r="B345" s="20" t="str">
        <x:v>P1-B4-01</x:v>
      </x:c>
      <x:c r="C345" s="30" t="str">
        <x:f>IF(B345="","",IF(COUNTIFS(Equipment[组合编号],B345)&lt;&gt;1,"组合编号无效",INDEX(Equipment[PLC组],MATCH(B345,Equipment[组合编号],0))))</x:f>
        <x:v>汇川小型</x:v>
      </x:c>
      <x:c r="D345" s="30" t="str">
        <x:f>IF(B345="","",IF(COUNTIFS(Equipment[组合编号],B345)&lt;&gt;1,"组合编号无效",INDEX(Equipment[驱动品牌],MATCH(B345,Equipment[组合编号],0))))</x:f>
        <x:v>Elmo</x:v>
      </x:c>
      <x:c r="E345" s="20" t="str">
        <x:v>D09</x:v>
      </x:c>
      <x:c r="F345" s="20"/>
      <x:c r="G345" s="20"/>
      <x:c r="H345" s="20" t="str">
        <x:v>待判定</x:v>
      </x:c>
      <x:c r="I345" s="20"/>
      <x:c r="J345" s="20" t="str">
        <x:v>未测试</x:v>
      </x:c>
      <x:c r="K345" s="20"/>
      <x:c r="L345" s="20"/>
      <x:c r="M345" s="20"/>
      <x:c r="N345" s="20"/>
      <x:c r="O345" s="31"/>
      <x:c r="P345" s="20"/>
      <x:c r="Q345" s="20"/>
      <x:c r="R345" s="20" t="str">
        <x:v>待展开</x:v>
      </x:c>
      <x:c r="S345" s="20"/>
      <x:c r="T345" s="31"/>
      <x:c r="U345" s="30" t="str">
        <x:f>IF(A345="","缺记录编号",IF(COUNTIFS(PathRecords[记录编号],A345)&lt;&gt;1,"记录编号重复",IF(OR(B345="",E345=""),"缺组合/功能",IF(COUNTIFS(Equipment[组合编号],B345)&lt;&gt;1,"组合编号无效",IF(COUNTIFS(FunctionMatrix[编号],E345)=0,"功能编号无效",IF(H345="不适用",IF(J345="已实测","适用性冲突",IF(I345="","待补不适用依据","不适用（非实测）")),IF(J345="阻塞",IF(I345="","待补阻塞原因","阻塞（非实测）"),IF(J345&lt;&gt;"已实测",IF(F345="","待展开路径","未实测"),IF(H345&lt;&gt;"适用","待确认适用性",IF(INDEX(Equipment[登记状态（自动）],MATCH(B345,Equipment[组合编号],0))&lt;&gt;"已登记","待补设备组合",IF(AND(F345&lt;&gt;"",G345&lt;&gt;"",K345&lt;&gt;"",L345&lt;&gt;"",M345&lt;&gt;"",N345&lt;&gt;"",ISNUMBER(O345),O345&gt;0,P345&lt;&gt;""),"记录齐全","待补实测记录")))))))))))</x:f>
        <x:v>待展开路径</x:v>
      </x:c>
    </x:row>
    <x:row r="346" ht="43.5" customHeight="1">
      <x:c r="A346" s="20" t="str">
        <x:v>REC-00337</x:v>
      </x:c>
      <x:c r="B346" s="20" t="str">
        <x:v>P1-B4-01</x:v>
      </x:c>
      <x:c r="C346" s="30" t="str">
        <x:f>IF(B346="","",IF(COUNTIFS(Equipment[组合编号],B346)&lt;&gt;1,"组合编号无效",INDEX(Equipment[PLC组],MATCH(B346,Equipment[组合编号],0))))</x:f>
        <x:v>汇川小型</x:v>
      </x:c>
      <x:c r="D346" s="30" t="str">
        <x:f>IF(B346="","",IF(COUNTIFS(Equipment[组合编号],B346)&lt;&gt;1,"组合编号无效",INDEX(Equipment[驱动品牌],MATCH(B346,Equipment[组合编号],0))))</x:f>
        <x:v>Elmo</x:v>
      </x:c>
      <x:c r="E346" s="20" t="str">
        <x:v>S01</x:v>
      </x:c>
      <x:c r="F346" s="20"/>
      <x:c r="G346" s="20"/>
      <x:c r="H346" s="20" t="str">
        <x:v>待判定</x:v>
      </x:c>
      <x:c r="I346" s="20"/>
      <x:c r="J346" s="20" t="str">
        <x:v>未测试</x:v>
      </x:c>
      <x:c r="K346" s="20"/>
      <x:c r="L346" s="20"/>
      <x:c r="M346" s="20"/>
      <x:c r="N346" s="20"/>
      <x:c r="O346" s="31"/>
      <x:c r="P346" s="20"/>
      <x:c r="Q346" s="20"/>
      <x:c r="R346" s="20" t="str">
        <x:v>待展开</x:v>
      </x:c>
      <x:c r="S346" s="20"/>
      <x:c r="T346" s="31"/>
      <x:c r="U346" s="30" t="str">
        <x:f>IF(A346="","缺记录编号",IF(COUNTIFS(PathRecords[记录编号],A346)&lt;&gt;1,"记录编号重复",IF(OR(B346="",E346=""),"缺组合/功能",IF(COUNTIFS(Equipment[组合编号],B346)&lt;&gt;1,"组合编号无效",IF(COUNTIFS(FunctionMatrix[编号],E346)=0,"功能编号无效",IF(H346="不适用",IF(J346="已实测","适用性冲突",IF(I346="","待补不适用依据","不适用（非实测）")),IF(J346="阻塞",IF(I346="","待补阻塞原因","阻塞（非实测）"),IF(J346&lt;&gt;"已实测",IF(F346="","待展开路径","未实测"),IF(H346&lt;&gt;"适用","待确认适用性",IF(INDEX(Equipment[登记状态（自动）],MATCH(B346,Equipment[组合编号],0))&lt;&gt;"已登记","待补设备组合",IF(AND(F346&lt;&gt;"",G346&lt;&gt;"",K346&lt;&gt;"",L346&lt;&gt;"",M346&lt;&gt;"",N346&lt;&gt;"",ISNUMBER(O346),O346&gt;0,P346&lt;&gt;""),"记录齐全","待补实测记录")))))))))))</x:f>
        <x:v>待展开路径</x:v>
      </x:c>
    </x:row>
    <x:row r="347" ht="43.5" customHeight="1">
      <x:c r="A347" s="20" t="str">
        <x:v>REC-00338</x:v>
      </x:c>
      <x:c r="B347" s="20" t="str">
        <x:v>P1-B4-01</x:v>
      </x:c>
      <x:c r="C347" s="30" t="str">
        <x:f>IF(B347="","",IF(COUNTIFS(Equipment[组合编号],B347)&lt;&gt;1,"组合编号无效",INDEX(Equipment[PLC组],MATCH(B347,Equipment[组合编号],0))))</x:f>
        <x:v>汇川小型</x:v>
      </x:c>
      <x:c r="D347" s="30" t="str">
        <x:f>IF(B347="","",IF(COUNTIFS(Equipment[组合编号],B347)&lt;&gt;1,"组合编号无效",INDEX(Equipment[驱动品牌],MATCH(B347,Equipment[组合编号],0))))</x:f>
        <x:v>Elmo</x:v>
      </x:c>
      <x:c r="E347" s="20" t="str">
        <x:v>S02</x:v>
      </x:c>
      <x:c r="F347" s="20"/>
      <x:c r="G347" s="20"/>
      <x:c r="H347" s="20" t="str">
        <x:v>待判定</x:v>
      </x:c>
      <x:c r="I347" s="20"/>
      <x:c r="J347" s="20" t="str">
        <x:v>未测试</x:v>
      </x:c>
      <x:c r="K347" s="20"/>
      <x:c r="L347" s="20"/>
      <x:c r="M347" s="20"/>
      <x:c r="N347" s="20"/>
      <x:c r="O347" s="31"/>
      <x:c r="P347" s="20"/>
      <x:c r="Q347" s="20"/>
      <x:c r="R347" s="20" t="str">
        <x:v>待展开</x:v>
      </x:c>
      <x:c r="S347" s="20"/>
      <x:c r="T347" s="31"/>
      <x:c r="U347" s="30" t="str">
        <x:f>IF(A347="","缺记录编号",IF(COUNTIFS(PathRecords[记录编号],A347)&lt;&gt;1,"记录编号重复",IF(OR(B347="",E347=""),"缺组合/功能",IF(COUNTIFS(Equipment[组合编号],B347)&lt;&gt;1,"组合编号无效",IF(COUNTIFS(FunctionMatrix[编号],E347)=0,"功能编号无效",IF(H347="不适用",IF(J347="已实测","适用性冲突",IF(I347="","待补不适用依据","不适用（非实测）")),IF(J347="阻塞",IF(I347="","待补阻塞原因","阻塞（非实测）"),IF(J347&lt;&gt;"已实测",IF(F347="","待展开路径","未实测"),IF(H347&lt;&gt;"适用","待确认适用性",IF(INDEX(Equipment[登记状态（自动）],MATCH(B347,Equipment[组合编号],0))&lt;&gt;"已登记","待补设备组合",IF(AND(F347&lt;&gt;"",G347&lt;&gt;"",K347&lt;&gt;"",L347&lt;&gt;"",M347&lt;&gt;"",N347&lt;&gt;"",ISNUMBER(O347),O347&gt;0,P347&lt;&gt;""),"记录齐全","待补实测记录")))))))))))</x:f>
        <x:v>待展开路径</x:v>
      </x:c>
    </x:row>
    <x:row r="348" ht="43.5" customHeight="1">
      <x:c r="A348" s="20" t="str">
        <x:v>REC-00339</x:v>
      </x:c>
      <x:c r="B348" s="20" t="str">
        <x:v>P1-B4-01</x:v>
      </x:c>
      <x:c r="C348" s="30" t="str">
        <x:f>IF(B348="","",IF(COUNTIFS(Equipment[组合编号],B348)&lt;&gt;1,"组合编号无效",INDEX(Equipment[PLC组],MATCH(B348,Equipment[组合编号],0))))</x:f>
        <x:v>汇川小型</x:v>
      </x:c>
      <x:c r="D348" s="30" t="str">
        <x:f>IF(B348="","",IF(COUNTIFS(Equipment[组合编号],B348)&lt;&gt;1,"组合编号无效",INDEX(Equipment[驱动品牌],MATCH(B348,Equipment[组合编号],0))))</x:f>
        <x:v>Elmo</x:v>
      </x:c>
      <x:c r="E348" s="20" t="str">
        <x:v>S03</x:v>
      </x:c>
      <x:c r="F348" s="20"/>
      <x:c r="G348" s="20"/>
      <x:c r="H348" s="20" t="str">
        <x:v>待判定</x:v>
      </x:c>
      <x:c r="I348" s="20"/>
      <x:c r="J348" s="20" t="str">
        <x:v>未测试</x:v>
      </x:c>
      <x:c r="K348" s="20"/>
      <x:c r="L348" s="20"/>
      <x:c r="M348" s="20"/>
      <x:c r="N348" s="20"/>
      <x:c r="O348" s="31"/>
      <x:c r="P348" s="20"/>
      <x:c r="Q348" s="20"/>
      <x:c r="R348" s="20" t="str">
        <x:v>待展开</x:v>
      </x:c>
      <x:c r="S348" s="20"/>
      <x:c r="T348" s="31"/>
      <x:c r="U348" s="30" t="str">
        <x:f>IF(A348="","缺记录编号",IF(COUNTIFS(PathRecords[记录编号],A348)&lt;&gt;1,"记录编号重复",IF(OR(B348="",E348=""),"缺组合/功能",IF(COUNTIFS(Equipment[组合编号],B348)&lt;&gt;1,"组合编号无效",IF(COUNTIFS(FunctionMatrix[编号],E348)=0,"功能编号无效",IF(H348="不适用",IF(J348="已实测","适用性冲突",IF(I348="","待补不适用依据","不适用（非实测）")),IF(J348="阻塞",IF(I348="","待补阻塞原因","阻塞（非实测）"),IF(J348&lt;&gt;"已实测",IF(F348="","待展开路径","未实测"),IF(H348&lt;&gt;"适用","待确认适用性",IF(INDEX(Equipment[登记状态（自动）],MATCH(B348,Equipment[组合编号],0))&lt;&gt;"已登记","待补设备组合",IF(AND(F348&lt;&gt;"",G348&lt;&gt;"",K348&lt;&gt;"",L348&lt;&gt;"",M348&lt;&gt;"",N348&lt;&gt;"",ISNUMBER(O348),O348&gt;0,P348&lt;&gt;""),"记录齐全","待补实测记录")))))))))))</x:f>
        <x:v>待展开路径</x:v>
      </x:c>
    </x:row>
    <x:row r="349" ht="43.5" customHeight="1">
      <x:c r="A349" s="20" t="str">
        <x:v>REC-00340</x:v>
      </x:c>
      <x:c r="B349" s="20" t="str">
        <x:v>P1-B4-01</x:v>
      </x:c>
      <x:c r="C349" s="30" t="str">
        <x:f>IF(B349="","",IF(COUNTIFS(Equipment[组合编号],B349)&lt;&gt;1,"组合编号无效",INDEX(Equipment[PLC组],MATCH(B349,Equipment[组合编号],0))))</x:f>
        <x:v>汇川小型</x:v>
      </x:c>
      <x:c r="D349" s="30" t="str">
        <x:f>IF(B349="","",IF(COUNTIFS(Equipment[组合编号],B349)&lt;&gt;1,"组合编号无效",INDEX(Equipment[驱动品牌],MATCH(B349,Equipment[组合编号],0))))</x:f>
        <x:v>Elmo</x:v>
      </x:c>
      <x:c r="E349" s="20" t="str">
        <x:v>S04</x:v>
      </x:c>
      <x:c r="F349" s="20"/>
      <x:c r="G349" s="20"/>
      <x:c r="H349" s="20" t="str">
        <x:v>待判定</x:v>
      </x:c>
      <x:c r="I349" s="20"/>
      <x:c r="J349" s="20" t="str">
        <x:v>未测试</x:v>
      </x:c>
      <x:c r="K349" s="20"/>
      <x:c r="L349" s="20"/>
      <x:c r="M349" s="20"/>
      <x:c r="N349" s="20"/>
      <x:c r="O349" s="31"/>
      <x:c r="P349" s="20"/>
      <x:c r="Q349" s="20"/>
      <x:c r="R349" s="20" t="str">
        <x:v>待展开</x:v>
      </x:c>
      <x:c r="S349" s="20"/>
      <x:c r="T349" s="31"/>
      <x:c r="U349" s="30" t="str">
        <x:f>IF(A349="","缺记录编号",IF(COUNTIFS(PathRecords[记录编号],A349)&lt;&gt;1,"记录编号重复",IF(OR(B349="",E349=""),"缺组合/功能",IF(COUNTIFS(Equipment[组合编号],B349)&lt;&gt;1,"组合编号无效",IF(COUNTIFS(FunctionMatrix[编号],E349)=0,"功能编号无效",IF(H349="不适用",IF(J349="已实测","适用性冲突",IF(I349="","待补不适用依据","不适用（非实测）")),IF(J349="阻塞",IF(I349="","待补阻塞原因","阻塞（非实测）"),IF(J349&lt;&gt;"已实测",IF(F349="","待展开路径","未实测"),IF(H349&lt;&gt;"适用","待确认适用性",IF(INDEX(Equipment[登记状态（自动）],MATCH(B349,Equipment[组合编号],0))&lt;&gt;"已登记","待补设备组合",IF(AND(F349&lt;&gt;"",G349&lt;&gt;"",K349&lt;&gt;"",L349&lt;&gt;"",M349&lt;&gt;"",N349&lt;&gt;"",ISNUMBER(O349),O349&gt;0,P349&lt;&gt;""),"记录齐全","待补实测记录")))))))))))</x:f>
        <x:v>待展开路径</x:v>
      </x:c>
    </x:row>
    <x:row r="350" ht="43.5" customHeight="1">
      <x:c r="A350" s="20" t="str">
        <x:v>REC-00341</x:v>
      </x:c>
      <x:c r="B350" s="20" t="str">
        <x:v>P1-B4-01</x:v>
      </x:c>
      <x:c r="C350" s="30" t="str">
        <x:f>IF(B350="","",IF(COUNTIFS(Equipment[组合编号],B350)&lt;&gt;1,"组合编号无效",INDEX(Equipment[PLC组],MATCH(B350,Equipment[组合编号],0))))</x:f>
        <x:v>汇川小型</x:v>
      </x:c>
      <x:c r="D350" s="30" t="str">
        <x:f>IF(B350="","",IF(COUNTIFS(Equipment[组合编号],B350)&lt;&gt;1,"组合编号无效",INDEX(Equipment[驱动品牌],MATCH(B350,Equipment[组合编号],0))))</x:f>
        <x:v>Elmo</x:v>
      </x:c>
      <x:c r="E350" s="20" t="str">
        <x:v>S05</x:v>
      </x:c>
      <x:c r="F350" s="20"/>
      <x:c r="G350" s="20"/>
      <x:c r="H350" s="20" t="str">
        <x:v>待判定</x:v>
      </x:c>
      <x:c r="I350" s="20"/>
      <x:c r="J350" s="20" t="str">
        <x:v>未测试</x:v>
      </x:c>
      <x:c r="K350" s="20"/>
      <x:c r="L350" s="20"/>
      <x:c r="M350" s="20"/>
      <x:c r="N350" s="20"/>
      <x:c r="O350" s="31"/>
      <x:c r="P350" s="20"/>
      <x:c r="Q350" s="20"/>
      <x:c r="R350" s="20" t="str">
        <x:v>待展开</x:v>
      </x:c>
      <x:c r="S350" s="20"/>
      <x:c r="T350" s="31"/>
      <x:c r="U350" s="30" t="str">
        <x:f>IF(A350="","缺记录编号",IF(COUNTIFS(PathRecords[记录编号],A350)&lt;&gt;1,"记录编号重复",IF(OR(B350="",E350=""),"缺组合/功能",IF(COUNTIFS(Equipment[组合编号],B350)&lt;&gt;1,"组合编号无效",IF(COUNTIFS(FunctionMatrix[编号],E350)=0,"功能编号无效",IF(H350="不适用",IF(J350="已实测","适用性冲突",IF(I350="","待补不适用依据","不适用（非实测）")),IF(J350="阻塞",IF(I350="","待补阻塞原因","阻塞（非实测）"),IF(J350&lt;&gt;"已实测",IF(F350="","待展开路径","未实测"),IF(H350&lt;&gt;"适用","待确认适用性",IF(INDEX(Equipment[登记状态（自动）],MATCH(B350,Equipment[组合编号],0))&lt;&gt;"已登记","待补设备组合",IF(AND(F350&lt;&gt;"",G350&lt;&gt;"",K350&lt;&gt;"",L350&lt;&gt;"",M350&lt;&gt;"",N350&lt;&gt;"",ISNUMBER(O350),O350&gt;0,P350&lt;&gt;""),"记录齐全","待补实测记录")))))))))))</x:f>
        <x:v>待展开路径</x:v>
      </x:c>
    </x:row>
    <x:row r="351" ht="43.5" customHeight="1">
      <x:c r="A351" s="20" t="str">
        <x:v>REC-00342</x:v>
      </x:c>
      <x:c r="B351" s="20" t="str">
        <x:v>P1-B4-01</x:v>
      </x:c>
      <x:c r="C351" s="30" t="str">
        <x:f>IF(B351="","",IF(COUNTIFS(Equipment[组合编号],B351)&lt;&gt;1,"组合编号无效",INDEX(Equipment[PLC组],MATCH(B351,Equipment[组合编号],0))))</x:f>
        <x:v>汇川小型</x:v>
      </x:c>
      <x:c r="D351" s="30" t="str">
        <x:f>IF(B351="","",IF(COUNTIFS(Equipment[组合编号],B351)&lt;&gt;1,"组合编号无效",INDEX(Equipment[驱动品牌],MATCH(B351,Equipment[组合编号],0))))</x:f>
        <x:v>Elmo</x:v>
      </x:c>
      <x:c r="E351" s="20" t="str">
        <x:v>S06</x:v>
      </x:c>
      <x:c r="F351" s="20"/>
      <x:c r="G351" s="20"/>
      <x:c r="H351" s="20" t="str">
        <x:v>待判定</x:v>
      </x:c>
      <x:c r="I351" s="20"/>
      <x:c r="J351" s="20" t="str">
        <x:v>未测试</x:v>
      </x:c>
      <x:c r="K351" s="20"/>
      <x:c r="L351" s="20"/>
      <x:c r="M351" s="20"/>
      <x:c r="N351" s="20"/>
      <x:c r="O351" s="31"/>
      <x:c r="P351" s="20"/>
      <x:c r="Q351" s="20"/>
      <x:c r="R351" s="20" t="str">
        <x:v>待展开</x:v>
      </x:c>
      <x:c r="S351" s="20"/>
      <x:c r="T351" s="31"/>
      <x:c r="U351" s="30" t="str">
        <x:f>IF(A351="","缺记录编号",IF(COUNTIFS(PathRecords[记录编号],A351)&lt;&gt;1,"记录编号重复",IF(OR(B351="",E351=""),"缺组合/功能",IF(COUNTIFS(Equipment[组合编号],B351)&lt;&gt;1,"组合编号无效",IF(COUNTIFS(FunctionMatrix[编号],E351)=0,"功能编号无效",IF(H351="不适用",IF(J351="已实测","适用性冲突",IF(I351="","待补不适用依据","不适用（非实测）")),IF(J351="阻塞",IF(I351="","待补阻塞原因","阻塞（非实测）"),IF(J351&lt;&gt;"已实测",IF(F351="","待展开路径","未实测"),IF(H351&lt;&gt;"适用","待确认适用性",IF(INDEX(Equipment[登记状态（自动）],MATCH(B351,Equipment[组合编号],0))&lt;&gt;"已登记","待补设备组合",IF(AND(F351&lt;&gt;"",G351&lt;&gt;"",K351&lt;&gt;"",L351&lt;&gt;"",M351&lt;&gt;"",N351&lt;&gt;"",ISNUMBER(O351),O351&gt;0,P351&lt;&gt;""),"记录齐全","待补实测记录")))))))))))</x:f>
        <x:v>待展开路径</x:v>
      </x:c>
    </x:row>
    <x:row r="352" ht="43.5" customHeight="1">
      <x:c r="A352" s="20" t="str">
        <x:v>REC-00343</x:v>
      </x:c>
      <x:c r="B352" s="20" t="str">
        <x:v>P1-B4-01</x:v>
      </x:c>
      <x:c r="C352" s="30" t="str">
        <x:f>IF(B352="","",IF(COUNTIFS(Equipment[组合编号],B352)&lt;&gt;1,"组合编号无效",INDEX(Equipment[PLC组],MATCH(B352,Equipment[组合编号],0))))</x:f>
        <x:v>汇川小型</x:v>
      </x:c>
      <x:c r="D352" s="30" t="str">
        <x:f>IF(B352="","",IF(COUNTIFS(Equipment[组合编号],B352)&lt;&gt;1,"组合编号无效",INDEX(Equipment[驱动品牌],MATCH(B352,Equipment[组合编号],0))))</x:f>
        <x:v>Elmo</x:v>
      </x:c>
      <x:c r="E352" s="20" t="str">
        <x:v>S07</x:v>
      </x:c>
      <x:c r="F352" s="20"/>
      <x:c r="G352" s="20"/>
      <x:c r="H352" s="20" t="str">
        <x:v>待判定</x:v>
      </x:c>
      <x:c r="I352" s="20"/>
      <x:c r="J352" s="20" t="str">
        <x:v>未测试</x:v>
      </x:c>
      <x:c r="K352" s="20"/>
      <x:c r="L352" s="20"/>
      <x:c r="M352" s="20"/>
      <x:c r="N352" s="20"/>
      <x:c r="O352" s="31"/>
      <x:c r="P352" s="20"/>
      <x:c r="Q352" s="20"/>
      <x:c r="R352" s="20" t="str">
        <x:v>待展开</x:v>
      </x:c>
      <x:c r="S352" s="20"/>
      <x:c r="T352" s="31"/>
      <x:c r="U352" s="30" t="str">
        <x:f>IF(A352="","缺记录编号",IF(COUNTIFS(PathRecords[记录编号],A352)&lt;&gt;1,"记录编号重复",IF(OR(B352="",E352=""),"缺组合/功能",IF(COUNTIFS(Equipment[组合编号],B352)&lt;&gt;1,"组合编号无效",IF(COUNTIFS(FunctionMatrix[编号],E352)=0,"功能编号无效",IF(H352="不适用",IF(J352="已实测","适用性冲突",IF(I352="","待补不适用依据","不适用（非实测）")),IF(J352="阻塞",IF(I352="","待补阻塞原因","阻塞（非实测）"),IF(J352&lt;&gt;"已实测",IF(F352="","待展开路径","未实测"),IF(H352&lt;&gt;"适用","待确认适用性",IF(INDEX(Equipment[登记状态（自动）],MATCH(B352,Equipment[组合编号],0))&lt;&gt;"已登记","待补设备组合",IF(AND(F352&lt;&gt;"",G352&lt;&gt;"",K352&lt;&gt;"",L352&lt;&gt;"",M352&lt;&gt;"",N352&lt;&gt;"",ISNUMBER(O352),O352&gt;0,P352&lt;&gt;""),"记录齐全","待补实测记录")))))))))))</x:f>
        <x:v>待展开路径</x:v>
      </x:c>
    </x:row>
    <x:row r="353" ht="43.5" customHeight="1">
      <x:c r="A353" s="20" t="str">
        <x:v>REC-00344</x:v>
      </x:c>
      <x:c r="B353" s="20" t="str">
        <x:v>P1-B4-01</x:v>
      </x:c>
      <x:c r="C353" s="30" t="str">
        <x:f>IF(B353="","",IF(COUNTIFS(Equipment[组合编号],B353)&lt;&gt;1,"组合编号无效",INDEX(Equipment[PLC组],MATCH(B353,Equipment[组合编号],0))))</x:f>
        <x:v>汇川小型</x:v>
      </x:c>
      <x:c r="D353" s="30" t="str">
        <x:f>IF(B353="","",IF(COUNTIFS(Equipment[组合编号],B353)&lt;&gt;1,"组合编号无效",INDEX(Equipment[驱动品牌],MATCH(B353,Equipment[组合编号],0))))</x:f>
        <x:v>Elmo</x:v>
      </x:c>
      <x:c r="E353" s="20" t="str">
        <x:v>S08</x:v>
      </x:c>
      <x:c r="F353" s="20"/>
      <x:c r="G353" s="20"/>
      <x:c r="H353" s="20" t="str">
        <x:v>待判定</x:v>
      </x:c>
      <x:c r="I353" s="20"/>
      <x:c r="J353" s="20" t="str">
        <x:v>未测试</x:v>
      </x:c>
      <x:c r="K353" s="20"/>
      <x:c r="L353" s="20"/>
      <x:c r="M353" s="20"/>
      <x:c r="N353" s="20"/>
      <x:c r="O353" s="31"/>
      <x:c r="P353" s="20"/>
      <x:c r="Q353" s="20"/>
      <x:c r="R353" s="20" t="str">
        <x:v>待展开</x:v>
      </x:c>
      <x:c r="S353" s="20"/>
      <x:c r="T353" s="31"/>
      <x:c r="U353" s="30" t="str">
        <x:f>IF(A353="","缺记录编号",IF(COUNTIFS(PathRecords[记录编号],A353)&lt;&gt;1,"记录编号重复",IF(OR(B353="",E353=""),"缺组合/功能",IF(COUNTIFS(Equipment[组合编号],B353)&lt;&gt;1,"组合编号无效",IF(COUNTIFS(FunctionMatrix[编号],E353)=0,"功能编号无效",IF(H353="不适用",IF(J353="已实测","适用性冲突",IF(I353="","待补不适用依据","不适用（非实测）")),IF(J353="阻塞",IF(I353="","待补阻塞原因","阻塞（非实测）"),IF(J353&lt;&gt;"已实测",IF(F353="","待展开路径","未实测"),IF(H353&lt;&gt;"适用","待确认适用性",IF(INDEX(Equipment[登记状态（自动）],MATCH(B353,Equipment[组合编号],0))&lt;&gt;"已登记","待补设备组合",IF(AND(F353&lt;&gt;"",G353&lt;&gt;"",K353&lt;&gt;"",L353&lt;&gt;"",M353&lt;&gt;"",N353&lt;&gt;"",ISNUMBER(O353),O353&gt;0,P353&lt;&gt;""),"记录齐全","待补实测记录")))))))))))</x:f>
        <x:v>待展开路径</x:v>
      </x:c>
    </x:row>
    <x:row r="354" ht="43.5" customHeight="1">
      <x:c r="A354" s="20" t="str">
        <x:v>REC-00345</x:v>
      </x:c>
      <x:c r="B354" s="20" t="str">
        <x:v>P1-B4-01</x:v>
      </x:c>
      <x:c r="C354" s="30" t="str">
        <x:f>IF(B354="","",IF(COUNTIFS(Equipment[组合编号],B354)&lt;&gt;1,"组合编号无效",INDEX(Equipment[PLC组],MATCH(B354,Equipment[组合编号],0))))</x:f>
        <x:v>汇川小型</x:v>
      </x:c>
      <x:c r="D354" s="30" t="str">
        <x:f>IF(B354="","",IF(COUNTIFS(Equipment[组合编号],B354)&lt;&gt;1,"组合编号无效",INDEX(Equipment[驱动品牌],MATCH(B354,Equipment[组合编号],0))))</x:f>
        <x:v>Elmo</x:v>
      </x:c>
      <x:c r="E354" s="20" t="str">
        <x:v>S09</x:v>
      </x:c>
      <x:c r="F354" s="20"/>
      <x:c r="G354" s="20"/>
      <x:c r="H354" s="20" t="str">
        <x:v>待判定</x:v>
      </x:c>
      <x:c r="I354" s="20"/>
      <x:c r="J354" s="20" t="str">
        <x:v>未测试</x:v>
      </x:c>
      <x:c r="K354" s="20"/>
      <x:c r="L354" s="20"/>
      <x:c r="M354" s="20"/>
      <x:c r="N354" s="20"/>
      <x:c r="O354" s="31"/>
      <x:c r="P354" s="20"/>
      <x:c r="Q354" s="20"/>
      <x:c r="R354" s="20" t="str">
        <x:v>待展开</x:v>
      </x:c>
      <x:c r="S354" s="20"/>
      <x:c r="T354" s="31"/>
      <x:c r="U354" s="30" t="str">
        <x:f>IF(A354="","缺记录编号",IF(COUNTIFS(PathRecords[记录编号],A354)&lt;&gt;1,"记录编号重复",IF(OR(B354="",E354=""),"缺组合/功能",IF(COUNTIFS(Equipment[组合编号],B354)&lt;&gt;1,"组合编号无效",IF(COUNTIFS(FunctionMatrix[编号],E354)=0,"功能编号无效",IF(H354="不适用",IF(J354="已实测","适用性冲突",IF(I354="","待补不适用依据","不适用（非实测）")),IF(J354="阻塞",IF(I354="","待补阻塞原因","阻塞（非实测）"),IF(J354&lt;&gt;"已实测",IF(F354="","待展开路径","未实测"),IF(H354&lt;&gt;"适用","待确认适用性",IF(INDEX(Equipment[登记状态（自动）],MATCH(B354,Equipment[组合编号],0))&lt;&gt;"已登记","待补设备组合",IF(AND(F354&lt;&gt;"",G354&lt;&gt;"",K354&lt;&gt;"",L354&lt;&gt;"",M354&lt;&gt;"",N354&lt;&gt;"",ISNUMBER(O354),O354&gt;0,P354&lt;&gt;""),"记录齐全","待补实测记录")))))))))))</x:f>
        <x:v>待展开路径</x:v>
      </x:c>
    </x:row>
    <x:row r="355" ht="43.5" customHeight="1">
      <x:c r="A355" s="20" t="str">
        <x:v>REC-00346</x:v>
      </x:c>
      <x:c r="B355" s="20" t="str">
        <x:v>P1-B4-01</x:v>
      </x:c>
      <x:c r="C355" s="30" t="str">
        <x:f>IF(B355="","",IF(COUNTIFS(Equipment[组合编号],B355)&lt;&gt;1,"组合编号无效",INDEX(Equipment[PLC组],MATCH(B355,Equipment[组合编号],0))))</x:f>
        <x:v>汇川小型</x:v>
      </x:c>
      <x:c r="D355" s="30" t="str">
        <x:f>IF(B355="","",IF(COUNTIFS(Equipment[组合编号],B355)&lt;&gt;1,"组合编号无效",INDEX(Equipment[驱动品牌],MATCH(B355,Equipment[组合编号],0))))</x:f>
        <x:v>Elmo</x:v>
      </x:c>
      <x:c r="E355" s="20" t="str">
        <x:v>U01</x:v>
      </x:c>
      <x:c r="F355" s="20"/>
      <x:c r="G355" s="20"/>
      <x:c r="H355" s="20" t="str">
        <x:v>待判定</x:v>
      </x:c>
      <x:c r="I355" s="20"/>
      <x:c r="J355" s="20" t="str">
        <x:v>未测试</x:v>
      </x:c>
      <x:c r="K355" s="20"/>
      <x:c r="L355" s="20"/>
      <x:c r="M355" s="20"/>
      <x:c r="N355" s="20"/>
      <x:c r="O355" s="31"/>
      <x:c r="P355" s="20"/>
      <x:c r="Q355" s="20"/>
      <x:c r="R355" s="20" t="str">
        <x:v>待展开</x:v>
      </x:c>
      <x:c r="S355" s="20"/>
      <x:c r="T355" s="31"/>
      <x:c r="U355" s="30" t="str">
        <x:f>IF(A355="","缺记录编号",IF(COUNTIFS(PathRecords[记录编号],A355)&lt;&gt;1,"记录编号重复",IF(OR(B355="",E355=""),"缺组合/功能",IF(COUNTIFS(Equipment[组合编号],B355)&lt;&gt;1,"组合编号无效",IF(COUNTIFS(FunctionMatrix[编号],E355)=0,"功能编号无效",IF(H355="不适用",IF(J355="已实测","适用性冲突",IF(I355="","待补不适用依据","不适用（非实测）")),IF(J355="阻塞",IF(I355="","待补阻塞原因","阻塞（非实测）"),IF(J355&lt;&gt;"已实测",IF(F355="","待展开路径","未实测"),IF(H355&lt;&gt;"适用","待确认适用性",IF(INDEX(Equipment[登记状态（自动）],MATCH(B355,Equipment[组合编号],0))&lt;&gt;"已登记","待补设备组合",IF(AND(F355&lt;&gt;"",G355&lt;&gt;"",K355&lt;&gt;"",L355&lt;&gt;"",M355&lt;&gt;"",N355&lt;&gt;"",ISNUMBER(O355),O355&gt;0,P355&lt;&gt;""),"记录齐全","待补实测记录")))))))))))</x:f>
        <x:v>待展开路径</x:v>
      </x:c>
    </x:row>
    <x:row r="356" ht="43.5" customHeight="1">
      <x:c r="A356" s="20" t="str">
        <x:v>REC-00347</x:v>
      </x:c>
      <x:c r="B356" s="20" t="str">
        <x:v>P1-B4-01</x:v>
      </x:c>
      <x:c r="C356" s="30" t="str">
        <x:f>IF(B356="","",IF(COUNTIFS(Equipment[组合编号],B356)&lt;&gt;1,"组合编号无效",INDEX(Equipment[PLC组],MATCH(B356,Equipment[组合编号],0))))</x:f>
        <x:v>汇川小型</x:v>
      </x:c>
      <x:c r="D356" s="30" t="str">
        <x:f>IF(B356="","",IF(COUNTIFS(Equipment[组合编号],B356)&lt;&gt;1,"组合编号无效",INDEX(Equipment[驱动品牌],MATCH(B356,Equipment[组合编号],0))))</x:f>
        <x:v>Elmo</x:v>
      </x:c>
      <x:c r="E356" s="20" t="str">
        <x:v>U02</x:v>
      </x:c>
      <x:c r="F356" s="20"/>
      <x:c r="G356" s="20"/>
      <x:c r="H356" s="20" t="str">
        <x:v>待判定</x:v>
      </x:c>
      <x:c r="I356" s="20"/>
      <x:c r="J356" s="20" t="str">
        <x:v>未测试</x:v>
      </x:c>
      <x:c r="K356" s="20"/>
      <x:c r="L356" s="20"/>
      <x:c r="M356" s="20"/>
      <x:c r="N356" s="20"/>
      <x:c r="O356" s="31"/>
      <x:c r="P356" s="20"/>
      <x:c r="Q356" s="20"/>
      <x:c r="R356" s="20" t="str">
        <x:v>待展开</x:v>
      </x:c>
      <x:c r="S356" s="20"/>
      <x:c r="T356" s="31"/>
      <x:c r="U356" s="30" t="str">
        <x:f>IF(A356="","缺记录编号",IF(COUNTIFS(PathRecords[记录编号],A356)&lt;&gt;1,"记录编号重复",IF(OR(B356="",E356=""),"缺组合/功能",IF(COUNTIFS(Equipment[组合编号],B356)&lt;&gt;1,"组合编号无效",IF(COUNTIFS(FunctionMatrix[编号],E356)=0,"功能编号无效",IF(H356="不适用",IF(J356="已实测","适用性冲突",IF(I356="","待补不适用依据","不适用（非实测）")),IF(J356="阻塞",IF(I356="","待补阻塞原因","阻塞（非实测）"),IF(J356&lt;&gt;"已实测",IF(F356="","待展开路径","未实测"),IF(H356&lt;&gt;"适用","待确认适用性",IF(INDEX(Equipment[登记状态（自动）],MATCH(B356,Equipment[组合编号],0))&lt;&gt;"已登记","待补设备组合",IF(AND(F356&lt;&gt;"",G356&lt;&gt;"",K356&lt;&gt;"",L356&lt;&gt;"",M356&lt;&gt;"",N356&lt;&gt;"",ISNUMBER(O356),O356&gt;0,P356&lt;&gt;""),"记录齐全","待补实测记录")))))))))))</x:f>
        <x:v>待展开路径</x:v>
      </x:c>
    </x:row>
    <x:row r="357" ht="43.5" customHeight="1">
      <x:c r="A357" s="20" t="str">
        <x:v>REC-00348</x:v>
      </x:c>
      <x:c r="B357" s="20" t="str">
        <x:v>P1-B4-01</x:v>
      </x:c>
      <x:c r="C357" s="30" t="str">
        <x:f>IF(B357="","",IF(COUNTIFS(Equipment[组合编号],B357)&lt;&gt;1,"组合编号无效",INDEX(Equipment[PLC组],MATCH(B357,Equipment[组合编号],0))))</x:f>
        <x:v>汇川小型</x:v>
      </x:c>
      <x:c r="D357" s="30" t="str">
        <x:f>IF(B357="","",IF(COUNTIFS(Equipment[组合编号],B357)&lt;&gt;1,"组合编号无效",INDEX(Equipment[驱动品牌],MATCH(B357,Equipment[组合编号],0))))</x:f>
        <x:v>Elmo</x:v>
      </x:c>
      <x:c r="E357" s="20" t="str">
        <x:v>U03</x:v>
      </x:c>
      <x:c r="F357" s="20"/>
      <x:c r="G357" s="20"/>
      <x:c r="H357" s="20" t="str">
        <x:v>待判定</x:v>
      </x:c>
      <x:c r="I357" s="20"/>
      <x:c r="J357" s="20" t="str">
        <x:v>未测试</x:v>
      </x:c>
      <x:c r="K357" s="20"/>
      <x:c r="L357" s="20"/>
      <x:c r="M357" s="20"/>
      <x:c r="N357" s="20"/>
      <x:c r="O357" s="31"/>
      <x:c r="P357" s="20"/>
      <x:c r="Q357" s="20"/>
      <x:c r="R357" s="20" t="str">
        <x:v>待展开</x:v>
      </x:c>
      <x:c r="S357" s="20"/>
      <x:c r="T357" s="31"/>
      <x:c r="U357" s="30" t="str">
        <x:f>IF(A357="","缺记录编号",IF(COUNTIFS(PathRecords[记录编号],A357)&lt;&gt;1,"记录编号重复",IF(OR(B357="",E357=""),"缺组合/功能",IF(COUNTIFS(Equipment[组合编号],B357)&lt;&gt;1,"组合编号无效",IF(COUNTIFS(FunctionMatrix[编号],E357)=0,"功能编号无效",IF(H357="不适用",IF(J357="已实测","适用性冲突",IF(I357="","待补不适用依据","不适用（非实测）")),IF(J357="阻塞",IF(I357="","待补阻塞原因","阻塞（非实测）"),IF(J357&lt;&gt;"已实测",IF(F357="","待展开路径","未实测"),IF(H357&lt;&gt;"适用","待确认适用性",IF(INDEX(Equipment[登记状态（自动）],MATCH(B357,Equipment[组合编号],0))&lt;&gt;"已登记","待补设备组合",IF(AND(F357&lt;&gt;"",G357&lt;&gt;"",K357&lt;&gt;"",L357&lt;&gt;"",M357&lt;&gt;"",N357&lt;&gt;"",ISNUMBER(O357),O357&gt;0,P357&lt;&gt;""),"记录齐全","待补实测记录")))))))))))</x:f>
        <x:v>待展开路径</x:v>
      </x:c>
    </x:row>
    <x:row r="358" ht="43.5" customHeight="1">
      <x:c r="A358" s="20" t="str">
        <x:v>REC-00349</x:v>
      </x:c>
      <x:c r="B358" s="20" t="str">
        <x:v>P1-B4-01</x:v>
      </x:c>
      <x:c r="C358" s="30" t="str">
        <x:f>IF(B358="","",IF(COUNTIFS(Equipment[组合编号],B358)&lt;&gt;1,"组合编号无效",INDEX(Equipment[PLC组],MATCH(B358,Equipment[组合编号],0))))</x:f>
        <x:v>汇川小型</x:v>
      </x:c>
      <x:c r="D358" s="30" t="str">
        <x:f>IF(B358="","",IF(COUNTIFS(Equipment[组合编号],B358)&lt;&gt;1,"组合编号无效",INDEX(Equipment[驱动品牌],MATCH(B358,Equipment[组合编号],0))))</x:f>
        <x:v>Elmo</x:v>
      </x:c>
      <x:c r="E358" s="20" t="str">
        <x:v>U04</x:v>
      </x:c>
      <x:c r="F358" s="20"/>
      <x:c r="G358" s="20"/>
      <x:c r="H358" s="20" t="str">
        <x:v>待判定</x:v>
      </x:c>
      <x:c r="I358" s="20"/>
      <x:c r="J358" s="20" t="str">
        <x:v>未测试</x:v>
      </x:c>
      <x:c r="K358" s="20"/>
      <x:c r="L358" s="20"/>
      <x:c r="M358" s="20"/>
      <x:c r="N358" s="20"/>
      <x:c r="O358" s="31"/>
      <x:c r="P358" s="20"/>
      <x:c r="Q358" s="20"/>
      <x:c r="R358" s="20" t="str">
        <x:v>待展开</x:v>
      </x:c>
      <x:c r="S358" s="20"/>
      <x:c r="T358" s="31"/>
      <x:c r="U358" s="30" t="str">
        <x:f>IF(A358="","缺记录编号",IF(COUNTIFS(PathRecords[记录编号],A358)&lt;&gt;1,"记录编号重复",IF(OR(B358="",E358=""),"缺组合/功能",IF(COUNTIFS(Equipment[组合编号],B358)&lt;&gt;1,"组合编号无效",IF(COUNTIFS(FunctionMatrix[编号],E358)=0,"功能编号无效",IF(H358="不适用",IF(J358="已实测","适用性冲突",IF(I358="","待补不适用依据","不适用（非实测）")),IF(J358="阻塞",IF(I358="","待补阻塞原因","阻塞（非实测）"),IF(J358&lt;&gt;"已实测",IF(F358="","待展开路径","未实测"),IF(H358&lt;&gt;"适用","待确认适用性",IF(INDEX(Equipment[登记状态（自动）],MATCH(B358,Equipment[组合编号],0))&lt;&gt;"已登记","待补设备组合",IF(AND(F358&lt;&gt;"",G358&lt;&gt;"",K358&lt;&gt;"",L358&lt;&gt;"",M358&lt;&gt;"",N358&lt;&gt;"",ISNUMBER(O358),O358&gt;0,P358&lt;&gt;""),"记录齐全","待补实测记录")))))))))))</x:f>
        <x:v>待展开路径</x:v>
      </x:c>
    </x:row>
    <x:row r="359" ht="43.5" customHeight="1">
      <x:c r="A359" s="20" t="str">
        <x:v>REC-00350</x:v>
      </x:c>
      <x:c r="B359" s="20" t="str">
        <x:v>P1-B4-01</x:v>
      </x:c>
      <x:c r="C359" s="30" t="str">
        <x:f>IF(B359="","",IF(COUNTIFS(Equipment[组合编号],B359)&lt;&gt;1,"组合编号无效",INDEX(Equipment[PLC组],MATCH(B359,Equipment[组合编号],0))))</x:f>
        <x:v>汇川小型</x:v>
      </x:c>
      <x:c r="D359" s="30" t="str">
        <x:f>IF(B359="","",IF(COUNTIFS(Equipment[组合编号],B359)&lt;&gt;1,"组合编号无效",INDEX(Equipment[驱动品牌],MATCH(B359,Equipment[组合编号],0))))</x:f>
        <x:v>Elmo</x:v>
      </x:c>
      <x:c r="E359" s="20" t="str">
        <x:v>U05</x:v>
      </x:c>
      <x:c r="F359" s="20"/>
      <x:c r="G359" s="20"/>
      <x:c r="H359" s="20" t="str">
        <x:v>待判定</x:v>
      </x:c>
      <x:c r="I359" s="20"/>
      <x:c r="J359" s="20" t="str">
        <x:v>未测试</x:v>
      </x:c>
      <x:c r="K359" s="20"/>
      <x:c r="L359" s="20"/>
      <x:c r="M359" s="20"/>
      <x:c r="N359" s="20"/>
      <x:c r="O359" s="31"/>
      <x:c r="P359" s="20"/>
      <x:c r="Q359" s="20"/>
      <x:c r="R359" s="20" t="str">
        <x:v>待展开</x:v>
      </x:c>
      <x:c r="S359" s="20"/>
      <x:c r="T359" s="31"/>
      <x:c r="U359" s="30" t="str">
        <x:f>IF(A359="","缺记录编号",IF(COUNTIFS(PathRecords[记录编号],A359)&lt;&gt;1,"记录编号重复",IF(OR(B359="",E359=""),"缺组合/功能",IF(COUNTIFS(Equipment[组合编号],B359)&lt;&gt;1,"组合编号无效",IF(COUNTIFS(FunctionMatrix[编号],E359)=0,"功能编号无效",IF(H359="不适用",IF(J359="已实测","适用性冲突",IF(I359="","待补不适用依据","不适用（非实测）")),IF(J359="阻塞",IF(I359="","待补阻塞原因","阻塞（非实测）"),IF(J359&lt;&gt;"已实测",IF(F359="","待展开路径","未实测"),IF(H359&lt;&gt;"适用","待确认适用性",IF(INDEX(Equipment[登记状态（自动）],MATCH(B359,Equipment[组合编号],0))&lt;&gt;"已登记","待补设备组合",IF(AND(F359&lt;&gt;"",G359&lt;&gt;"",K359&lt;&gt;"",L359&lt;&gt;"",M359&lt;&gt;"",N359&lt;&gt;"",ISNUMBER(O359),O359&gt;0,P359&lt;&gt;""),"记录齐全","待补实测记录")))))))))))</x:f>
        <x:v>待展开路径</x:v>
      </x:c>
    </x:row>
    <x:row r="360" ht="43.5" customHeight="1">
      <x:c r="A360" s="20" t="str">
        <x:v>REC-00351</x:v>
      </x:c>
      <x:c r="B360" s="20" t="str">
        <x:v>P1-B4-01</x:v>
      </x:c>
      <x:c r="C360" s="30" t="str">
        <x:f>IF(B360="","",IF(COUNTIFS(Equipment[组合编号],B360)&lt;&gt;1,"组合编号无效",INDEX(Equipment[PLC组],MATCH(B360,Equipment[组合编号],0))))</x:f>
        <x:v>汇川小型</x:v>
      </x:c>
      <x:c r="D360" s="30" t="str">
        <x:f>IF(B360="","",IF(COUNTIFS(Equipment[组合编号],B360)&lt;&gt;1,"组合编号无效",INDEX(Equipment[驱动品牌],MATCH(B360,Equipment[组合编号],0))))</x:f>
        <x:v>Elmo</x:v>
      </x:c>
      <x:c r="E360" s="20" t="str">
        <x:v>U06</x:v>
      </x:c>
      <x:c r="F360" s="20"/>
      <x:c r="G360" s="20"/>
      <x:c r="H360" s="20" t="str">
        <x:v>待判定</x:v>
      </x:c>
      <x:c r="I360" s="20"/>
      <x:c r="J360" s="20" t="str">
        <x:v>未测试</x:v>
      </x:c>
      <x:c r="K360" s="20"/>
      <x:c r="L360" s="20"/>
      <x:c r="M360" s="20"/>
      <x:c r="N360" s="20"/>
      <x:c r="O360" s="31"/>
      <x:c r="P360" s="20"/>
      <x:c r="Q360" s="20"/>
      <x:c r="R360" s="20" t="str">
        <x:v>待展开</x:v>
      </x:c>
      <x:c r="S360" s="20"/>
      <x:c r="T360" s="31"/>
      <x:c r="U360" s="30" t="str">
        <x:f>IF(A360="","缺记录编号",IF(COUNTIFS(PathRecords[记录编号],A360)&lt;&gt;1,"记录编号重复",IF(OR(B360="",E360=""),"缺组合/功能",IF(COUNTIFS(Equipment[组合编号],B360)&lt;&gt;1,"组合编号无效",IF(COUNTIFS(FunctionMatrix[编号],E360)=0,"功能编号无效",IF(H360="不适用",IF(J360="已实测","适用性冲突",IF(I360="","待补不适用依据","不适用（非实测）")),IF(J360="阻塞",IF(I360="","待补阻塞原因","阻塞（非实测）"),IF(J360&lt;&gt;"已实测",IF(F360="","待展开路径","未实测"),IF(H360&lt;&gt;"适用","待确认适用性",IF(INDEX(Equipment[登记状态（自动）],MATCH(B360,Equipment[组合编号],0))&lt;&gt;"已登记","待补设备组合",IF(AND(F360&lt;&gt;"",G360&lt;&gt;"",K360&lt;&gt;"",L360&lt;&gt;"",M360&lt;&gt;"",N360&lt;&gt;"",ISNUMBER(O360),O360&gt;0,P360&lt;&gt;""),"记录齐全","待补实测记录")))))))))))</x:f>
        <x:v>待展开路径</x:v>
      </x:c>
    </x:row>
    <x:row r="361" ht="43.5" customHeight="1">
      <x:c r="A361" s="20" t="str">
        <x:v>REC-00352</x:v>
      </x:c>
      <x:c r="B361" s="20" t="str">
        <x:v>P1-B4-01</x:v>
      </x:c>
      <x:c r="C361" s="30" t="str">
        <x:f>IF(B361="","",IF(COUNTIFS(Equipment[组合编号],B361)&lt;&gt;1,"组合编号无效",INDEX(Equipment[PLC组],MATCH(B361,Equipment[组合编号],0))))</x:f>
        <x:v>汇川小型</x:v>
      </x:c>
      <x:c r="D361" s="30" t="str">
        <x:f>IF(B361="","",IF(COUNTIFS(Equipment[组合编号],B361)&lt;&gt;1,"组合编号无效",INDEX(Equipment[驱动品牌],MATCH(B361,Equipment[组合编号],0))))</x:f>
        <x:v>Elmo</x:v>
      </x:c>
      <x:c r="E361" s="20" t="str">
        <x:v>U07</x:v>
      </x:c>
      <x:c r="F361" s="20"/>
      <x:c r="G361" s="20"/>
      <x:c r="H361" s="20" t="str">
        <x:v>待判定</x:v>
      </x:c>
      <x:c r="I361" s="20"/>
      <x:c r="J361" s="20" t="str">
        <x:v>未测试</x:v>
      </x:c>
      <x:c r="K361" s="20"/>
      <x:c r="L361" s="20"/>
      <x:c r="M361" s="20"/>
      <x:c r="N361" s="20"/>
      <x:c r="O361" s="31"/>
      <x:c r="P361" s="20"/>
      <x:c r="Q361" s="20"/>
      <x:c r="R361" s="20" t="str">
        <x:v>待展开</x:v>
      </x:c>
      <x:c r="S361" s="20"/>
      <x:c r="T361" s="31"/>
      <x:c r="U361" s="30" t="str">
        <x:f>IF(A361="","缺记录编号",IF(COUNTIFS(PathRecords[记录编号],A361)&lt;&gt;1,"记录编号重复",IF(OR(B361="",E361=""),"缺组合/功能",IF(COUNTIFS(Equipment[组合编号],B361)&lt;&gt;1,"组合编号无效",IF(COUNTIFS(FunctionMatrix[编号],E361)=0,"功能编号无效",IF(H361="不适用",IF(J361="已实测","适用性冲突",IF(I361="","待补不适用依据","不适用（非实测）")),IF(J361="阻塞",IF(I361="","待补阻塞原因","阻塞（非实测）"),IF(J361&lt;&gt;"已实测",IF(F361="","待展开路径","未实测"),IF(H361&lt;&gt;"适用","待确认适用性",IF(INDEX(Equipment[登记状态（自动）],MATCH(B361,Equipment[组合编号],0))&lt;&gt;"已登记","待补设备组合",IF(AND(F361&lt;&gt;"",G361&lt;&gt;"",K361&lt;&gt;"",L361&lt;&gt;"",M361&lt;&gt;"",N361&lt;&gt;"",ISNUMBER(O361),O361&gt;0,P361&lt;&gt;""),"记录齐全","待补实测记录")))))))))))</x:f>
        <x:v>待展开路径</x:v>
      </x:c>
    </x:row>
    <x:row r="362" ht="43.5" customHeight="1">
      <x:c r="A362" s="20" t="str">
        <x:v>REC-00353</x:v>
      </x:c>
      <x:c r="B362" s="20" t="str">
        <x:v>P1-B4-01</x:v>
      </x:c>
      <x:c r="C362" s="30" t="str">
        <x:f>IF(B362="","",IF(COUNTIFS(Equipment[组合编号],B362)&lt;&gt;1,"组合编号无效",INDEX(Equipment[PLC组],MATCH(B362,Equipment[组合编号],0))))</x:f>
        <x:v>汇川小型</x:v>
      </x:c>
      <x:c r="D362" s="30" t="str">
        <x:f>IF(B362="","",IF(COUNTIFS(Equipment[组合编号],B362)&lt;&gt;1,"组合编号无效",INDEX(Equipment[驱动品牌],MATCH(B362,Equipment[组合编号],0))))</x:f>
        <x:v>Elmo</x:v>
      </x:c>
      <x:c r="E362" s="20" t="str">
        <x:v>U08</x:v>
      </x:c>
      <x:c r="F362" s="20"/>
      <x:c r="G362" s="20"/>
      <x:c r="H362" s="20" t="str">
        <x:v>待判定</x:v>
      </x:c>
      <x:c r="I362" s="20"/>
      <x:c r="J362" s="20" t="str">
        <x:v>未测试</x:v>
      </x:c>
      <x:c r="K362" s="20"/>
      <x:c r="L362" s="20"/>
      <x:c r="M362" s="20"/>
      <x:c r="N362" s="20"/>
      <x:c r="O362" s="31"/>
      <x:c r="P362" s="20"/>
      <x:c r="Q362" s="20"/>
      <x:c r="R362" s="20" t="str">
        <x:v>待展开</x:v>
      </x:c>
      <x:c r="S362" s="20"/>
      <x:c r="T362" s="31"/>
      <x:c r="U362" s="30" t="str">
        <x:f>IF(A362="","缺记录编号",IF(COUNTIFS(PathRecords[记录编号],A362)&lt;&gt;1,"记录编号重复",IF(OR(B362="",E362=""),"缺组合/功能",IF(COUNTIFS(Equipment[组合编号],B362)&lt;&gt;1,"组合编号无效",IF(COUNTIFS(FunctionMatrix[编号],E362)=0,"功能编号无效",IF(H362="不适用",IF(J362="已实测","适用性冲突",IF(I362="","待补不适用依据","不适用（非实测）")),IF(J362="阻塞",IF(I362="","待补阻塞原因","阻塞（非实测）"),IF(J362&lt;&gt;"已实测",IF(F362="","待展开路径","未实测"),IF(H362&lt;&gt;"适用","待确认适用性",IF(INDEX(Equipment[登记状态（自动）],MATCH(B362,Equipment[组合编号],0))&lt;&gt;"已登记","待补设备组合",IF(AND(F362&lt;&gt;"",G362&lt;&gt;"",K362&lt;&gt;"",L362&lt;&gt;"",M362&lt;&gt;"",N362&lt;&gt;"",ISNUMBER(O362),O362&gt;0,P362&lt;&gt;""),"记录齐全","待补实测记录")))))))))))</x:f>
        <x:v>待展开路径</x:v>
      </x:c>
    </x:row>
    <x:row r="363" ht="43.5" customHeight="1">
      <x:c r="A363" s="20" t="str">
        <x:v>REC-00354</x:v>
      </x:c>
      <x:c r="B363" s="20" t="str">
        <x:v>P1-B4-01</x:v>
      </x:c>
      <x:c r="C363" s="30" t="str">
        <x:f>IF(B363="","",IF(COUNTIFS(Equipment[组合编号],B363)&lt;&gt;1,"组合编号无效",INDEX(Equipment[PLC组],MATCH(B363,Equipment[组合编号],0))))</x:f>
        <x:v>汇川小型</x:v>
      </x:c>
      <x:c r="D363" s="30" t="str">
        <x:f>IF(B363="","",IF(COUNTIFS(Equipment[组合编号],B363)&lt;&gt;1,"组合编号无效",INDEX(Equipment[驱动品牌],MATCH(B363,Equipment[组合编号],0))))</x:f>
        <x:v>Elmo</x:v>
      </x:c>
      <x:c r="E363" s="20" t="str">
        <x:v>U09</x:v>
      </x:c>
      <x:c r="F363" s="20"/>
      <x:c r="G363" s="20"/>
      <x:c r="H363" s="20" t="str">
        <x:v>待判定</x:v>
      </x:c>
      <x:c r="I363" s="20"/>
      <x:c r="J363" s="20" t="str">
        <x:v>未测试</x:v>
      </x:c>
      <x:c r="K363" s="20"/>
      <x:c r="L363" s="20"/>
      <x:c r="M363" s="20"/>
      <x:c r="N363" s="20"/>
      <x:c r="O363" s="31"/>
      <x:c r="P363" s="20"/>
      <x:c r="Q363" s="20"/>
      <x:c r="R363" s="20" t="str">
        <x:v>待展开</x:v>
      </x:c>
      <x:c r="S363" s="20"/>
      <x:c r="T363" s="31"/>
      <x:c r="U363" s="30" t="str">
        <x:f>IF(A363="","缺记录编号",IF(COUNTIFS(PathRecords[记录编号],A363)&lt;&gt;1,"记录编号重复",IF(OR(B363="",E363=""),"缺组合/功能",IF(COUNTIFS(Equipment[组合编号],B363)&lt;&gt;1,"组合编号无效",IF(COUNTIFS(FunctionMatrix[编号],E363)=0,"功能编号无效",IF(H363="不适用",IF(J363="已实测","适用性冲突",IF(I363="","待补不适用依据","不适用（非实测）")),IF(J363="阻塞",IF(I363="","待补阻塞原因","阻塞（非实测）"),IF(J363&lt;&gt;"已实测",IF(F363="","待展开路径","未实测"),IF(H363&lt;&gt;"适用","待确认适用性",IF(INDEX(Equipment[登记状态（自动）],MATCH(B363,Equipment[组合编号],0))&lt;&gt;"已登记","待补设备组合",IF(AND(F363&lt;&gt;"",G363&lt;&gt;"",K363&lt;&gt;"",L363&lt;&gt;"",M363&lt;&gt;"",N363&lt;&gt;"",ISNUMBER(O363),O363&gt;0,P363&lt;&gt;""),"记录齐全","待补实测记录")))))))))))</x:f>
        <x:v>待展开路径</x:v>
      </x:c>
    </x:row>
    <x:row r="364" ht="43.5" customHeight="1">
      <x:c r="A364" s="20" t="str">
        <x:v>REC-00355</x:v>
      </x:c>
      <x:c r="B364" s="20" t="str">
        <x:v>P1-B4-01</x:v>
      </x:c>
      <x:c r="C364" s="30" t="str">
        <x:f>IF(B364="","",IF(COUNTIFS(Equipment[组合编号],B364)&lt;&gt;1,"组合编号无效",INDEX(Equipment[PLC组],MATCH(B364,Equipment[组合编号],0))))</x:f>
        <x:v>汇川小型</x:v>
      </x:c>
      <x:c r="D364" s="30" t="str">
        <x:f>IF(B364="","",IF(COUNTIFS(Equipment[组合编号],B364)&lt;&gt;1,"组合编号无效",INDEX(Equipment[驱动品牌],MATCH(B364,Equipment[组合编号],0))))</x:f>
        <x:v>Elmo</x:v>
      </x:c>
      <x:c r="E364" s="20" t="str">
        <x:v>U10</x:v>
      </x:c>
      <x:c r="F364" s="20"/>
      <x:c r="G364" s="20"/>
      <x:c r="H364" s="20" t="str">
        <x:v>待判定</x:v>
      </x:c>
      <x:c r="I364" s="20"/>
      <x:c r="J364" s="20" t="str">
        <x:v>未测试</x:v>
      </x:c>
      <x:c r="K364" s="20"/>
      <x:c r="L364" s="20"/>
      <x:c r="M364" s="20"/>
      <x:c r="N364" s="20"/>
      <x:c r="O364" s="31"/>
      <x:c r="P364" s="20"/>
      <x:c r="Q364" s="20"/>
      <x:c r="R364" s="20" t="str">
        <x:v>待展开</x:v>
      </x:c>
      <x:c r="S364" s="20"/>
      <x:c r="T364" s="31"/>
      <x:c r="U364" s="30" t="str">
        <x:f>IF(A364="","缺记录编号",IF(COUNTIFS(PathRecords[记录编号],A364)&lt;&gt;1,"记录编号重复",IF(OR(B364="",E364=""),"缺组合/功能",IF(COUNTIFS(Equipment[组合编号],B364)&lt;&gt;1,"组合编号无效",IF(COUNTIFS(FunctionMatrix[编号],E364)=0,"功能编号无效",IF(H364="不适用",IF(J364="已实测","适用性冲突",IF(I364="","待补不适用依据","不适用（非实测）")),IF(J364="阻塞",IF(I364="","待补阻塞原因","阻塞（非实测）"),IF(J364&lt;&gt;"已实测",IF(F364="","待展开路径","未实测"),IF(H364&lt;&gt;"适用","待确认适用性",IF(INDEX(Equipment[登记状态（自动）],MATCH(B364,Equipment[组合编号],0))&lt;&gt;"已登记","待补设备组合",IF(AND(F364&lt;&gt;"",G364&lt;&gt;"",K364&lt;&gt;"",L364&lt;&gt;"",M364&lt;&gt;"",N364&lt;&gt;"",ISNUMBER(O364),O364&gt;0,P364&lt;&gt;""),"记录齐全","待补实测记录")))))))))))</x:f>
        <x:v>待展开路径</x:v>
      </x:c>
    </x:row>
    <x:row r="365" ht="43.5" customHeight="1">
      <x:c r="A365" s="20" t="str">
        <x:v>REC-00356</x:v>
      </x:c>
      <x:c r="B365" s="20" t="str">
        <x:v>P1-B4-01</x:v>
      </x:c>
      <x:c r="C365" s="30" t="str">
        <x:f>IF(B365="","",IF(COUNTIFS(Equipment[组合编号],B365)&lt;&gt;1,"组合编号无效",INDEX(Equipment[PLC组],MATCH(B365,Equipment[组合编号],0))))</x:f>
        <x:v>汇川小型</x:v>
      </x:c>
      <x:c r="D365" s="30" t="str">
        <x:f>IF(B365="","",IF(COUNTIFS(Equipment[组合编号],B365)&lt;&gt;1,"组合编号无效",INDEX(Equipment[驱动品牌],MATCH(B365,Equipment[组合编号],0))))</x:f>
        <x:v>Elmo</x:v>
      </x:c>
      <x:c r="E365" s="20" t="str">
        <x:v>H01</x:v>
      </x:c>
      <x:c r="F365" s="20"/>
      <x:c r="G365" s="20"/>
      <x:c r="H365" s="20" t="str">
        <x:v>待判定</x:v>
      </x:c>
      <x:c r="I365" s="20"/>
      <x:c r="J365" s="20" t="str">
        <x:v>未测试</x:v>
      </x:c>
      <x:c r="K365" s="20"/>
      <x:c r="L365" s="20"/>
      <x:c r="M365" s="20"/>
      <x:c r="N365" s="20"/>
      <x:c r="O365" s="31"/>
      <x:c r="P365" s="20"/>
      <x:c r="Q365" s="20"/>
      <x:c r="R365" s="20" t="str">
        <x:v>待展开</x:v>
      </x:c>
      <x:c r="S365" s="20"/>
      <x:c r="T365" s="31"/>
      <x:c r="U365" s="30" t="str">
        <x:f>IF(A365="","缺记录编号",IF(COUNTIFS(PathRecords[记录编号],A365)&lt;&gt;1,"记录编号重复",IF(OR(B365="",E365=""),"缺组合/功能",IF(COUNTIFS(Equipment[组合编号],B365)&lt;&gt;1,"组合编号无效",IF(COUNTIFS(FunctionMatrix[编号],E365)=0,"功能编号无效",IF(H365="不适用",IF(J365="已实测","适用性冲突",IF(I365="","待补不适用依据","不适用（非实测）")),IF(J365="阻塞",IF(I365="","待补阻塞原因","阻塞（非实测）"),IF(J365&lt;&gt;"已实测",IF(F365="","待展开路径","未实测"),IF(H365&lt;&gt;"适用","待确认适用性",IF(INDEX(Equipment[登记状态（自动）],MATCH(B365,Equipment[组合编号],0))&lt;&gt;"已登记","待补设备组合",IF(AND(F365&lt;&gt;"",G365&lt;&gt;"",K365&lt;&gt;"",L365&lt;&gt;"",M365&lt;&gt;"",N365&lt;&gt;"",ISNUMBER(O365),O365&gt;0,P365&lt;&gt;""),"记录齐全","待补实测记录")))))))))))</x:f>
        <x:v>待展开路径</x:v>
      </x:c>
    </x:row>
    <x:row r="366" ht="43.5" customHeight="1">
      <x:c r="A366" s="20" t="str">
        <x:v>REC-00357</x:v>
      </x:c>
      <x:c r="B366" s="20" t="str">
        <x:v>P1-B4-01</x:v>
      </x:c>
      <x:c r="C366" s="30" t="str">
        <x:f>IF(B366="","",IF(COUNTIFS(Equipment[组合编号],B366)&lt;&gt;1,"组合编号无效",INDEX(Equipment[PLC组],MATCH(B366,Equipment[组合编号],0))))</x:f>
        <x:v>汇川小型</x:v>
      </x:c>
      <x:c r="D366" s="30" t="str">
        <x:f>IF(B366="","",IF(COUNTIFS(Equipment[组合编号],B366)&lt;&gt;1,"组合编号无效",INDEX(Equipment[驱动品牌],MATCH(B366,Equipment[组合编号],0))))</x:f>
        <x:v>Elmo</x:v>
      </x:c>
      <x:c r="E366" s="20" t="str">
        <x:v>H02</x:v>
      </x:c>
      <x:c r="F366" s="20"/>
      <x:c r="G366" s="20"/>
      <x:c r="H366" s="20" t="str">
        <x:v>待判定</x:v>
      </x:c>
      <x:c r="I366" s="20"/>
      <x:c r="J366" s="20" t="str">
        <x:v>未测试</x:v>
      </x:c>
      <x:c r="K366" s="20"/>
      <x:c r="L366" s="20"/>
      <x:c r="M366" s="20"/>
      <x:c r="N366" s="20"/>
      <x:c r="O366" s="31"/>
      <x:c r="P366" s="20"/>
      <x:c r="Q366" s="20"/>
      <x:c r="R366" s="20" t="str">
        <x:v>待展开</x:v>
      </x:c>
      <x:c r="S366" s="20"/>
      <x:c r="T366" s="31"/>
      <x:c r="U366" s="30" t="str">
        <x:f>IF(A366="","缺记录编号",IF(COUNTIFS(PathRecords[记录编号],A366)&lt;&gt;1,"记录编号重复",IF(OR(B366="",E366=""),"缺组合/功能",IF(COUNTIFS(Equipment[组合编号],B366)&lt;&gt;1,"组合编号无效",IF(COUNTIFS(FunctionMatrix[编号],E366)=0,"功能编号无效",IF(H366="不适用",IF(J366="已实测","适用性冲突",IF(I366="","待补不适用依据","不适用（非实测）")),IF(J366="阻塞",IF(I366="","待补阻塞原因","阻塞（非实测）"),IF(J366&lt;&gt;"已实测",IF(F366="","待展开路径","未实测"),IF(H366&lt;&gt;"适用","待确认适用性",IF(INDEX(Equipment[登记状态（自动）],MATCH(B366,Equipment[组合编号],0))&lt;&gt;"已登记","待补设备组合",IF(AND(F366&lt;&gt;"",G366&lt;&gt;"",K366&lt;&gt;"",L366&lt;&gt;"",M366&lt;&gt;"",N366&lt;&gt;"",ISNUMBER(O366),O366&gt;0,P366&lt;&gt;""),"记录齐全","待补实测记录")))))))))))</x:f>
        <x:v>待展开路径</x:v>
      </x:c>
    </x:row>
    <x:row r="367" ht="43.5" customHeight="1">
      <x:c r="A367" s="20" t="str">
        <x:v>REC-00358</x:v>
      </x:c>
      <x:c r="B367" s="20" t="str">
        <x:v>P1-B4-01</x:v>
      </x:c>
      <x:c r="C367" s="30" t="str">
        <x:f>IF(B367="","",IF(COUNTIFS(Equipment[组合编号],B367)&lt;&gt;1,"组合编号无效",INDEX(Equipment[PLC组],MATCH(B367,Equipment[组合编号],0))))</x:f>
        <x:v>汇川小型</x:v>
      </x:c>
      <x:c r="D367" s="30" t="str">
        <x:f>IF(B367="","",IF(COUNTIFS(Equipment[组合编号],B367)&lt;&gt;1,"组合编号无效",INDEX(Equipment[驱动品牌],MATCH(B367,Equipment[组合编号],0))))</x:f>
        <x:v>Elmo</x:v>
      </x:c>
      <x:c r="E367" s="20" t="str">
        <x:v>H03</x:v>
      </x:c>
      <x:c r="F367" s="20"/>
      <x:c r="G367" s="20"/>
      <x:c r="H367" s="20" t="str">
        <x:v>待判定</x:v>
      </x:c>
      <x:c r="I367" s="20"/>
      <x:c r="J367" s="20" t="str">
        <x:v>未测试</x:v>
      </x:c>
      <x:c r="K367" s="20"/>
      <x:c r="L367" s="20"/>
      <x:c r="M367" s="20"/>
      <x:c r="N367" s="20"/>
      <x:c r="O367" s="31"/>
      <x:c r="P367" s="20"/>
      <x:c r="Q367" s="20"/>
      <x:c r="R367" s="20" t="str">
        <x:v>待展开</x:v>
      </x:c>
      <x:c r="S367" s="20"/>
      <x:c r="T367" s="31"/>
      <x:c r="U367" s="30" t="str">
        <x:f>IF(A367="","缺记录编号",IF(COUNTIFS(PathRecords[记录编号],A367)&lt;&gt;1,"记录编号重复",IF(OR(B367="",E367=""),"缺组合/功能",IF(COUNTIFS(Equipment[组合编号],B367)&lt;&gt;1,"组合编号无效",IF(COUNTIFS(FunctionMatrix[编号],E367)=0,"功能编号无效",IF(H367="不适用",IF(J367="已实测","适用性冲突",IF(I367="","待补不适用依据","不适用（非实测）")),IF(J367="阻塞",IF(I367="","待补阻塞原因","阻塞（非实测）"),IF(J367&lt;&gt;"已实测",IF(F367="","待展开路径","未实测"),IF(H367&lt;&gt;"适用","待确认适用性",IF(INDEX(Equipment[登记状态（自动）],MATCH(B367,Equipment[组合编号],0))&lt;&gt;"已登记","待补设备组合",IF(AND(F367&lt;&gt;"",G367&lt;&gt;"",K367&lt;&gt;"",L367&lt;&gt;"",M367&lt;&gt;"",N367&lt;&gt;"",ISNUMBER(O367),O367&gt;0,P367&lt;&gt;""),"记录齐全","待补实测记录")))))))))))</x:f>
        <x:v>待展开路径</x:v>
      </x:c>
    </x:row>
    <x:row r="368" ht="43.5" customHeight="1">
      <x:c r="A368" s="20" t="str">
        <x:v>REC-00359</x:v>
      </x:c>
      <x:c r="B368" s="20" t="str">
        <x:v>P1-B4-01</x:v>
      </x:c>
      <x:c r="C368" s="30" t="str">
        <x:f>IF(B368="","",IF(COUNTIFS(Equipment[组合编号],B368)&lt;&gt;1,"组合编号无效",INDEX(Equipment[PLC组],MATCH(B368,Equipment[组合编号],0))))</x:f>
        <x:v>汇川小型</x:v>
      </x:c>
      <x:c r="D368" s="30" t="str">
        <x:f>IF(B368="","",IF(COUNTIFS(Equipment[组合编号],B368)&lt;&gt;1,"组合编号无效",INDEX(Equipment[驱动品牌],MATCH(B368,Equipment[组合编号],0))))</x:f>
        <x:v>Elmo</x:v>
      </x:c>
      <x:c r="E368" s="20" t="str">
        <x:v>H04</x:v>
      </x:c>
      <x:c r="F368" s="20"/>
      <x:c r="G368" s="20"/>
      <x:c r="H368" s="20" t="str">
        <x:v>待判定</x:v>
      </x:c>
      <x:c r="I368" s="20"/>
      <x:c r="J368" s="20" t="str">
        <x:v>未测试</x:v>
      </x:c>
      <x:c r="K368" s="20"/>
      <x:c r="L368" s="20"/>
      <x:c r="M368" s="20"/>
      <x:c r="N368" s="20"/>
      <x:c r="O368" s="31"/>
      <x:c r="P368" s="20"/>
      <x:c r="Q368" s="20"/>
      <x:c r="R368" s="20" t="str">
        <x:v>待展开</x:v>
      </x:c>
      <x:c r="S368" s="20"/>
      <x:c r="T368" s="31"/>
      <x:c r="U368" s="30" t="str">
        <x:f>IF(A368="","缺记录编号",IF(COUNTIFS(PathRecords[记录编号],A368)&lt;&gt;1,"记录编号重复",IF(OR(B368="",E368=""),"缺组合/功能",IF(COUNTIFS(Equipment[组合编号],B368)&lt;&gt;1,"组合编号无效",IF(COUNTIFS(FunctionMatrix[编号],E368)=0,"功能编号无效",IF(H368="不适用",IF(J368="已实测","适用性冲突",IF(I368="","待补不适用依据","不适用（非实测）")),IF(J368="阻塞",IF(I368="","待补阻塞原因","阻塞（非实测）"),IF(J368&lt;&gt;"已实测",IF(F368="","待展开路径","未实测"),IF(H368&lt;&gt;"适用","待确认适用性",IF(INDEX(Equipment[登记状态（自动）],MATCH(B368,Equipment[组合编号],0))&lt;&gt;"已登记","待补设备组合",IF(AND(F368&lt;&gt;"",G368&lt;&gt;"",K368&lt;&gt;"",L368&lt;&gt;"",M368&lt;&gt;"",N368&lt;&gt;"",ISNUMBER(O368),O368&gt;0,P368&lt;&gt;""),"记录齐全","待补实测记录")))))))))))</x:f>
        <x:v>待展开路径</x:v>
      </x:c>
    </x:row>
    <x:row r="369" ht="43.5" customHeight="1">
      <x:c r="A369" s="20" t="str">
        <x:v>REC-00360</x:v>
      </x:c>
      <x:c r="B369" s="20" t="str">
        <x:v>P1-B4-01</x:v>
      </x:c>
      <x:c r="C369" s="30" t="str">
        <x:f>IF(B369="","",IF(COUNTIFS(Equipment[组合编号],B369)&lt;&gt;1,"组合编号无效",INDEX(Equipment[PLC组],MATCH(B369,Equipment[组合编号],0))))</x:f>
        <x:v>汇川小型</x:v>
      </x:c>
      <x:c r="D369" s="30" t="str">
        <x:f>IF(B369="","",IF(COUNTIFS(Equipment[组合编号],B369)&lt;&gt;1,"组合编号无效",INDEX(Equipment[驱动品牌],MATCH(B369,Equipment[组合编号],0))))</x:f>
        <x:v>Elmo</x:v>
      </x:c>
      <x:c r="E369" s="20" t="str">
        <x:v>H05</x:v>
      </x:c>
      <x:c r="F369" s="20"/>
      <x:c r="G369" s="20"/>
      <x:c r="H369" s="20" t="str">
        <x:v>待判定</x:v>
      </x:c>
      <x:c r="I369" s="20"/>
      <x:c r="J369" s="20" t="str">
        <x:v>未测试</x:v>
      </x:c>
      <x:c r="K369" s="20"/>
      <x:c r="L369" s="20"/>
      <x:c r="M369" s="20"/>
      <x:c r="N369" s="20"/>
      <x:c r="O369" s="31"/>
      <x:c r="P369" s="20"/>
      <x:c r="Q369" s="20"/>
      <x:c r="R369" s="20" t="str">
        <x:v>待展开</x:v>
      </x:c>
      <x:c r="S369" s="20"/>
      <x:c r="T369" s="31"/>
      <x:c r="U369" s="30" t="str">
        <x:f>IF(A369="","缺记录编号",IF(COUNTIFS(PathRecords[记录编号],A369)&lt;&gt;1,"记录编号重复",IF(OR(B369="",E369=""),"缺组合/功能",IF(COUNTIFS(Equipment[组合编号],B369)&lt;&gt;1,"组合编号无效",IF(COUNTIFS(FunctionMatrix[编号],E369)=0,"功能编号无效",IF(H369="不适用",IF(J369="已实测","适用性冲突",IF(I369="","待补不适用依据","不适用（非实测）")),IF(J369="阻塞",IF(I369="","待补阻塞原因","阻塞（非实测）"),IF(J369&lt;&gt;"已实测",IF(F369="","待展开路径","未实测"),IF(H369&lt;&gt;"适用","待确认适用性",IF(INDEX(Equipment[登记状态（自动）],MATCH(B369,Equipment[组合编号],0))&lt;&gt;"已登记","待补设备组合",IF(AND(F369&lt;&gt;"",G369&lt;&gt;"",K369&lt;&gt;"",L369&lt;&gt;"",M369&lt;&gt;"",N369&lt;&gt;"",ISNUMBER(O369),O369&gt;0,P369&lt;&gt;""),"记录齐全","待补实测记录")))))))))))</x:f>
        <x:v>待展开路径</x:v>
      </x:c>
    </x:row>
    <x:row r="370" ht="43.5" customHeight="1">
      <x:c r="A370" s="20" t="str">
        <x:v>REC-00361</x:v>
      </x:c>
      <x:c r="B370" s="20" t="str">
        <x:v>P1-B4-01</x:v>
      </x:c>
      <x:c r="C370" s="30" t="str">
        <x:f>IF(B370="","",IF(COUNTIFS(Equipment[组合编号],B370)&lt;&gt;1,"组合编号无效",INDEX(Equipment[PLC组],MATCH(B370,Equipment[组合编号],0))))</x:f>
        <x:v>汇川小型</x:v>
      </x:c>
      <x:c r="D370" s="30" t="str">
        <x:f>IF(B370="","",IF(COUNTIFS(Equipment[组合编号],B370)&lt;&gt;1,"组合编号无效",INDEX(Equipment[驱动品牌],MATCH(B370,Equipment[组合编号],0))))</x:f>
        <x:v>Elmo</x:v>
      </x:c>
      <x:c r="E370" s="20" t="str">
        <x:v>H06</x:v>
      </x:c>
      <x:c r="F370" s="20"/>
      <x:c r="G370" s="20"/>
      <x:c r="H370" s="20" t="str">
        <x:v>待判定</x:v>
      </x:c>
      <x:c r="I370" s="20"/>
      <x:c r="J370" s="20" t="str">
        <x:v>未测试</x:v>
      </x:c>
      <x:c r="K370" s="20"/>
      <x:c r="L370" s="20"/>
      <x:c r="M370" s="20"/>
      <x:c r="N370" s="20"/>
      <x:c r="O370" s="31"/>
      <x:c r="P370" s="20"/>
      <x:c r="Q370" s="20"/>
      <x:c r="R370" s="20" t="str">
        <x:v>待展开</x:v>
      </x:c>
      <x:c r="S370" s="20"/>
      <x:c r="T370" s="31"/>
      <x:c r="U370" s="30" t="str">
        <x:f>IF(A370="","缺记录编号",IF(COUNTIFS(PathRecords[记录编号],A370)&lt;&gt;1,"记录编号重复",IF(OR(B370="",E370=""),"缺组合/功能",IF(COUNTIFS(Equipment[组合编号],B370)&lt;&gt;1,"组合编号无效",IF(COUNTIFS(FunctionMatrix[编号],E370)=0,"功能编号无效",IF(H370="不适用",IF(J370="已实测","适用性冲突",IF(I370="","待补不适用依据","不适用（非实测）")),IF(J370="阻塞",IF(I370="","待补阻塞原因","阻塞（非实测）"),IF(J370&lt;&gt;"已实测",IF(F370="","待展开路径","未实测"),IF(H370&lt;&gt;"适用","待确认适用性",IF(INDEX(Equipment[登记状态（自动）],MATCH(B370,Equipment[组合编号],0))&lt;&gt;"已登记","待补设备组合",IF(AND(F370&lt;&gt;"",G370&lt;&gt;"",K370&lt;&gt;"",L370&lt;&gt;"",M370&lt;&gt;"",N370&lt;&gt;"",ISNUMBER(O370),O370&gt;0,P370&lt;&gt;""),"记录齐全","待补实测记录")))))))))))</x:f>
        <x:v>待展开路径</x:v>
      </x:c>
    </x:row>
    <x:row r="371" ht="43.5" customHeight="1">
      <x:c r="A371" s="20" t="str">
        <x:v>REC-00362</x:v>
      </x:c>
      <x:c r="B371" s="20" t="str">
        <x:v>P1-B4-01</x:v>
      </x:c>
      <x:c r="C371" s="30" t="str">
        <x:f>IF(B371="","",IF(COUNTIFS(Equipment[组合编号],B371)&lt;&gt;1,"组合编号无效",INDEX(Equipment[PLC组],MATCH(B371,Equipment[组合编号],0))))</x:f>
        <x:v>汇川小型</x:v>
      </x:c>
      <x:c r="D371" s="30" t="str">
        <x:f>IF(B371="","",IF(COUNTIFS(Equipment[组合编号],B371)&lt;&gt;1,"组合编号无效",INDEX(Equipment[驱动品牌],MATCH(B371,Equipment[组合编号],0))))</x:f>
        <x:v>Elmo</x:v>
      </x:c>
      <x:c r="E371" s="20" t="str">
        <x:v>H07</x:v>
      </x:c>
      <x:c r="F371" s="20"/>
      <x:c r="G371" s="20"/>
      <x:c r="H371" s="20" t="str">
        <x:v>待判定</x:v>
      </x:c>
      <x:c r="I371" s="20"/>
      <x:c r="J371" s="20" t="str">
        <x:v>未测试</x:v>
      </x:c>
      <x:c r="K371" s="20"/>
      <x:c r="L371" s="20"/>
      <x:c r="M371" s="20"/>
      <x:c r="N371" s="20"/>
      <x:c r="O371" s="31"/>
      <x:c r="P371" s="20"/>
      <x:c r="Q371" s="20"/>
      <x:c r="R371" s="20" t="str">
        <x:v>待展开</x:v>
      </x:c>
      <x:c r="S371" s="20"/>
      <x:c r="T371" s="31"/>
      <x:c r="U371" s="30" t="str">
        <x:f>IF(A371="","缺记录编号",IF(COUNTIFS(PathRecords[记录编号],A371)&lt;&gt;1,"记录编号重复",IF(OR(B371="",E371=""),"缺组合/功能",IF(COUNTIFS(Equipment[组合编号],B371)&lt;&gt;1,"组合编号无效",IF(COUNTIFS(FunctionMatrix[编号],E371)=0,"功能编号无效",IF(H371="不适用",IF(J371="已实测","适用性冲突",IF(I371="","待补不适用依据","不适用（非实测）")),IF(J371="阻塞",IF(I371="","待补阻塞原因","阻塞（非实测）"),IF(J371&lt;&gt;"已实测",IF(F371="","待展开路径","未实测"),IF(H371&lt;&gt;"适用","待确认适用性",IF(INDEX(Equipment[登记状态（自动）],MATCH(B371,Equipment[组合编号],0))&lt;&gt;"已登记","待补设备组合",IF(AND(F371&lt;&gt;"",G371&lt;&gt;"",K371&lt;&gt;"",L371&lt;&gt;"",M371&lt;&gt;"",N371&lt;&gt;"",ISNUMBER(O371),O371&gt;0,P371&lt;&gt;""),"记录齐全","待补实测记录")))))))))))</x:f>
        <x:v>待展开路径</x:v>
      </x:c>
    </x:row>
    <x:row r="372" ht="43.5" customHeight="1">
      <x:c r="A372" s="20" t="str">
        <x:v>REC-00363</x:v>
      </x:c>
      <x:c r="B372" s="20" t="str">
        <x:v>P1-B4-01</x:v>
      </x:c>
      <x:c r="C372" s="30" t="str">
        <x:f>IF(B372="","",IF(COUNTIFS(Equipment[组合编号],B372)&lt;&gt;1,"组合编号无效",INDEX(Equipment[PLC组],MATCH(B372,Equipment[组合编号],0))))</x:f>
        <x:v>汇川小型</x:v>
      </x:c>
      <x:c r="D372" s="30" t="str">
        <x:f>IF(B372="","",IF(COUNTIFS(Equipment[组合编号],B372)&lt;&gt;1,"组合编号无效",INDEX(Equipment[驱动品牌],MATCH(B372,Equipment[组合编号],0))))</x:f>
        <x:v>Elmo</x:v>
      </x:c>
      <x:c r="E372" s="20" t="str">
        <x:v>H08</x:v>
      </x:c>
      <x:c r="F372" s="20"/>
      <x:c r="G372" s="20"/>
      <x:c r="H372" s="20" t="str">
        <x:v>待判定</x:v>
      </x:c>
      <x:c r="I372" s="20"/>
      <x:c r="J372" s="20" t="str">
        <x:v>未测试</x:v>
      </x:c>
      <x:c r="K372" s="20"/>
      <x:c r="L372" s="20"/>
      <x:c r="M372" s="20"/>
      <x:c r="N372" s="20"/>
      <x:c r="O372" s="31"/>
      <x:c r="P372" s="20"/>
      <x:c r="Q372" s="20"/>
      <x:c r="R372" s="20" t="str">
        <x:v>待展开</x:v>
      </x:c>
      <x:c r="S372" s="20"/>
      <x:c r="T372" s="31"/>
      <x:c r="U372" s="30" t="str">
        <x:f>IF(A372="","缺记录编号",IF(COUNTIFS(PathRecords[记录编号],A372)&lt;&gt;1,"记录编号重复",IF(OR(B372="",E372=""),"缺组合/功能",IF(COUNTIFS(Equipment[组合编号],B372)&lt;&gt;1,"组合编号无效",IF(COUNTIFS(FunctionMatrix[编号],E372)=0,"功能编号无效",IF(H372="不适用",IF(J372="已实测","适用性冲突",IF(I372="","待补不适用依据","不适用（非实测）")),IF(J372="阻塞",IF(I372="","待补阻塞原因","阻塞（非实测）"),IF(J372&lt;&gt;"已实测",IF(F372="","待展开路径","未实测"),IF(H372&lt;&gt;"适用","待确认适用性",IF(INDEX(Equipment[登记状态（自动）],MATCH(B372,Equipment[组合编号],0))&lt;&gt;"已登记","待补设备组合",IF(AND(F372&lt;&gt;"",G372&lt;&gt;"",K372&lt;&gt;"",L372&lt;&gt;"",M372&lt;&gt;"",N372&lt;&gt;"",ISNUMBER(O372),O372&gt;0,P372&lt;&gt;""),"记录齐全","待补实测记录")))))))))))</x:f>
        <x:v>待展开路径</x:v>
      </x:c>
    </x:row>
    <x:row r="373" ht="43.5" customHeight="1">
      <x:c r="A373" s="20" t="str">
        <x:v>REC-00364</x:v>
      </x:c>
      <x:c r="B373" s="20" t="str">
        <x:v>P1-B4-01</x:v>
      </x:c>
      <x:c r="C373" s="30" t="str">
        <x:f>IF(B373="","",IF(COUNTIFS(Equipment[组合编号],B373)&lt;&gt;1,"组合编号无效",INDEX(Equipment[PLC组],MATCH(B373,Equipment[组合编号],0))))</x:f>
        <x:v>汇川小型</x:v>
      </x:c>
      <x:c r="D373" s="30" t="str">
        <x:f>IF(B373="","",IF(COUNTIFS(Equipment[组合编号],B373)&lt;&gt;1,"组合编号无效",INDEX(Equipment[驱动品牌],MATCH(B373,Equipment[组合编号],0))))</x:f>
        <x:v>Elmo</x:v>
      </x:c>
      <x:c r="E373" s="20" t="str">
        <x:v>H09</x:v>
      </x:c>
      <x:c r="F373" s="20"/>
      <x:c r="G373" s="20"/>
      <x:c r="H373" s="20" t="str">
        <x:v>待判定</x:v>
      </x:c>
      <x:c r="I373" s="20"/>
      <x:c r="J373" s="20" t="str">
        <x:v>未测试</x:v>
      </x:c>
      <x:c r="K373" s="20"/>
      <x:c r="L373" s="20"/>
      <x:c r="M373" s="20"/>
      <x:c r="N373" s="20"/>
      <x:c r="O373" s="31"/>
      <x:c r="P373" s="20"/>
      <x:c r="Q373" s="20"/>
      <x:c r="R373" s="20" t="str">
        <x:v>待展开</x:v>
      </x:c>
      <x:c r="S373" s="20"/>
      <x:c r="T373" s="31"/>
      <x:c r="U373" s="30" t="str">
        <x:f>IF(A373="","缺记录编号",IF(COUNTIFS(PathRecords[记录编号],A373)&lt;&gt;1,"记录编号重复",IF(OR(B373="",E373=""),"缺组合/功能",IF(COUNTIFS(Equipment[组合编号],B373)&lt;&gt;1,"组合编号无效",IF(COUNTIFS(FunctionMatrix[编号],E373)=0,"功能编号无效",IF(H373="不适用",IF(J373="已实测","适用性冲突",IF(I373="","待补不适用依据","不适用（非实测）")),IF(J373="阻塞",IF(I373="","待补阻塞原因","阻塞（非实测）"),IF(J373&lt;&gt;"已实测",IF(F373="","待展开路径","未实测"),IF(H373&lt;&gt;"适用","待确认适用性",IF(INDEX(Equipment[登记状态（自动）],MATCH(B373,Equipment[组合编号],0))&lt;&gt;"已登记","待补设备组合",IF(AND(F373&lt;&gt;"",G373&lt;&gt;"",K373&lt;&gt;"",L373&lt;&gt;"",M373&lt;&gt;"",N373&lt;&gt;"",ISNUMBER(O373),O373&gt;0,P373&lt;&gt;""),"记录齐全","待补实测记录")))))))))))</x:f>
        <x:v>待展开路径</x:v>
      </x:c>
    </x:row>
    <x:row r="374" ht="43.5" customHeight="1">
      <x:c r="A374" s="20" t="str">
        <x:v>REC-00365</x:v>
      </x:c>
      <x:c r="B374" s="20" t="str">
        <x:v>P1-B4-01</x:v>
      </x:c>
      <x:c r="C374" s="30" t="str">
        <x:f>IF(B374="","",IF(COUNTIFS(Equipment[组合编号],B374)&lt;&gt;1,"组合编号无效",INDEX(Equipment[PLC组],MATCH(B374,Equipment[组合编号],0))))</x:f>
        <x:v>汇川小型</x:v>
      </x:c>
      <x:c r="D374" s="30" t="str">
        <x:f>IF(B374="","",IF(COUNTIFS(Equipment[组合编号],B374)&lt;&gt;1,"组合编号无效",INDEX(Equipment[驱动品牌],MATCH(B374,Equipment[组合编号],0))))</x:f>
        <x:v>Elmo</x:v>
      </x:c>
      <x:c r="E374" s="20" t="str">
        <x:v>H10</x:v>
      </x:c>
      <x:c r="F374" s="20"/>
      <x:c r="G374" s="20"/>
      <x:c r="H374" s="20" t="str">
        <x:v>待判定</x:v>
      </x:c>
      <x:c r="I374" s="20"/>
      <x:c r="J374" s="20" t="str">
        <x:v>未测试</x:v>
      </x:c>
      <x:c r="K374" s="20"/>
      <x:c r="L374" s="20"/>
      <x:c r="M374" s="20"/>
      <x:c r="N374" s="20"/>
      <x:c r="O374" s="31"/>
      <x:c r="P374" s="20"/>
      <x:c r="Q374" s="20"/>
      <x:c r="R374" s="20" t="str">
        <x:v>待展开</x:v>
      </x:c>
      <x:c r="S374" s="20"/>
      <x:c r="T374" s="31"/>
      <x:c r="U374" s="30" t="str">
        <x:f>IF(A374="","缺记录编号",IF(COUNTIFS(PathRecords[记录编号],A374)&lt;&gt;1,"记录编号重复",IF(OR(B374="",E374=""),"缺组合/功能",IF(COUNTIFS(Equipment[组合编号],B374)&lt;&gt;1,"组合编号无效",IF(COUNTIFS(FunctionMatrix[编号],E374)=0,"功能编号无效",IF(H374="不适用",IF(J374="已实测","适用性冲突",IF(I374="","待补不适用依据","不适用（非实测）")),IF(J374="阻塞",IF(I374="","待补阻塞原因","阻塞（非实测）"),IF(J374&lt;&gt;"已实测",IF(F374="","待展开路径","未实测"),IF(H374&lt;&gt;"适用","待确认适用性",IF(INDEX(Equipment[登记状态（自动）],MATCH(B374,Equipment[组合编号],0))&lt;&gt;"已登记","待补设备组合",IF(AND(F374&lt;&gt;"",G374&lt;&gt;"",K374&lt;&gt;"",L374&lt;&gt;"",M374&lt;&gt;"",N374&lt;&gt;"",ISNUMBER(O374),O374&gt;0,P374&lt;&gt;""),"记录齐全","待补实测记录")))))))))))</x:f>
        <x:v>待展开路径</x:v>
      </x:c>
    </x:row>
    <x:row r="375" ht="43.5" customHeight="1">
      <x:c r="A375" s="20" t="str">
        <x:v>REC-00366</x:v>
      </x:c>
      <x:c r="B375" s="20" t="str">
        <x:v>P1-B4-01</x:v>
      </x:c>
      <x:c r="C375" s="30" t="str">
        <x:f>IF(B375="","",IF(COUNTIFS(Equipment[组合编号],B375)&lt;&gt;1,"组合编号无效",INDEX(Equipment[PLC组],MATCH(B375,Equipment[组合编号],0))))</x:f>
        <x:v>汇川小型</x:v>
      </x:c>
      <x:c r="D375" s="30" t="str">
        <x:f>IF(B375="","",IF(COUNTIFS(Equipment[组合编号],B375)&lt;&gt;1,"组合编号无效",INDEX(Equipment[驱动品牌],MATCH(B375,Equipment[组合编号],0))))</x:f>
        <x:v>Elmo</x:v>
      </x:c>
      <x:c r="E375" s="20" t="str">
        <x:v>H11</x:v>
      </x:c>
      <x:c r="F375" s="20"/>
      <x:c r="G375" s="20"/>
      <x:c r="H375" s="20" t="str">
        <x:v>待判定</x:v>
      </x:c>
      <x:c r="I375" s="20"/>
      <x:c r="J375" s="20" t="str">
        <x:v>未测试</x:v>
      </x:c>
      <x:c r="K375" s="20"/>
      <x:c r="L375" s="20"/>
      <x:c r="M375" s="20"/>
      <x:c r="N375" s="20"/>
      <x:c r="O375" s="31"/>
      <x:c r="P375" s="20"/>
      <x:c r="Q375" s="20"/>
      <x:c r="R375" s="20" t="str">
        <x:v>待展开</x:v>
      </x:c>
      <x:c r="S375" s="20"/>
      <x:c r="T375" s="31"/>
      <x:c r="U375" s="30" t="str">
        <x:f>IF(A375="","缺记录编号",IF(COUNTIFS(PathRecords[记录编号],A375)&lt;&gt;1,"记录编号重复",IF(OR(B375="",E375=""),"缺组合/功能",IF(COUNTIFS(Equipment[组合编号],B375)&lt;&gt;1,"组合编号无效",IF(COUNTIFS(FunctionMatrix[编号],E375)=0,"功能编号无效",IF(H375="不适用",IF(J375="已实测","适用性冲突",IF(I375="","待补不适用依据","不适用（非实测）")),IF(J375="阻塞",IF(I375="","待补阻塞原因","阻塞（非实测）"),IF(J375&lt;&gt;"已实测",IF(F375="","待展开路径","未实测"),IF(H375&lt;&gt;"适用","待确认适用性",IF(INDEX(Equipment[登记状态（自动）],MATCH(B375,Equipment[组合编号],0))&lt;&gt;"已登记","待补设备组合",IF(AND(F375&lt;&gt;"",G375&lt;&gt;"",K375&lt;&gt;"",L375&lt;&gt;"",M375&lt;&gt;"",N375&lt;&gt;"",ISNUMBER(O375),O375&gt;0,P375&lt;&gt;""),"记录齐全","待补实测记录")))))))))))</x:f>
        <x:v>待展开路径</x:v>
      </x:c>
    </x:row>
    <x:row r="376" ht="43.5" customHeight="1">
      <x:c r="A376" s="20" t="str">
        <x:v>REC-00367</x:v>
      </x:c>
      <x:c r="B376" s="20" t="str">
        <x:v>P1-B4-01</x:v>
      </x:c>
      <x:c r="C376" s="30" t="str">
        <x:f>IF(B376="","",IF(COUNTIFS(Equipment[组合编号],B376)&lt;&gt;1,"组合编号无效",INDEX(Equipment[PLC组],MATCH(B376,Equipment[组合编号],0))))</x:f>
        <x:v>汇川小型</x:v>
      </x:c>
      <x:c r="D376" s="30" t="str">
        <x:f>IF(B376="","",IF(COUNTIFS(Equipment[组合编号],B376)&lt;&gt;1,"组合编号无效",INDEX(Equipment[驱动品牌],MATCH(B376,Equipment[组合编号],0))))</x:f>
        <x:v>Elmo</x:v>
      </x:c>
      <x:c r="E376" s="20" t="str">
        <x:v>N01</x:v>
      </x:c>
      <x:c r="F376" s="20"/>
      <x:c r="G376" s="20"/>
      <x:c r="H376" s="20" t="str">
        <x:v>待判定</x:v>
      </x:c>
      <x:c r="I376" s="20"/>
      <x:c r="J376" s="20" t="str">
        <x:v>未测试</x:v>
      </x:c>
      <x:c r="K376" s="20"/>
      <x:c r="L376" s="20"/>
      <x:c r="M376" s="20"/>
      <x:c r="N376" s="20"/>
      <x:c r="O376" s="31"/>
      <x:c r="P376" s="20"/>
      <x:c r="Q376" s="20"/>
      <x:c r="R376" s="20" t="str">
        <x:v>待展开</x:v>
      </x:c>
      <x:c r="S376" s="20"/>
      <x:c r="T376" s="31"/>
      <x:c r="U376" s="30" t="str">
        <x:f>IF(A376="","缺记录编号",IF(COUNTIFS(PathRecords[记录编号],A376)&lt;&gt;1,"记录编号重复",IF(OR(B376="",E376=""),"缺组合/功能",IF(COUNTIFS(Equipment[组合编号],B376)&lt;&gt;1,"组合编号无效",IF(COUNTIFS(FunctionMatrix[编号],E376)=0,"功能编号无效",IF(H376="不适用",IF(J376="已实测","适用性冲突",IF(I376="","待补不适用依据","不适用（非实测）")),IF(J376="阻塞",IF(I376="","待补阻塞原因","阻塞（非实测）"),IF(J376&lt;&gt;"已实测",IF(F376="","待展开路径","未实测"),IF(H376&lt;&gt;"适用","待确认适用性",IF(INDEX(Equipment[登记状态（自动）],MATCH(B376,Equipment[组合编号],0))&lt;&gt;"已登记","待补设备组合",IF(AND(F376&lt;&gt;"",G376&lt;&gt;"",K376&lt;&gt;"",L376&lt;&gt;"",M376&lt;&gt;"",N376&lt;&gt;"",ISNUMBER(O376),O376&gt;0,P376&lt;&gt;""),"记录齐全","待补实测记录")))))))))))</x:f>
        <x:v>待展开路径</x:v>
      </x:c>
    </x:row>
    <x:row r="377" ht="43.5" customHeight="1">
      <x:c r="A377" s="20" t="str">
        <x:v>REC-00368</x:v>
      </x:c>
      <x:c r="B377" s="20" t="str">
        <x:v>P1-B4-01</x:v>
      </x:c>
      <x:c r="C377" s="30" t="str">
        <x:f>IF(B377="","",IF(COUNTIFS(Equipment[组合编号],B377)&lt;&gt;1,"组合编号无效",INDEX(Equipment[PLC组],MATCH(B377,Equipment[组合编号],0))))</x:f>
        <x:v>汇川小型</x:v>
      </x:c>
      <x:c r="D377" s="30" t="str">
        <x:f>IF(B377="","",IF(COUNTIFS(Equipment[组合编号],B377)&lt;&gt;1,"组合编号无效",INDEX(Equipment[驱动品牌],MATCH(B377,Equipment[组合编号],0))))</x:f>
        <x:v>Elmo</x:v>
      </x:c>
      <x:c r="E377" s="20" t="str">
        <x:v>N02</x:v>
      </x:c>
      <x:c r="F377" s="20"/>
      <x:c r="G377" s="20"/>
      <x:c r="H377" s="20" t="str">
        <x:v>待判定</x:v>
      </x:c>
      <x:c r="I377" s="20"/>
      <x:c r="J377" s="20" t="str">
        <x:v>未测试</x:v>
      </x:c>
      <x:c r="K377" s="20"/>
      <x:c r="L377" s="20"/>
      <x:c r="M377" s="20"/>
      <x:c r="N377" s="20"/>
      <x:c r="O377" s="31"/>
      <x:c r="P377" s="20"/>
      <x:c r="Q377" s="20"/>
      <x:c r="R377" s="20" t="str">
        <x:v>待展开</x:v>
      </x:c>
      <x:c r="S377" s="20"/>
      <x:c r="T377" s="31"/>
      <x:c r="U377" s="30" t="str">
        <x:f>IF(A377="","缺记录编号",IF(COUNTIFS(PathRecords[记录编号],A377)&lt;&gt;1,"记录编号重复",IF(OR(B377="",E377=""),"缺组合/功能",IF(COUNTIFS(Equipment[组合编号],B377)&lt;&gt;1,"组合编号无效",IF(COUNTIFS(FunctionMatrix[编号],E377)=0,"功能编号无效",IF(H377="不适用",IF(J377="已实测","适用性冲突",IF(I377="","待补不适用依据","不适用（非实测）")),IF(J377="阻塞",IF(I377="","待补阻塞原因","阻塞（非实测）"),IF(J377&lt;&gt;"已实测",IF(F377="","待展开路径","未实测"),IF(H377&lt;&gt;"适用","待确认适用性",IF(INDEX(Equipment[登记状态（自动）],MATCH(B377,Equipment[组合编号],0))&lt;&gt;"已登记","待补设备组合",IF(AND(F377&lt;&gt;"",G377&lt;&gt;"",K377&lt;&gt;"",L377&lt;&gt;"",M377&lt;&gt;"",N377&lt;&gt;"",ISNUMBER(O377),O377&gt;0,P377&lt;&gt;""),"记录齐全","待补实测记录")))))))))))</x:f>
        <x:v>待展开路径</x:v>
      </x:c>
    </x:row>
    <x:row r="378" ht="43.5" customHeight="1">
      <x:c r="A378" s="20" t="str">
        <x:v>REC-00369</x:v>
      </x:c>
      <x:c r="B378" s="20" t="str">
        <x:v>P1-B4-01</x:v>
      </x:c>
      <x:c r="C378" s="30" t="str">
        <x:f>IF(B378="","",IF(COUNTIFS(Equipment[组合编号],B378)&lt;&gt;1,"组合编号无效",INDEX(Equipment[PLC组],MATCH(B378,Equipment[组合编号],0))))</x:f>
        <x:v>汇川小型</x:v>
      </x:c>
      <x:c r="D378" s="30" t="str">
        <x:f>IF(B378="","",IF(COUNTIFS(Equipment[组合编号],B378)&lt;&gt;1,"组合编号无效",INDEX(Equipment[驱动品牌],MATCH(B378,Equipment[组合编号],0))))</x:f>
        <x:v>Elmo</x:v>
      </x:c>
      <x:c r="E378" s="20" t="str">
        <x:v>N03</x:v>
      </x:c>
      <x:c r="F378" s="20"/>
      <x:c r="G378" s="20"/>
      <x:c r="H378" s="20" t="str">
        <x:v>待判定</x:v>
      </x:c>
      <x:c r="I378" s="20"/>
      <x:c r="J378" s="20" t="str">
        <x:v>未测试</x:v>
      </x:c>
      <x:c r="K378" s="20"/>
      <x:c r="L378" s="20"/>
      <x:c r="M378" s="20"/>
      <x:c r="N378" s="20"/>
      <x:c r="O378" s="31"/>
      <x:c r="P378" s="20"/>
      <x:c r="Q378" s="20"/>
      <x:c r="R378" s="20" t="str">
        <x:v>待展开</x:v>
      </x:c>
      <x:c r="S378" s="20"/>
      <x:c r="T378" s="31"/>
      <x:c r="U378" s="30" t="str">
        <x:f>IF(A378="","缺记录编号",IF(COUNTIFS(PathRecords[记录编号],A378)&lt;&gt;1,"记录编号重复",IF(OR(B378="",E378=""),"缺组合/功能",IF(COUNTIFS(Equipment[组合编号],B378)&lt;&gt;1,"组合编号无效",IF(COUNTIFS(FunctionMatrix[编号],E378)=0,"功能编号无效",IF(H378="不适用",IF(J378="已实测","适用性冲突",IF(I378="","待补不适用依据","不适用（非实测）")),IF(J378="阻塞",IF(I378="","待补阻塞原因","阻塞（非实测）"),IF(J378&lt;&gt;"已实测",IF(F378="","待展开路径","未实测"),IF(H378&lt;&gt;"适用","待确认适用性",IF(INDEX(Equipment[登记状态（自动）],MATCH(B378,Equipment[组合编号],0))&lt;&gt;"已登记","待补设备组合",IF(AND(F378&lt;&gt;"",G378&lt;&gt;"",K378&lt;&gt;"",L378&lt;&gt;"",M378&lt;&gt;"",N378&lt;&gt;"",ISNUMBER(O378),O378&gt;0,P378&lt;&gt;""),"记录齐全","待补实测记录")))))))))))</x:f>
        <x:v>待展开路径</x:v>
      </x:c>
    </x:row>
    <x:row r="379" ht="43.5" customHeight="1">
      <x:c r="A379" s="20" t="str">
        <x:v>REC-00370</x:v>
      </x:c>
      <x:c r="B379" s="20" t="str">
        <x:v>P1-B4-01</x:v>
      </x:c>
      <x:c r="C379" s="30" t="str">
        <x:f>IF(B379="","",IF(COUNTIFS(Equipment[组合编号],B379)&lt;&gt;1,"组合编号无效",INDEX(Equipment[PLC组],MATCH(B379,Equipment[组合编号],0))))</x:f>
        <x:v>汇川小型</x:v>
      </x:c>
      <x:c r="D379" s="30" t="str">
        <x:f>IF(B379="","",IF(COUNTIFS(Equipment[组合编号],B379)&lt;&gt;1,"组合编号无效",INDEX(Equipment[驱动品牌],MATCH(B379,Equipment[组合编号],0))))</x:f>
        <x:v>Elmo</x:v>
      </x:c>
      <x:c r="E379" s="20" t="str">
        <x:v>N04</x:v>
      </x:c>
      <x:c r="F379" s="20"/>
      <x:c r="G379" s="20"/>
      <x:c r="H379" s="20" t="str">
        <x:v>待判定</x:v>
      </x:c>
      <x:c r="I379" s="20"/>
      <x:c r="J379" s="20" t="str">
        <x:v>未测试</x:v>
      </x:c>
      <x:c r="K379" s="20"/>
      <x:c r="L379" s="20"/>
      <x:c r="M379" s="20"/>
      <x:c r="N379" s="20"/>
      <x:c r="O379" s="31"/>
      <x:c r="P379" s="20"/>
      <x:c r="Q379" s="20"/>
      <x:c r="R379" s="20" t="str">
        <x:v>待展开</x:v>
      </x:c>
      <x:c r="S379" s="20"/>
      <x:c r="T379" s="31"/>
      <x:c r="U379" s="30" t="str">
        <x:f>IF(A379="","缺记录编号",IF(COUNTIFS(PathRecords[记录编号],A379)&lt;&gt;1,"记录编号重复",IF(OR(B379="",E379=""),"缺组合/功能",IF(COUNTIFS(Equipment[组合编号],B379)&lt;&gt;1,"组合编号无效",IF(COUNTIFS(FunctionMatrix[编号],E379)=0,"功能编号无效",IF(H379="不适用",IF(J379="已实测","适用性冲突",IF(I379="","待补不适用依据","不适用（非实测）")),IF(J379="阻塞",IF(I379="","待补阻塞原因","阻塞（非实测）"),IF(J379&lt;&gt;"已实测",IF(F379="","待展开路径","未实测"),IF(H379&lt;&gt;"适用","待确认适用性",IF(INDEX(Equipment[登记状态（自动）],MATCH(B379,Equipment[组合编号],0))&lt;&gt;"已登记","待补设备组合",IF(AND(F379&lt;&gt;"",G379&lt;&gt;"",K379&lt;&gt;"",L379&lt;&gt;"",M379&lt;&gt;"",N379&lt;&gt;"",ISNUMBER(O379),O379&gt;0,P379&lt;&gt;""),"记录齐全","待补实测记录")))))))))))</x:f>
        <x:v>待展开路径</x:v>
      </x:c>
    </x:row>
    <x:row r="380" ht="43.5" customHeight="1">
      <x:c r="A380" s="20" t="str">
        <x:v>REC-00371</x:v>
      </x:c>
      <x:c r="B380" s="20" t="str">
        <x:v>P1-B4-01</x:v>
      </x:c>
      <x:c r="C380" s="30" t="str">
        <x:f>IF(B380="","",IF(COUNTIFS(Equipment[组合编号],B380)&lt;&gt;1,"组合编号无效",INDEX(Equipment[PLC组],MATCH(B380,Equipment[组合编号],0))))</x:f>
        <x:v>汇川小型</x:v>
      </x:c>
      <x:c r="D380" s="30" t="str">
        <x:f>IF(B380="","",IF(COUNTIFS(Equipment[组合编号],B380)&lt;&gt;1,"组合编号无效",INDEX(Equipment[驱动品牌],MATCH(B380,Equipment[组合编号],0))))</x:f>
        <x:v>Elmo</x:v>
      </x:c>
      <x:c r="E380" s="20" t="str">
        <x:v>N05</x:v>
      </x:c>
      <x:c r="F380" s="20"/>
      <x:c r="G380" s="20"/>
      <x:c r="H380" s="20" t="str">
        <x:v>待判定</x:v>
      </x:c>
      <x:c r="I380" s="20"/>
      <x:c r="J380" s="20" t="str">
        <x:v>未测试</x:v>
      </x:c>
      <x:c r="K380" s="20"/>
      <x:c r="L380" s="20"/>
      <x:c r="M380" s="20"/>
      <x:c r="N380" s="20"/>
      <x:c r="O380" s="31"/>
      <x:c r="P380" s="20"/>
      <x:c r="Q380" s="20"/>
      <x:c r="R380" s="20" t="str">
        <x:v>待展开</x:v>
      </x:c>
      <x:c r="S380" s="20"/>
      <x:c r="T380" s="31"/>
      <x:c r="U380" s="30" t="str">
        <x:f>IF(A380="","缺记录编号",IF(COUNTIFS(PathRecords[记录编号],A380)&lt;&gt;1,"记录编号重复",IF(OR(B380="",E380=""),"缺组合/功能",IF(COUNTIFS(Equipment[组合编号],B380)&lt;&gt;1,"组合编号无效",IF(COUNTIFS(FunctionMatrix[编号],E380)=0,"功能编号无效",IF(H380="不适用",IF(J380="已实测","适用性冲突",IF(I380="","待补不适用依据","不适用（非实测）")),IF(J380="阻塞",IF(I380="","待补阻塞原因","阻塞（非实测）"),IF(J380&lt;&gt;"已实测",IF(F380="","待展开路径","未实测"),IF(H380&lt;&gt;"适用","待确认适用性",IF(INDEX(Equipment[登记状态（自动）],MATCH(B380,Equipment[组合编号],0))&lt;&gt;"已登记","待补设备组合",IF(AND(F380&lt;&gt;"",G380&lt;&gt;"",K380&lt;&gt;"",L380&lt;&gt;"",M380&lt;&gt;"",N380&lt;&gt;"",ISNUMBER(O380),O380&gt;0,P380&lt;&gt;""),"记录齐全","待补实测记录")))))))))))</x:f>
        <x:v>待展开路径</x:v>
      </x:c>
    </x:row>
    <x:row r="381" ht="43.5" customHeight="1">
      <x:c r="A381" s="20" t="str">
        <x:v>REC-00372</x:v>
      </x:c>
      <x:c r="B381" s="20" t="str">
        <x:v>P1-B4-01</x:v>
      </x:c>
      <x:c r="C381" s="30" t="str">
        <x:f>IF(B381="","",IF(COUNTIFS(Equipment[组合编号],B381)&lt;&gt;1,"组合编号无效",INDEX(Equipment[PLC组],MATCH(B381,Equipment[组合编号],0))))</x:f>
        <x:v>汇川小型</x:v>
      </x:c>
      <x:c r="D381" s="30" t="str">
        <x:f>IF(B381="","",IF(COUNTIFS(Equipment[组合编号],B381)&lt;&gt;1,"组合编号无效",INDEX(Equipment[驱动品牌],MATCH(B381,Equipment[组合编号],0))))</x:f>
        <x:v>Elmo</x:v>
      </x:c>
      <x:c r="E381" s="20" t="str">
        <x:v>N06</x:v>
      </x:c>
      <x:c r="F381" s="20"/>
      <x:c r="G381" s="20"/>
      <x:c r="H381" s="20" t="str">
        <x:v>待判定</x:v>
      </x:c>
      <x:c r="I381" s="20"/>
      <x:c r="J381" s="20" t="str">
        <x:v>未测试</x:v>
      </x:c>
      <x:c r="K381" s="20"/>
      <x:c r="L381" s="20"/>
      <x:c r="M381" s="20"/>
      <x:c r="N381" s="20"/>
      <x:c r="O381" s="31"/>
      <x:c r="P381" s="20"/>
      <x:c r="Q381" s="20"/>
      <x:c r="R381" s="20" t="str">
        <x:v>待展开</x:v>
      </x:c>
      <x:c r="S381" s="20"/>
      <x:c r="T381" s="31"/>
      <x:c r="U381" s="30" t="str">
        <x:f>IF(A381="","缺记录编号",IF(COUNTIFS(PathRecords[记录编号],A381)&lt;&gt;1,"记录编号重复",IF(OR(B381="",E381=""),"缺组合/功能",IF(COUNTIFS(Equipment[组合编号],B381)&lt;&gt;1,"组合编号无效",IF(COUNTIFS(FunctionMatrix[编号],E381)=0,"功能编号无效",IF(H381="不适用",IF(J381="已实测","适用性冲突",IF(I381="","待补不适用依据","不适用（非实测）")),IF(J381="阻塞",IF(I381="","待补阻塞原因","阻塞（非实测）"),IF(J381&lt;&gt;"已实测",IF(F381="","待展开路径","未实测"),IF(H381&lt;&gt;"适用","待确认适用性",IF(INDEX(Equipment[登记状态（自动）],MATCH(B381,Equipment[组合编号],0))&lt;&gt;"已登记","待补设备组合",IF(AND(F381&lt;&gt;"",G381&lt;&gt;"",K381&lt;&gt;"",L381&lt;&gt;"",M381&lt;&gt;"",N381&lt;&gt;"",ISNUMBER(O381),O381&gt;0,P381&lt;&gt;""),"记录齐全","待补实测记录")))))))))))</x:f>
        <x:v>待展开路径</x:v>
      </x:c>
    </x:row>
    <x:row r="382" ht="43.5" customHeight="1">
      <x:c r="A382" s="20" t="str">
        <x:v>REC-00373</x:v>
      </x:c>
      <x:c r="B382" s="20" t="str">
        <x:v>P1-B4-01</x:v>
      </x:c>
      <x:c r="C382" s="30" t="str">
        <x:f>IF(B382="","",IF(COUNTIFS(Equipment[组合编号],B382)&lt;&gt;1,"组合编号无效",INDEX(Equipment[PLC组],MATCH(B382,Equipment[组合编号],0))))</x:f>
        <x:v>汇川小型</x:v>
      </x:c>
      <x:c r="D382" s="30" t="str">
        <x:f>IF(B382="","",IF(COUNTIFS(Equipment[组合编号],B382)&lt;&gt;1,"组合编号无效",INDEX(Equipment[驱动品牌],MATCH(B382,Equipment[组合编号],0))))</x:f>
        <x:v>Elmo</x:v>
      </x:c>
      <x:c r="E382" s="20" t="str">
        <x:v>N07</x:v>
      </x:c>
      <x:c r="F382" s="20"/>
      <x:c r="G382" s="20"/>
      <x:c r="H382" s="20" t="str">
        <x:v>待判定</x:v>
      </x:c>
      <x:c r="I382" s="20"/>
      <x:c r="J382" s="20" t="str">
        <x:v>未测试</x:v>
      </x:c>
      <x:c r="K382" s="20"/>
      <x:c r="L382" s="20"/>
      <x:c r="M382" s="20"/>
      <x:c r="N382" s="20"/>
      <x:c r="O382" s="31"/>
      <x:c r="P382" s="20"/>
      <x:c r="Q382" s="20"/>
      <x:c r="R382" s="20" t="str">
        <x:v>待展开</x:v>
      </x:c>
      <x:c r="S382" s="20"/>
      <x:c r="T382" s="31"/>
      <x:c r="U382" s="30" t="str">
        <x:f>IF(A382="","缺记录编号",IF(COUNTIFS(PathRecords[记录编号],A382)&lt;&gt;1,"记录编号重复",IF(OR(B382="",E382=""),"缺组合/功能",IF(COUNTIFS(Equipment[组合编号],B382)&lt;&gt;1,"组合编号无效",IF(COUNTIFS(FunctionMatrix[编号],E382)=0,"功能编号无效",IF(H382="不适用",IF(J382="已实测","适用性冲突",IF(I382="","待补不适用依据","不适用（非实测）")),IF(J382="阻塞",IF(I382="","待补阻塞原因","阻塞（非实测）"),IF(J382&lt;&gt;"已实测",IF(F382="","待展开路径","未实测"),IF(H382&lt;&gt;"适用","待确认适用性",IF(INDEX(Equipment[登记状态（自动）],MATCH(B382,Equipment[组合编号],0))&lt;&gt;"已登记","待补设备组合",IF(AND(F382&lt;&gt;"",G382&lt;&gt;"",K382&lt;&gt;"",L382&lt;&gt;"",M382&lt;&gt;"",N382&lt;&gt;"",ISNUMBER(O382),O382&gt;0,P382&lt;&gt;""),"记录齐全","待补实测记录")))))))))))</x:f>
        <x:v>待展开路径</x:v>
      </x:c>
    </x:row>
    <x:row r="383" ht="43.5" customHeight="1">
      <x:c r="A383" s="20" t="str">
        <x:v>REC-00374</x:v>
      </x:c>
      <x:c r="B383" s="20" t="str">
        <x:v>P1-B4-01</x:v>
      </x:c>
      <x:c r="C383" s="30" t="str">
        <x:f>IF(B383="","",IF(COUNTIFS(Equipment[组合编号],B383)&lt;&gt;1,"组合编号无效",INDEX(Equipment[PLC组],MATCH(B383,Equipment[组合编号],0))))</x:f>
        <x:v>汇川小型</x:v>
      </x:c>
      <x:c r="D383" s="30" t="str">
        <x:f>IF(B383="","",IF(COUNTIFS(Equipment[组合编号],B383)&lt;&gt;1,"组合编号无效",INDEX(Equipment[驱动品牌],MATCH(B383,Equipment[组合编号],0))))</x:f>
        <x:v>Elmo</x:v>
      </x:c>
      <x:c r="E383" s="20" t="str">
        <x:v>N08</x:v>
      </x:c>
      <x:c r="F383" s="20"/>
      <x:c r="G383" s="20"/>
      <x:c r="H383" s="20" t="str">
        <x:v>待判定</x:v>
      </x:c>
      <x:c r="I383" s="20"/>
      <x:c r="J383" s="20" t="str">
        <x:v>未测试</x:v>
      </x:c>
      <x:c r="K383" s="20"/>
      <x:c r="L383" s="20"/>
      <x:c r="M383" s="20"/>
      <x:c r="N383" s="20"/>
      <x:c r="O383" s="31"/>
      <x:c r="P383" s="20"/>
      <x:c r="Q383" s="20"/>
      <x:c r="R383" s="20" t="str">
        <x:v>待展开</x:v>
      </x:c>
      <x:c r="S383" s="20"/>
      <x:c r="T383" s="31"/>
      <x:c r="U383" s="30" t="str">
        <x:f>IF(A383="","缺记录编号",IF(COUNTIFS(PathRecords[记录编号],A383)&lt;&gt;1,"记录编号重复",IF(OR(B383="",E383=""),"缺组合/功能",IF(COUNTIFS(Equipment[组合编号],B383)&lt;&gt;1,"组合编号无效",IF(COUNTIFS(FunctionMatrix[编号],E383)=0,"功能编号无效",IF(H383="不适用",IF(J383="已实测","适用性冲突",IF(I383="","待补不适用依据","不适用（非实测）")),IF(J383="阻塞",IF(I383="","待补阻塞原因","阻塞（非实测）"),IF(J383&lt;&gt;"已实测",IF(F383="","待展开路径","未实测"),IF(H383&lt;&gt;"适用","待确认适用性",IF(INDEX(Equipment[登记状态（自动）],MATCH(B383,Equipment[组合编号],0))&lt;&gt;"已登记","待补设备组合",IF(AND(F383&lt;&gt;"",G383&lt;&gt;"",K383&lt;&gt;"",L383&lt;&gt;"",M383&lt;&gt;"",N383&lt;&gt;"",ISNUMBER(O383),O383&gt;0,P383&lt;&gt;""),"记录齐全","待补实测记录")))))))))))</x:f>
        <x:v>待展开路径</x:v>
      </x:c>
    </x:row>
    <x:row r="384" ht="43.5" customHeight="1">
      <x:c r="A384" s="20" t="str">
        <x:v>REC-00375</x:v>
      </x:c>
      <x:c r="B384" s="20" t="str">
        <x:v>P1-B4-01</x:v>
      </x:c>
      <x:c r="C384" s="30" t="str">
        <x:f>IF(B384="","",IF(COUNTIFS(Equipment[组合编号],B384)&lt;&gt;1,"组合编号无效",INDEX(Equipment[PLC组],MATCH(B384,Equipment[组合编号],0))))</x:f>
        <x:v>汇川小型</x:v>
      </x:c>
      <x:c r="D384" s="30" t="str">
        <x:f>IF(B384="","",IF(COUNTIFS(Equipment[组合编号],B384)&lt;&gt;1,"组合编号无效",INDEX(Equipment[驱动品牌],MATCH(B384,Equipment[组合编号],0))))</x:f>
        <x:v>Elmo</x:v>
      </x:c>
      <x:c r="E384" s="20" t="str">
        <x:v>N09</x:v>
      </x:c>
      <x:c r="F384" s="20"/>
      <x:c r="G384" s="20"/>
      <x:c r="H384" s="20" t="str">
        <x:v>待判定</x:v>
      </x:c>
      <x:c r="I384" s="20"/>
      <x:c r="J384" s="20" t="str">
        <x:v>未测试</x:v>
      </x:c>
      <x:c r="K384" s="20"/>
      <x:c r="L384" s="20"/>
      <x:c r="M384" s="20"/>
      <x:c r="N384" s="20"/>
      <x:c r="O384" s="31"/>
      <x:c r="P384" s="20"/>
      <x:c r="Q384" s="20"/>
      <x:c r="R384" s="20" t="str">
        <x:v>待展开</x:v>
      </x:c>
      <x:c r="S384" s="20"/>
      <x:c r="T384" s="31"/>
      <x:c r="U384" s="30" t="str">
        <x:f>IF(A384="","缺记录编号",IF(COUNTIFS(PathRecords[记录编号],A384)&lt;&gt;1,"记录编号重复",IF(OR(B384="",E384=""),"缺组合/功能",IF(COUNTIFS(Equipment[组合编号],B384)&lt;&gt;1,"组合编号无效",IF(COUNTIFS(FunctionMatrix[编号],E384)=0,"功能编号无效",IF(H384="不适用",IF(J384="已实测","适用性冲突",IF(I384="","待补不适用依据","不适用（非实测）")),IF(J384="阻塞",IF(I384="","待补阻塞原因","阻塞（非实测）"),IF(J384&lt;&gt;"已实测",IF(F384="","待展开路径","未实测"),IF(H384&lt;&gt;"适用","待确认适用性",IF(INDEX(Equipment[登记状态（自动）],MATCH(B384,Equipment[组合编号],0))&lt;&gt;"已登记","待补设备组合",IF(AND(F384&lt;&gt;"",G384&lt;&gt;"",K384&lt;&gt;"",L384&lt;&gt;"",M384&lt;&gt;"",N384&lt;&gt;"",ISNUMBER(O384),O384&gt;0,P384&lt;&gt;""),"记录齐全","待补实测记录")))))))))))</x:f>
        <x:v>待展开路径</x:v>
      </x:c>
    </x:row>
    <x:row r="385" ht="43.5" customHeight="1">
      <x:c r="A385" s="20" t="str">
        <x:v>REC-00376</x:v>
      </x:c>
      <x:c r="B385" s="20" t="str">
        <x:v>P1-B4-01</x:v>
      </x:c>
      <x:c r="C385" s="30" t="str">
        <x:f>IF(B385="","",IF(COUNTIFS(Equipment[组合编号],B385)&lt;&gt;1,"组合编号无效",INDEX(Equipment[PLC组],MATCH(B385,Equipment[组合编号],0))))</x:f>
        <x:v>汇川小型</x:v>
      </x:c>
      <x:c r="D385" s="30" t="str">
        <x:f>IF(B385="","",IF(COUNTIFS(Equipment[组合编号],B385)&lt;&gt;1,"组合编号无效",INDEX(Equipment[驱动品牌],MATCH(B385,Equipment[组合编号],0))))</x:f>
        <x:v>Elmo</x:v>
      </x:c>
      <x:c r="E385" s="20" t="str">
        <x:v>N10</x:v>
      </x:c>
      <x:c r="F385" s="20"/>
      <x:c r="G385" s="20"/>
      <x:c r="H385" s="20" t="str">
        <x:v>待判定</x:v>
      </x:c>
      <x:c r="I385" s="20"/>
      <x:c r="J385" s="20" t="str">
        <x:v>未测试</x:v>
      </x:c>
      <x:c r="K385" s="20"/>
      <x:c r="L385" s="20"/>
      <x:c r="M385" s="20"/>
      <x:c r="N385" s="20"/>
      <x:c r="O385" s="31"/>
      <x:c r="P385" s="20"/>
      <x:c r="Q385" s="20"/>
      <x:c r="R385" s="20" t="str">
        <x:v>待展开</x:v>
      </x:c>
      <x:c r="S385" s="20"/>
      <x:c r="T385" s="31"/>
      <x:c r="U385" s="30" t="str">
        <x:f>IF(A385="","缺记录编号",IF(COUNTIFS(PathRecords[记录编号],A385)&lt;&gt;1,"记录编号重复",IF(OR(B385="",E385=""),"缺组合/功能",IF(COUNTIFS(Equipment[组合编号],B385)&lt;&gt;1,"组合编号无效",IF(COUNTIFS(FunctionMatrix[编号],E385)=0,"功能编号无效",IF(H385="不适用",IF(J385="已实测","适用性冲突",IF(I385="","待补不适用依据","不适用（非实测）")),IF(J385="阻塞",IF(I385="","待补阻塞原因","阻塞（非实测）"),IF(J385&lt;&gt;"已实测",IF(F385="","待展开路径","未实测"),IF(H385&lt;&gt;"适用","待确认适用性",IF(INDEX(Equipment[登记状态（自动）],MATCH(B385,Equipment[组合编号],0))&lt;&gt;"已登记","待补设备组合",IF(AND(F385&lt;&gt;"",G385&lt;&gt;"",K385&lt;&gt;"",L385&lt;&gt;"",M385&lt;&gt;"",N385&lt;&gt;"",ISNUMBER(O385),O385&gt;0,P385&lt;&gt;""),"记录齐全","待补实测记录")))))))))))</x:f>
        <x:v>待展开路径</x:v>
      </x:c>
    </x:row>
    <x:row r="386" ht="43.5" customHeight="1">
      <x:c r="A386" s="20" t="str">
        <x:v>REC-00377</x:v>
      </x:c>
      <x:c r="B386" s="20" t="str">
        <x:v>P1-B4-01</x:v>
      </x:c>
      <x:c r="C386" s="30" t="str">
        <x:f>IF(B386="","",IF(COUNTIFS(Equipment[组合编号],B386)&lt;&gt;1,"组合编号无效",INDEX(Equipment[PLC组],MATCH(B386,Equipment[组合编号],0))))</x:f>
        <x:v>汇川小型</x:v>
      </x:c>
      <x:c r="D386" s="30" t="str">
        <x:f>IF(B386="","",IF(COUNTIFS(Equipment[组合编号],B386)&lt;&gt;1,"组合编号无效",INDEX(Equipment[驱动品牌],MATCH(B386,Equipment[组合编号],0))))</x:f>
        <x:v>Elmo</x:v>
      </x:c>
      <x:c r="E386" s="20" t="str">
        <x:v>N11</x:v>
      </x:c>
      <x:c r="F386" s="20"/>
      <x:c r="G386" s="20"/>
      <x:c r="H386" s="20" t="str">
        <x:v>待判定</x:v>
      </x:c>
      <x:c r="I386" s="20"/>
      <x:c r="J386" s="20" t="str">
        <x:v>未测试</x:v>
      </x:c>
      <x:c r="K386" s="20"/>
      <x:c r="L386" s="20"/>
      <x:c r="M386" s="20"/>
      <x:c r="N386" s="20"/>
      <x:c r="O386" s="31"/>
      <x:c r="P386" s="20"/>
      <x:c r="Q386" s="20"/>
      <x:c r="R386" s="20" t="str">
        <x:v>待展开</x:v>
      </x:c>
      <x:c r="S386" s="20"/>
      <x:c r="T386" s="31"/>
      <x:c r="U386" s="30" t="str">
        <x:f>IF(A386="","缺记录编号",IF(COUNTIFS(PathRecords[记录编号],A386)&lt;&gt;1,"记录编号重复",IF(OR(B386="",E386=""),"缺组合/功能",IF(COUNTIFS(Equipment[组合编号],B386)&lt;&gt;1,"组合编号无效",IF(COUNTIFS(FunctionMatrix[编号],E386)=0,"功能编号无效",IF(H386="不适用",IF(J386="已实测","适用性冲突",IF(I386="","待补不适用依据","不适用（非实测）")),IF(J386="阻塞",IF(I386="","待补阻塞原因","阻塞（非实测）"),IF(J386&lt;&gt;"已实测",IF(F386="","待展开路径","未实测"),IF(H386&lt;&gt;"适用","待确认适用性",IF(INDEX(Equipment[登记状态（自动）],MATCH(B386,Equipment[组合编号],0))&lt;&gt;"已登记","待补设备组合",IF(AND(F386&lt;&gt;"",G386&lt;&gt;"",K386&lt;&gt;"",L386&lt;&gt;"",M386&lt;&gt;"",N386&lt;&gt;"",ISNUMBER(O386),O386&gt;0,P386&lt;&gt;""),"记录齐全","待补实测记录")))))))))))</x:f>
        <x:v>待展开路径</x:v>
      </x:c>
    </x:row>
    <x:row r="387" ht="43.5" customHeight="1">
      <x:c r="A387" s="20" t="str">
        <x:v>REC-00378</x:v>
      </x:c>
      <x:c r="B387" s="20" t="str">
        <x:v>P1-B4-01</x:v>
      </x:c>
      <x:c r="C387" s="30" t="str">
        <x:f>IF(B387="","",IF(COUNTIFS(Equipment[组合编号],B387)&lt;&gt;1,"组合编号无效",INDEX(Equipment[PLC组],MATCH(B387,Equipment[组合编号],0))))</x:f>
        <x:v>汇川小型</x:v>
      </x:c>
      <x:c r="D387" s="30" t="str">
        <x:f>IF(B387="","",IF(COUNTIFS(Equipment[组合编号],B387)&lt;&gt;1,"组合编号无效",INDEX(Equipment[驱动品牌],MATCH(B387,Equipment[组合编号],0))))</x:f>
        <x:v>Elmo</x:v>
      </x:c>
      <x:c r="E387" s="20" t="str">
        <x:v>N12</x:v>
      </x:c>
      <x:c r="F387" s="20"/>
      <x:c r="G387" s="20"/>
      <x:c r="H387" s="20" t="str">
        <x:v>待判定</x:v>
      </x:c>
      <x:c r="I387" s="20"/>
      <x:c r="J387" s="20" t="str">
        <x:v>未测试</x:v>
      </x:c>
      <x:c r="K387" s="20"/>
      <x:c r="L387" s="20"/>
      <x:c r="M387" s="20"/>
      <x:c r="N387" s="20"/>
      <x:c r="O387" s="31"/>
      <x:c r="P387" s="20"/>
      <x:c r="Q387" s="20"/>
      <x:c r="R387" s="20" t="str">
        <x:v>待展开</x:v>
      </x:c>
      <x:c r="S387" s="20"/>
      <x:c r="T387" s="31"/>
      <x:c r="U387" s="30" t="str">
        <x:f>IF(A387="","缺记录编号",IF(COUNTIFS(PathRecords[记录编号],A387)&lt;&gt;1,"记录编号重复",IF(OR(B387="",E387=""),"缺组合/功能",IF(COUNTIFS(Equipment[组合编号],B387)&lt;&gt;1,"组合编号无效",IF(COUNTIFS(FunctionMatrix[编号],E387)=0,"功能编号无效",IF(H387="不适用",IF(J387="已实测","适用性冲突",IF(I387="","待补不适用依据","不适用（非实测）")),IF(J387="阻塞",IF(I387="","待补阻塞原因","阻塞（非实测）"),IF(J387&lt;&gt;"已实测",IF(F387="","待展开路径","未实测"),IF(H387&lt;&gt;"适用","待确认适用性",IF(INDEX(Equipment[登记状态（自动）],MATCH(B387,Equipment[组合编号],0))&lt;&gt;"已登记","待补设备组合",IF(AND(F387&lt;&gt;"",G387&lt;&gt;"",K387&lt;&gt;"",L387&lt;&gt;"",M387&lt;&gt;"",N387&lt;&gt;"",ISNUMBER(O387),O387&gt;0,P387&lt;&gt;""),"记录齐全","待补实测记录")))))))))))</x:f>
        <x:v>待展开路径</x:v>
      </x:c>
    </x:row>
    <x:row r="388" ht="43.5" customHeight="1">
      <x:c r="A388" s="20" t="str">
        <x:v>REC-00379</x:v>
      </x:c>
      <x:c r="B388" s="20" t="str">
        <x:v>P1-B4-01</x:v>
      </x:c>
      <x:c r="C388" s="30" t="str">
        <x:f>IF(B388="","",IF(COUNTIFS(Equipment[组合编号],B388)&lt;&gt;1,"组合编号无效",INDEX(Equipment[PLC组],MATCH(B388,Equipment[组合编号],0))))</x:f>
        <x:v>汇川小型</x:v>
      </x:c>
      <x:c r="D388" s="30" t="str">
        <x:f>IF(B388="","",IF(COUNTIFS(Equipment[组合编号],B388)&lt;&gt;1,"组合编号无效",INDEX(Equipment[驱动品牌],MATCH(B388,Equipment[组合编号],0))))</x:f>
        <x:v>Elmo</x:v>
      </x:c>
      <x:c r="E388" s="20" t="str">
        <x:v>P01</x:v>
      </x:c>
      <x:c r="F388" s="20"/>
      <x:c r="G388" s="20"/>
      <x:c r="H388" s="20" t="str">
        <x:v>待判定</x:v>
      </x:c>
      <x:c r="I388" s="20"/>
      <x:c r="J388" s="20" t="str">
        <x:v>未测试</x:v>
      </x:c>
      <x:c r="K388" s="20"/>
      <x:c r="L388" s="20"/>
      <x:c r="M388" s="20"/>
      <x:c r="N388" s="20"/>
      <x:c r="O388" s="31"/>
      <x:c r="P388" s="20"/>
      <x:c r="Q388" s="20"/>
      <x:c r="R388" s="20" t="str">
        <x:v>待展开</x:v>
      </x:c>
      <x:c r="S388" s="20"/>
      <x:c r="T388" s="31"/>
      <x:c r="U388" s="30" t="str">
        <x:f>IF(A388="","缺记录编号",IF(COUNTIFS(PathRecords[记录编号],A388)&lt;&gt;1,"记录编号重复",IF(OR(B388="",E388=""),"缺组合/功能",IF(COUNTIFS(Equipment[组合编号],B388)&lt;&gt;1,"组合编号无效",IF(COUNTIFS(FunctionMatrix[编号],E388)=0,"功能编号无效",IF(H388="不适用",IF(J388="已实测","适用性冲突",IF(I388="","待补不适用依据","不适用（非实测）")),IF(J388="阻塞",IF(I388="","待补阻塞原因","阻塞（非实测）"),IF(J388&lt;&gt;"已实测",IF(F388="","待展开路径","未实测"),IF(H388&lt;&gt;"适用","待确认适用性",IF(INDEX(Equipment[登记状态（自动）],MATCH(B388,Equipment[组合编号],0))&lt;&gt;"已登记","待补设备组合",IF(AND(F388&lt;&gt;"",G388&lt;&gt;"",K388&lt;&gt;"",L388&lt;&gt;"",M388&lt;&gt;"",N388&lt;&gt;"",ISNUMBER(O388),O388&gt;0,P388&lt;&gt;""),"记录齐全","待补实测记录")))))))))))</x:f>
        <x:v>待展开路径</x:v>
      </x:c>
    </x:row>
    <x:row r="389" ht="43.5" customHeight="1">
      <x:c r="A389" s="20" t="str">
        <x:v>REC-00380</x:v>
      </x:c>
      <x:c r="B389" s="20" t="str">
        <x:v>P1-B4-01</x:v>
      </x:c>
      <x:c r="C389" s="30" t="str">
        <x:f>IF(B389="","",IF(COUNTIFS(Equipment[组合编号],B389)&lt;&gt;1,"组合编号无效",INDEX(Equipment[PLC组],MATCH(B389,Equipment[组合编号],0))))</x:f>
        <x:v>汇川小型</x:v>
      </x:c>
      <x:c r="D389" s="30" t="str">
        <x:f>IF(B389="","",IF(COUNTIFS(Equipment[组合编号],B389)&lt;&gt;1,"组合编号无效",INDEX(Equipment[驱动品牌],MATCH(B389,Equipment[组合编号],0))))</x:f>
        <x:v>Elmo</x:v>
      </x:c>
      <x:c r="E389" s="20" t="str">
        <x:v>P02</x:v>
      </x:c>
      <x:c r="F389" s="20"/>
      <x:c r="G389" s="20"/>
      <x:c r="H389" s="20" t="str">
        <x:v>待判定</x:v>
      </x:c>
      <x:c r="I389" s="20"/>
      <x:c r="J389" s="20" t="str">
        <x:v>未测试</x:v>
      </x:c>
      <x:c r="K389" s="20"/>
      <x:c r="L389" s="20"/>
      <x:c r="M389" s="20"/>
      <x:c r="N389" s="20"/>
      <x:c r="O389" s="31"/>
      <x:c r="P389" s="20"/>
      <x:c r="Q389" s="20"/>
      <x:c r="R389" s="20" t="str">
        <x:v>待展开</x:v>
      </x:c>
      <x:c r="S389" s="20"/>
      <x:c r="T389" s="31"/>
      <x:c r="U389" s="30" t="str">
        <x:f>IF(A389="","缺记录编号",IF(COUNTIFS(PathRecords[记录编号],A389)&lt;&gt;1,"记录编号重复",IF(OR(B389="",E389=""),"缺组合/功能",IF(COUNTIFS(Equipment[组合编号],B389)&lt;&gt;1,"组合编号无效",IF(COUNTIFS(FunctionMatrix[编号],E389)=0,"功能编号无效",IF(H389="不适用",IF(J389="已实测","适用性冲突",IF(I389="","待补不适用依据","不适用（非实测）")),IF(J389="阻塞",IF(I389="","待补阻塞原因","阻塞（非实测）"),IF(J389&lt;&gt;"已实测",IF(F389="","待展开路径","未实测"),IF(H389&lt;&gt;"适用","待确认适用性",IF(INDEX(Equipment[登记状态（自动）],MATCH(B389,Equipment[组合编号],0))&lt;&gt;"已登记","待补设备组合",IF(AND(F389&lt;&gt;"",G389&lt;&gt;"",K389&lt;&gt;"",L389&lt;&gt;"",M389&lt;&gt;"",N389&lt;&gt;"",ISNUMBER(O389),O389&gt;0,P389&lt;&gt;""),"记录齐全","待补实测记录")))))))))))</x:f>
        <x:v>待展开路径</x:v>
      </x:c>
    </x:row>
    <x:row r="390" ht="43.5" customHeight="1">
      <x:c r="A390" s="20" t="str">
        <x:v>REC-00381</x:v>
      </x:c>
      <x:c r="B390" s="20" t="str">
        <x:v>P1-B4-01</x:v>
      </x:c>
      <x:c r="C390" s="30" t="str">
        <x:f>IF(B390="","",IF(COUNTIFS(Equipment[组合编号],B390)&lt;&gt;1,"组合编号无效",INDEX(Equipment[PLC组],MATCH(B390,Equipment[组合编号],0))))</x:f>
        <x:v>汇川小型</x:v>
      </x:c>
      <x:c r="D390" s="30" t="str">
        <x:f>IF(B390="","",IF(COUNTIFS(Equipment[组合编号],B390)&lt;&gt;1,"组合编号无效",INDEX(Equipment[驱动品牌],MATCH(B390,Equipment[组合编号],0))))</x:f>
        <x:v>Elmo</x:v>
      </x:c>
      <x:c r="E390" s="20" t="str">
        <x:v>P03</x:v>
      </x:c>
      <x:c r="F390" s="20"/>
      <x:c r="G390" s="20"/>
      <x:c r="H390" s="20" t="str">
        <x:v>待判定</x:v>
      </x:c>
      <x:c r="I390" s="20"/>
      <x:c r="J390" s="20" t="str">
        <x:v>未测试</x:v>
      </x:c>
      <x:c r="K390" s="20"/>
      <x:c r="L390" s="20"/>
      <x:c r="M390" s="20"/>
      <x:c r="N390" s="20"/>
      <x:c r="O390" s="31"/>
      <x:c r="P390" s="20"/>
      <x:c r="Q390" s="20"/>
      <x:c r="R390" s="20" t="str">
        <x:v>待展开</x:v>
      </x:c>
      <x:c r="S390" s="20"/>
      <x:c r="T390" s="31"/>
      <x:c r="U390" s="30" t="str">
        <x:f>IF(A390="","缺记录编号",IF(COUNTIFS(PathRecords[记录编号],A390)&lt;&gt;1,"记录编号重复",IF(OR(B390="",E390=""),"缺组合/功能",IF(COUNTIFS(Equipment[组合编号],B390)&lt;&gt;1,"组合编号无效",IF(COUNTIFS(FunctionMatrix[编号],E390)=0,"功能编号无效",IF(H390="不适用",IF(J390="已实测","适用性冲突",IF(I390="","待补不适用依据","不适用（非实测）")),IF(J390="阻塞",IF(I390="","待补阻塞原因","阻塞（非实测）"),IF(J390&lt;&gt;"已实测",IF(F390="","待展开路径","未实测"),IF(H390&lt;&gt;"适用","待确认适用性",IF(INDEX(Equipment[登记状态（自动）],MATCH(B390,Equipment[组合编号],0))&lt;&gt;"已登记","待补设备组合",IF(AND(F390&lt;&gt;"",G390&lt;&gt;"",K390&lt;&gt;"",L390&lt;&gt;"",M390&lt;&gt;"",N390&lt;&gt;"",ISNUMBER(O390),O390&gt;0,P390&lt;&gt;""),"记录齐全","待补实测记录")))))))))))</x:f>
        <x:v>待展开路径</x:v>
      </x:c>
    </x:row>
    <x:row r="391" ht="43.5" customHeight="1">
      <x:c r="A391" s="20" t="str">
        <x:v>REC-00382</x:v>
      </x:c>
      <x:c r="B391" s="20" t="str">
        <x:v>P1-B4-01</x:v>
      </x:c>
      <x:c r="C391" s="30" t="str">
        <x:f>IF(B391="","",IF(COUNTIFS(Equipment[组合编号],B391)&lt;&gt;1,"组合编号无效",INDEX(Equipment[PLC组],MATCH(B391,Equipment[组合编号],0))))</x:f>
        <x:v>汇川小型</x:v>
      </x:c>
      <x:c r="D391" s="30" t="str">
        <x:f>IF(B391="","",IF(COUNTIFS(Equipment[组合编号],B391)&lt;&gt;1,"组合编号无效",INDEX(Equipment[驱动品牌],MATCH(B391,Equipment[组合编号],0))))</x:f>
        <x:v>Elmo</x:v>
      </x:c>
      <x:c r="E391" s="20" t="str">
        <x:v>P04</x:v>
      </x:c>
      <x:c r="F391" s="20"/>
      <x:c r="G391" s="20"/>
      <x:c r="H391" s="20" t="str">
        <x:v>待判定</x:v>
      </x:c>
      <x:c r="I391" s="20"/>
      <x:c r="J391" s="20" t="str">
        <x:v>未测试</x:v>
      </x:c>
      <x:c r="K391" s="20"/>
      <x:c r="L391" s="20"/>
      <x:c r="M391" s="20"/>
      <x:c r="N391" s="20"/>
      <x:c r="O391" s="31"/>
      <x:c r="P391" s="20"/>
      <x:c r="Q391" s="20"/>
      <x:c r="R391" s="20" t="str">
        <x:v>待展开</x:v>
      </x:c>
      <x:c r="S391" s="20"/>
      <x:c r="T391" s="31"/>
      <x:c r="U391" s="30" t="str">
        <x:f>IF(A391="","缺记录编号",IF(COUNTIFS(PathRecords[记录编号],A391)&lt;&gt;1,"记录编号重复",IF(OR(B391="",E391=""),"缺组合/功能",IF(COUNTIFS(Equipment[组合编号],B391)&lt;&gt;1,"组合编号无效",IF(COUNTIFS(FunctionMatrix[编号],E391)=0,"功能编号无效",IF(H391="不适用",IF(J391="已实测","适用性冲突",IF(I391="","待补不适用依据","不适用（非实测）")),IF(J391="阻塞",IF(I391="","待补阻塞原因","阻塞（非实测）"),IF(J391&lt;&gt;"已实测",IF(F391="","待展开路径","未实测"),IF(H391&lt;&gt;"适用","待确认适用性",IF(INDEX(Equipment[登记状态（自动）],MATCH(B391,Equipment[组合编号],0))&lt;&gt;"已登记","待补设备组合",IF(AND(F391&lt;&gt;"",G391&lt;&gt;"",K391&lt;&gt;"",L391&lt;&gt;"",M391&lt;&gt;"",N391&lt;&gt;"",ISNUMBER(O391),O391&gt;0,P391&lt;&gt;""),"记录齐全","待补实测记录")))))))))))</x:f>
        <x:v>待展开路径</x:v>
      </x:c>
    </x:row>
    <x:row r="392" ht="43.5" customHeight="1">
      <x:c r="A392" s="20" t="str">
        <x:v>REC-00383</x:v>
      </x:c>
      <x:c r="B392" s="20" t="str">
        <x:v>P1-B4-01</x:v>
      </x:c>
      <x:c r="C392" s="30" t="str">
        <x:f>IF(B392="","",IF(COUNTIFS(Equipment[组合编号],B392)&lt;&gt;1,"组合编号无效",INDEX(Equipment[PLC组],MATCH(B392,Equipment[组合编号],0))))</x:f>
        <x:v>汇川小型</x:v>
      </x:c>
      <x:c r="D392" s="30" t="str">
        <x:f>IF(B392="","",IF(COUNTIFS(Equipment[组合编号],B392)&lt;&gt;1,"组合编号无效",INDEX(Equipment[驱动品牌],MATCH(B392,Equipment[组合编号],0))))</x:f>
        <x:v>Elmo</x:v>
      </x:c>
      <x:c r="E392" s="20" t="str">
        <x:v>P05</x:v>
      </x:c>
      <x:c r="F392" s="20"/>
      <x:c r="G392" s="20"/>
      <x:c r="H392" s="20" t="str">
        <x:v>待判定</x:v>
      </x:c>
      <x:c r="I392" s="20"/>
      <x:c r="J392" s="20" t="str">
        <x:v>未测试</x:v>
      </x:c>
      <x:c r="K392" s="20"/>
      <x:c r="L392" s="20"/>
      <x:c r="M392" s="20"/>
      <x:c r="N392" s="20"/>
      <x:c r="O392" s="31"/>
      <x:c r="P392" s="20"/>
      <x:c r="Q392" s="20"/>
      <x:c r="R392" s="20" t="str">
        <x:v>待展开</x:v>
      </x:c>
      <x:c r="S392" s="20"/>
      <x:c r="T392" s="31"/>
      <x:c r="U392" s="30" t="str">
        <x:f>IF(A392="","缺记录编号",IF(COUNTIFS(PathRecords[记录编号],A392)&lt;&gt;1,"记录编号重复",IF(OR(B392="",E392=""),"缺组合/功能",IF(COUNTIFS(Equipment[组合编号],B392)&lt;&gt;1,"组合编号无效",IF(COUNTIFS(FunctionMatrix[编号],E392)=0,"功能编号无效",IF(H392="不适用",IF(J392="已实测","适用性冲突",IF(I392="","待补不适用依据","不适用（非实测）")),IF(J392="阻塞",IF(I392="","待补阻塞原因","阻塞（非实测）"),IF(J392&lt;&gt;"已实测",IF(F392="","待展开路径","未实测"),IF(H392&lt;&gt;"适用","待确认适用性",IF(INDEX(Equipment[登记状态（自动）],MATCH(B392,Equipment[组合编号],0))&lt;&gt;"已登记","待补设备组合",IF(AND(F392&lt;&gt;"",G392&lt;&gt;"",K392&lt;&gt;"",L392&lt;&gt;"",M392&lt;&gt;"",N392&lt;&gt;"",ISNUMBER(O392),O392&gt;0,P392&lt;&gt;""),"记录齐全","待补实测记录")))))))))))</x:f>
        <x:v>待展开路径</x:v>
      </x:c>
    </x:row>
    <x:row r="393" ht="43.5" customHeight="1">
      <x:c r="A393" s="20" t="str">
        <x:v>REC-00384</x:v>
      </x:c>
      <x:c r="B393" s="20" t="str">
        <x:v>P1-B4-01</x:v>
      </x:c>
      <x:c r="C393" s="30" t="str">
        <x:f>IF(B393="","",IF(COUNTIFS(Equipment[组合编号],B393)&lt;&gt;1,"组合编号无效",INDEX(Equipment[PLC组],MATCH(B393,Equipment[组合编号],0))))</x:f>
        <x:v>汇川小型</x:v>
      </x:c>
      <x:c r="D393" s="30" t="str">
        <x:f>IF(B393="","",IF(COUNTIFS(Equipment[组合编号],B393)&lt;&gt;1,"组合编号无效",INDEX(Equipment[驱动品牌],MATCH(B393,Equipment[组合编号],0))))</x:f>
        <x:v>Elmo</x:v>
      </x:c>
      <x:c r="E393" s="20" t="str">
        <x:v>P06</x:v>
      </x:c>
      <x:c r="F393" s="20"/>
      <x:c r="G393" s="20"/>
      <x:c r="H393" s="20" t="str">
        <x:v>待判定</x:v>
      </x:c>
      <x:c r="I393" s="20"/>
      <x:c r="J393" s="20" t="str">
        <x:v>未测试</x:v>
      </x:c>
      <x:c r="K393" s="20"/>
      <x:c r="L393" s="20"/>
      <x:c r="M393" s="20"/>
      <x:c r="N393" s="20"/>
      <x:c r="O393" s="31"/>
      <x:c r="P393" s="20"/>
      <x:c r="Q393" s="20"/>
      <x:c r="R393" s="20" t="str">
        <x:v>待展开</x:v>
      </x:c>
      <x:c r="S393" s="20"/>
      <x:c r="T393" s="31"/>
      <x:c r="U393" s="30" t="str">
        <x:f>IF(A393="","缺记录编号",IF(COUNTIFS(PathRecords[记录编号],A393)&lt;&gt;1,"记录编号重复",IF(OR(B393="",E393=""),"缺组合/功能",IF(COUNTIFS(Equipment[组合编号],B393)&lt;&gt;1,"组合编号无效",IF(COUNTIFS(FunctionMatrix[编号],E393)=0,"功能编号无效",IF(H393="不适用",IF(J393="已实测","适用性冲突",IF(I393="","待补不适用依据","不适用（非实测）")),IF(J393="阻塞",IF(I393="","待补阻塞原因","阻塞（非实测）"),IF(J393&lt;&gt;"已实测",IF(F393="","待展开路径","未实测"),IF(H393&lt;&gt;"适用","待确认适用性",IF(INDEX(Equipment[登记状态（自动）],MATCH(B393,Equipment[组合编号],0))&lt;&gt;"已登记","待补设备组合",IF(AND(F393&lt;&gt;"",G393&lt;&gt;"",K393&lt;&gt;"",L393&lt;&gt;"",M393&lt;&gt;"",N393&lt;&gt;"",ISNUMBER(O393),O393&gt;0,P393&lt;&gt;""),"记录齐全","待补实测记录")))))))))))</x:f>
        <x:v>待展开路径</x:v>
      </x:c>
    </x:row>
    <x:row r="394" ht="43.5" customHeight="1">
      <x:c r="A394" s="20" t="str">
        <x:v>REC-00385</x:v>
      </x:c>
      <x:c r="B394" s="20" t="str">
        <x:v>P1-B4-01</x:v>
      </x:c>
      <x:c r="C394" s="30" t="str">
        <x:f>IF(B394="","",IF(COUNTIFS(Equipment[组合编号],B394)&lt;&gt;1,"组合编号无效",INDEX(Equipment[PLC组],MATCH(B394,Equipment[组合编号],0))))</x:f>
        <x:v>汇川小型</x:v>
      </x:c>
      <x:c r="D394" s="30" t="str">
        <x:f>IF(B394="","",IF(COUNTIFS(Equipment[组合编号],B394)&lt;&gt;1,"组合编号无效",INDEX(Equipment[驱动品牌],MATCH(B394,Equipment[组合编号],0))))</x:f>
        <x:v>Elmo</x:v>
      </x:c>
      <x:c r="E394" s="20" t="str">
        <x:v>P07</x:v>
      </x:c>
      <x:c r="F394" s="20"/>
      <x:c r="G394" s="20"/>
      <x:c r="H394" s="20" t="str">
        <x:v>待判定</x:v>
      </x:c>
      <x:c r="I394" s="20"/>
      <x:c r="J394" s="20" t="str">
        <x:v>未测试</x:v>
      </x:c>
      <x:c r="K394" s="20"/>
      <x:c r="L394" s="20"/>
      <x:c r="M394" s="20"/>
      <x:c r="N394" s="20"/>
      <x:c r="O394" s="31"/>
      <x:c r="P394" s="20"/>
      <x:c r="Q394" s="20"/>
      <x:c r="R394" s="20" t="str">
        <x:v>待展开</x:v>
      </x:c>
      <x:c r="S394" s="20"/>
      <x:c r="T394" s="31"/>
      <x:c r="U394" s="30" t="str">
        <x:f>IF(A394="","缺记录编号",IF(COUNTIFS(PathRecords[记录编号],A394)&lt;&gt;1,"记录编号重复",IF(OR(B394="",E394=""),"缺组合/功能",IF(COUNTIFS(Equipment[组合编号],B394)&lt;&gt;1,"组合编号无效",IF(COUNTIFS(FunctionMatrix[编号],E394)=0,"功能编号无效",IF(H394="不适用",IF(J394="已实测","适用性冲突",IF(I394="","待补不适用依据","不适用（非实测）")),IF(J394="阻塞",IF(I394="","待补阻塞原因","阻塞（非实测）"),IF(J394&lt;&gt;"已实测",IF(F394="","待展开路径","未实测"),IF(H394&lt;&gt;"适用","待确认适用性",IF(INDEX(Equipment[登记状态（自动）],MATCH(B394,Equipment[组合编号],0))&lt;&gt;"已登记","待补设备组合",IF(AND(F394&lt;&gt;"",G394&lt;&gt;"",K394&lt;&gt;"",L394&lt;&gt;"",M394&lt;&gt;"",N394&lt;&gt;"",ISNUMBER(O394),O394&gt;0,P394&lt;&gt;""),"记录齐全","待补实测记录")))))))))))</x:f>
        <x:v>待展开路径</x:v>
      </x:c>
    </x:row>
    <x:row r="395" ht="43.5" customHeight="1">
      <x:c r="A395" s="20" t="str">
        <x:v>REC-00386</x:v>
      </x:c>
      <x:c r="B395" s="20" t="str">
        <x:v>P1-B4-01</x:v>
      </x:c>
      <x:c r="C395" s="30" t="str">
        <x:f>IF(B395="","",IF(COUNTIFS(Equipment[组合编号],B395)&lt;&gt;1,"组合编号无效",INDEX(Equipment[PLC组],MATCH(B395,Equipment[组合编号],0))))</x:f>
        <x:v>汇川小型</x:v>
      </x:c>
      <x:c r="D395" s="30" t="str">
        <x:f>IF(B395="","",IF(COUNTIFS(Equipment[组合编号],B395)&lt;&gt;1,"组合编号无效",INDEX(Equipment[驱动品牌],MATCH(B395,Equipment[组合编号],0))))</x:f>
        <x:v>Elmo</x:v>
      </x:c>
      <x:c r="E395" s="20" t="str">
        <x:v>P08</x:v>
      </x:c>
      <x:c r="F395" s="20"/>
      <x:c r="G395" s="20"/>
      <x:c r="H395" s="20" t="str">
        <x:v>待判定</x:v>
      </x:c>
      <x:c r="I395" s="20"/>
      <x:c r="J395" s="20" t="str">
        <x:v>未测试</x:v>
      </x:c>
      <x:c r="K395" s="20"/>
      <x:c r="L395" s="20"/>
      <x:c r="M395" s="20"/>
      <x:c r="N395" s="20"/>
      <x:c r="O395" s="31"/>
      <x:c r="P395" s="20"/>
      <x:c r="Q395" s="20"/>
      <x:c r="R395" s="20" t="str">
        <x:v>待展开</x:v>
      </x:c>
      <x:c r="S395" s="20"/>
      <x:c r="T395" s="31"/>
      <x:c r="U395" s="30" t="str">
        <x:f>IF(A395="","缺记录编号",IF(COUNTIFS(PathRecords[记录编号],A395)&lt;&gt;1,"记录编号重复",IF(OR(B395="",E395=""),"缺组合/功能",IF(COUNTIFS(Equipment[组合编号],B395)&lt;&gt;1,"组合编号无效",IF(COUNTIFS(FunctionMatrix[编号],E395)=0,"功能编号无效",IF(H395="不适用",IF(J395="已实测","适用性冲突",IF(I395="","待补不适用依据","不适用（非实测）")),IF(J395="阻塞",IF(I395="","待补阻塞原因","阻塞（非实测）"),IF(J395&lt;&gt;"已实测",IF(F395="","待展开路径","未实测"),IF(H395&lt;&gt;"适用","待确认适用性",IF(INDEX(Equipment[登记状态（自动）],MATCH(B395,Equipment[组合编号],0))&lt;&gt;"已登记","待补设备组合",IF(AND(F395&lt;&gt;"",G395&lt;&gt;"",K395&lt;&gt;"",L395&lt;&gt;"",M395&lt;&gt;"",N395&lt;&gt;"",ISNUMBER(O395),O395&gt;0,P395&lt;&gt;""),"记录齐全","待补实测记录")))))))))))</x:f>
        <x:v>待展开路径</x:v>
      </x:c>
    </x:row>
    <x:row r="396" ht="43.5" customHeight="1">
      <x:c r="A396" s="20" t="str">
        <x:v>REC-00387</x:v>
      </x:c>
      <x:c r="B396" s="20" t="str">
        <x:v>P1-B4-01</x:v>
      </x:c>
      <x:c r="C396" s="30" t="str">
        <x:f>IF(B396="","",IF(COUNTIFS(Equipment[组合编号],B396)&lt;&gt;1,"组合编号无效",INDEX(Equipment[PLC组],MATCH(B396,Equipment[组合编号],0))))</x:f>
        <x:v>汇川小型</x:v>
      </x:c>
      <x:c r="D396" s="30" t="str">
        <x:f>IF(B396="","",IF(COUNTIFS(Equipment[组合编号],B396)&lt;&gt;1,"组合编号无效",INDEX(Equipment[驱动品牌],MATCH(B396,Equipment[组合编号],0))))</x:f>
        <x:v>Elmo</x:v>
      </x:c>
      <x:c r="E396" s="20" t="str">
        <x:v>P09</x:v>
      </x:c>
      <x:c r="F396" s="20"/>
      <x:c r="G396" s="20"/>
      <x:c r="H396" s="20" t="str">
        <x:v>待判定</x:v>
      </x:c>
      <x:c r="I396" s="20"/>
      <x:c r="J396" s="20" t="str">
        <x:v>未测试</x:v>
      </x:c>
      <x:c r="K396" s="20"/>
      <x:c r="L396" s="20"/>
      <x:c r="M396" s="20"/>
      <x:c r="N396" s="20"/>
      <x:c r="O396" s="31"/>
      <x:c r="P396" s="20"/>
      <x:c r="Q396" s="20"/>
      <x:c r="R396" s="20" t="str">
        <x:v>待展开</x:v>
      </x:c>
      <x:c r="S396" s="20"/>
      <x:c r="T396" s="31"/>
      <x:c r="U396" s="30" t="str">
        <x:f>IF(A396="","缺记录编号",IF(COUNTIFS(PathRecords[记录编号],A396)&lt;&gt;1,"记录编号重复",IF(OR(B396="",E396=""),"缺组合/功能",IF(COUNTIFS(Equipment[组合编号],B396)&lt;&gt;1,"组合编号无效",IF(COUNTIFS(FunctionMatrix[编号],E396)=0,"功能编号无效",IF(H396="不适用",IF(J396="已实测","适用性冲突",IF(I396="","待补不适用依据","不适用（非实测）")),IF(J396="阻塞",IF(I396="","待补阻塞原因","阻塞（非实测）"),IF(J396&lt;&gt;"已实测",IF(F396="","待展开路径","未实测"),IF(H396&lt;&gt;"适用","待确认适用性",IF(INDEX(Equipment[登记状态（自动）],MATCH(B396,Equipment[组合编号],0))&lt;&gt;"已登记","待补设备组合",IF(AND(F396&lt;&gt;"",G396&lt;&gt;"",K396&lt;&gt;"",L396&lt;&gt;"",M396&lt;&gt;"",N396&lt;&gt;"",ISNUMBER(O396),O396&gt;0,P396&lt;&gt;""),"记录齐全","待补实测记录")))))))))))</x:f>
        <x:v>待展开路径</x:v>
      </x:c>
    </x:row>
    <x:row r="397" ht="43.5" customHeight="1">
      <x:c r="A397" s="20" t="str">
        <x:v>REC-00388</x:v>
      </x:c>
      <x:c r="B397" s="20" t="str">
        <x:v>P1-B4-01</x:v>
      </x:c>
      <x:c r="C397" s="30" t="str">
        <x:f>IF(B397="","",IF(COUNTIFS(Equipment[组合编号],B397)&lt;&gt;1,"组合编号无效",INDEX(Equipment[PLC组],MATCH(B397,Equipment[组合编号],0))))</x:f>
        <x:v>汇川小型</x:v>
      </x:c>
      <x:c r="D397" s="30" t="str">
        <x:f>IF(B397="","",IF(COUNTIFS(Equipment[组合编号],B397)&lt;&gt;1,"组合编号无效",INDEX(Equipment[驱动品牌],MATCH(B397,Equipment[组合编号],0))))</x:f>
        <x:v>Elmo</x:v>
      </x:c>
      <x:c r="E397" s="20" t="str">
        <x:v>P10</x:v>
      </x:c>
      <x:c r="F397" s="20"/>
      <x:c r="G397" s="20"/>
      <x:c r="H397" s="20" t="str">
        <x:v>待判定</x:v>
      </x:c>
      <x:c r="I397" s="20"/>
      <x:c r="J397" s="20" t="str">
        <x:v>未测试</x:v>
      </x:c>
      <x:c r="K397" s="20"/>
      <x:c r="L397" s="20"/>
      <x:c r="M397" s="20"/>
      <x:c r="N397" s="20"/>
      <x:c r="O397" s="31"/>
      <x:c r="P397" s="20"/>
      <x:c r="Q397" s="20"/>
      <x:c r="R397" s="20" t="str">
        <x:v>待展开</x:v>
      </x:c>
      <x:c r="S397" s="20"/>
      <x:c r="T397" s="31"/>
      <x:c r="U397" s="30" t="str">
        <x:f>IF(A397="","缺记录编号",IF(COUNTIFS(PathRecords[记录编号],A397)&lt;&gt;1,"记录编号重复",IF(OR(B397="",E397=""),"缺组合/功能",IF(COUNTIFS(Equipment[组合编号],B397)&lt;&gt;1,"组合编号无效",IF(COUNTIFS(FunctionMatrix[编号],E397)=0,"功能编号无效",IF(H397="不适用",IF(J397="已实测","适用性冲突",IF(I397="","待补不适用依据","不适用（非实测）")),IF(J397="阻塞",IF(I397="","待补阻塞原因","阻塞（非实测）"),IF(J397&lt;&gt;"已实测",IF(F397="","待展开路径","未实测"),IF(H397&lt;&gt;"适用","待确认适用性",IF(INDEX(Equipment[登记状态（自动）],MATCH(B397,Equipment[组合编号],0))&lt;&gt;"已登记","待补设备组合",IF(AND(F397&lt;&gt;"",G397&lt;&gt;"",K397&lt;&gt;"",L397&lt;&gt;"",M397&lt;&gt;"",N397&lt;&gt;"",ISNUMBER(O397),O397&gt;0,P397&lt;&gt;""),"记录齐全","待补实测记录")))))))))))</x:f>
        <x:v>待展开路径</x:v>
      </x:c>
    </x:row>
    <x:row r="398" ht="43.5" customHeight="1">
      <x:c r="A398" s="20" t="str">
        <x:v>REC-00389</x:v>
      </x:c>
      <x:c r="B398" s="20" t="str">
        <x:v>P1-B4-01</x:v>
      </x:c>
      <x:c r="C398" s="30" t="str">
        <x:f>IF(B398="","",IF(COUNTIFS(Equipment[组合编号],B398)&lt;&gt;1,"组合编号无效",INDEX(Equipment[PLC组],MATCH(B398,Equipment[组合编号],0))))</x:f>
        <x:v>汇川小型</x:v>
      </x:c>
      <x:c r="D398" s="30" t="str">
        <x:f>IF(B398="","",IF(COUNTIFS(Equipment[组合编号],B398)&lt;&gt;1,"组合编号无效",INDEX(Equipment[驱动品牌],MATCH(B398,Equipment[组合编号],0))))</x:f>
        <x:v>Elmo</x:v>
      </x:c>
      <x:c r="E398" s="20" t="str">
        <x:v>A01</x:v>
      </x:c>
      <x:c r="F398" s="20"/>
      <x:c r="G398" s="20"/>
      <x:c r="H398" s="20" t="str">
        <x:v>待判定</x:v>
      </x:c>
      <x:c r="I398" s="20"/>
      <x:c r="J398" s="20" t="str">
        <x:v>未测试</x:v>
      </x:c>
      <x:c r="K398" s="20"/>
      <x:c r="L398" s="20"/>
      <x:c r="M398" s="20"/>
      <x:c r="N398" s="20"/>
      <x:c r="O398" s="31"/>
      <x:c r="P398" s="20"/>
      <x:c r="Q398" s="20"/>
      <x:c r="R398" s="20" t="str">
        <x:v>待展开</x:v>
      </x:c>
      <x:c r="S398" s="20"/>
      <x:c r="T398" s="31"/>
      <x:c r="U398" s="30" t="str">
        <x:f>IF(A398="","缺记录编号",IF(COUNTIFS(PathRecords[记录编号],A398)&lt;&gt;1,"记录编号重复",IF(OR(B398="",E398=""),"缺组合/功能",IF(COUNTIFS(Equipment[组合编号],B398)&lt;&gt;1,"组合编号无效",IF(COUNTIFS(FunctionMatrix[编号],E398)=0,"功能编号无效",IF(H398="不适用",IF(J398="已实测","适用性冲突",IF(I398="","待补不适用依据","不适用（非实测）")),IF(J398="阻塞",IF(I398="","待补阻塞原因","阻塞（非实测）"),IF(J398&lt;&gt;"已实测",IF(F398="","待展开路径","未实测"),IF(H398&lt;&gt;"适用","待确认适用性",IF(INDEX(Equipment[登记状态（自动）],MATCH(B398,Equipment[组合编号],0))&lt;&gt;"已登记","待补设备组合",IF(AND(F398&lt;&gt;"",G398&lt;&gt;"",K398&lt;&gt;"",L398&lt;&gt;"",M398&lt;&gt;"",N398&lt;&gt;"",ISNUMBER(O398),O398&gt;0,P398&lt;&gt;""),"记录齐全","待补实测记录")))))))))))</x:f>
        <x:v>待展开路径</x:v>
      </x:c>
    </x:row>
    <x:row r="399" ht="43.5" customHeight="1">
      <x:c r="A399" s="20" t="str">
        <x:v>REC-00390</x:v>
      </x:c>
      <x:c r="B399" s="20" t="str">
        <x:v>P1-B4-01</x:v>
      </x:c>
      <x:c r="C399" s="30" t="str">
        <x:f>IF(B399="","",IF(COUNTIFS(Equipment[组合编号],B399)&lt;&gt;1,"组合编号无效",INDEX(Equipment[PLC组],MATCH(B399,Equipment[组合编号],0))))</x:f>
        <x:v>汇川小型</x:v>
      </x:c>
      <x:c r="D399" s="30" t="str">
        <x:f>IF(B399="","",IF(COUNTIFS(Equipment[组合编号],B399)&lt;&gt;1,"组合编号无效",INDEX(Equipment[驱动品牌],MATCH(B399,Equipment[组合编号],0))))</x:f>
        <x:v>Elmo</x:v>
      </x:c>
      <x:c r="E399" s="20" t="str">
        <x:v>A02</x:v>
      </x:c>
      <x:c r="F399" s="20"/>
      <x:c r="G399" s="20"/>
      <x:c r="H399" s="20" t="str">
        <x:v>待判定</x:v>
      </x:c>
      <x:c r="I399" s="20"/>
      <x:c r="J399" s="20" t="str">
        <x:v>未测试</x:v>
      </x:c>
      <x:c r="K399" s="20"/>
      <x:c r="L399" s="20"/>
      <x:c r="M399" s="20"/>
      <x:c r="N399" s="20"/>
      <x:c r="O399" s="31"/>
      <x:c r="P399" s="20"/>
      <x:c r="Q399" s="20"/>
      <x:c r="R399" s="20" t="str">
        <x:v>待展开</x:v>
      </x:c>
      <x:c r="S399" s="20"/>
      <x:c r="T399" s="31"/>
      <x:c r="U399" s="30" t="str">
        <x:f>IF(A399="","缺记录编号",IF(COUNTIFS(PathRecords[记录编号],A399)&lt;&gt;1,"记录编号重复",IF(OR(B399="",E399=""),"缺组合/功能",IF(COUNTIFS(Equipment[组合编号],B399)&lt;&gt;1,"组合编号无效",IF(COUNTIFS(FunctionMatrix[编号],E399)=0,"功能编号无效",IF(H399="不适用",IF(J399="已实测","适用性冲突",IF(I399="","待补不适用依据","不适用（非实测）")),IF(J399="阻塞",IF(I399="","待补阻塞原因","阻塞（非实测）"),IF(J399&lt;&gt;"已实测",IF(F399="","待展开路径","未实测"),IF(H399&lt;&gt;"适用","待确认适用性",IF(INDEX(Equipment[登记状态（自动）],MATCH(B399,Equipment[组合编号],0))&lt;&gt;"已登记","待补设备组合",IF(AND(F399&lt;&gt;"",G399&lt;&gt;"",K399&lt;&gt;"",L399&lt;&gt;"",M399&lt;&gt;"",N399&lt;&gt;"",ISNUMBER(O399),O399&gt;0,P399&lt;&gt;""),"记录齐全","待补实测记录")))))))))))</x:f>
        <x:v>待展开路径</x:v>
      </x:c>
    </x:row>
    <x:row r="400" ht="43.5" customHeight="1">
      <x:c r="A400" s="20" t="str">
        <x:v>REC-00391</x:v>
      </x:c>
      <x:c r="B400" s="20" t="str">
        <x:v>P1-B4-01</x:v>
      </x:c>
      <x:c r="C400" s="30" t="str">
        <x:f>IF(B400="","",IF(COUNTIFS(Equipment[组合编号],B400)&lt;&gt;1,"组合编号无效",INDEX(Equipment[PLC组],MATCH(B400,Equipment[组合编号],0))))</x:f>
        <x:v>汇川小型</x:v>
      </x:c>
      <x:c r="D400" s="30" t="str">
        <x:f>IF(B400="","",IF(COUNTIFS(Equipment[组合编号],B400)&lt;&gt;1,"组合编号无效",INDEX(Equipment[驱动品牌],MATCH(B400,Equipment[组合编号],0))))</x:f>
        <x:v>Elmo</x:v>
      </x:c>
      <x:c r="E400" s="20" t="str">
        <x:v>A03</x:v>
      </x:c>
      <x:c r="F400" s="20"/>
      <x:c r="G400" s="20"/>
      <x:c r="H400" s="20" t="str">
        <x:v>待判定</x:v>
      </x:c>
      <x:c r="I400" s="20"/>
      <x:c r="J400" s="20" t="str">
        <x:v>未测试</x:v>
      </x:c>
      <x:c r="K400" s="20"/>
      <x:c r="L400" s="20"/>
      <x:c r="M400" s="20"/>
      <x:c r="N400" s="20"/>
      <x:c r="O400" s="31"/>
      <x:c r="P400" s="20"/>
      <x:c r="Q400" s="20"/>
      <x:c r="R400" s="20" t="str">
        <x:v>待展开</x:v>
      </x:c>
      <x:c r="S400" s="20"/>
      <x:c r="T400" s="31"/>
      <x:c r="U400" s="30" t="str">
        <x:f>IF(A400="","缺记录编号",IF(COUNTIFS(PathRecords[记录编号],A400)&lt;&gt;1,"记录编号重复",IF(OR(B400="",E400=""),"缺组合/功能",IF(COUNTIFS(Equipment[组合编号],B400)&lt;&gt;1,"组合编号无效",IF(COUNTIFS(FunctionMatrix[编号],E400)=0,"功能编号无效",IF(H400="不适用",IF(J400="已实测","适用性冲突",IF(I400="","待补不适用依据","不适用（非实测）")),IF(J400="阻塞",IF(I400="","待补阻塞原因","阻塞（非实测）"),IF(J400&lt;&gt;"已实测",IF(F400="","待展开路径","未实测"),IF(H400&lt;&gt;"适用","待确认适用性",IF(INDEX(Equipment[登记状态（自动）],MATCH(B400,Equipment[组合编号],0))&lt;&gt;"已登记","待补设备组合",IF(AND(F400&lt;&gt;"",G400&lt;&gt;"",K400&lt;&gt;"",L400&lt;&gt;"",M400&lt;&gt;"",N400&lt;&gt;"",ISNUMBER(O400),O400&gt;0,P400&lt;&gt;""),"记录齐全","待补实测记录")))))))))))</x:f>
        <x:v>待展开路径</x:v>
      </x:c>
    </x:row>
    <x:row r="401" ht="43.5" customHeight="1">
      <x:c r="A401" s="20" t="str">
        <x:v>REC-00392</x:v>
      </x:c>
      <x:c r="B401" s="20" t="str">
        <x:v>P1-B4-01</x:v>
      </x:c>
      <x:c r="C401" s="30" t="str">
        <x:f>IF(B401="","",IF(COUNTIFS(Equipment[组合编号],B401)&lt;&gt;1,"组合编号无效",INDEX(Equipment[PLC组],MATCH(B401,Equipment[组合编号],0))))</x:f>
        <x:v>汇川小型</x:v>
      </x:c>
      <x:c r="D401" s="30" t="str">
        <x:f>IF(B401="","",IF(COUNTIFS(Equipment[组合编号],B401)&lt;&gt;1,"组合编号无效",INDEX(Equipment[驱动品牌],MATCH(B401,Equipment[组合编号],0))))</x:f>
        <x:v>Elmo</x:v>
      </x:c>
      <x:c r="E401" s="20" t="str">
        <x:v>A04</x:v>
      </x:c>
      <x:c r="F401" s="20"/>
      <x:c r="G401" s="20"/>
      <x:c r="H401" s="20" t="str">
        <x:v>待判定</x:v>
      </x:c>
      <x:c r="I401" s="20"/>
      <x:c r="J401" s="20" t="str">
        <x:v>未测试</x:v>
      </x:c>
      <x:c r="K401" s="20"/>
      <x:c r="L401" s="20"/>
      <x:c r="M401" s="20"/>
      <x:c r="N401" s="20"/>
      <x:c r="O401" s="31"/>
      <x:c r="P401" s="20"/>
      <x:c r="Q401" s="20"/>
      <x:c r="R401" s="20" t="str">
        <x:v>待展开</x:v>
      </x:c>
      <x:c r="S401" s="20"/>
      <x:c r="T401" s="31"/>
      <x:c r="U401" s="30" t="str">
        <x:f>IF(A401="","缺记录编号",IF(COUNTIFS(PathRecords[记录编号],A401)&lt;&gt;1,"记录编号重复",IF(OR(B401="",E401=""),"缺组合/功能",IF(COUNTIFS(Equipment[组合编号],B401)&lt;&gt;1,"组合编号无效",IF(COUNTIFS(FunctionMatrix[编号],E401)=0,"功能编号无效",IF(H401="不适用",IF(J401="已实测","适用性冲突",IF(I401="","待补不适用依据","不适用（非实测）")),IF(J401="阻塞",IF(I401="","待补阻塞原因","阻塞（非实测）"),IF(J401&lt;&gt;"已实测",IF(F401="","待展开路径","未实测"),IF(H401&lt;&gt;"适用","待确认适用性",IF(INDEX(Equipment[登记状态（自动）],MATCH(B401,Equipment[组合编号],0))&lt;&gt;"已登记","待补设备组合",IF(AND(F401&lt;&gt;"",G401&lt;&gt;"",K401&lt;&gt;"",L401&lt;&gt;"",M401&lt;&gt;"",N401&lt;&gt;"",ISNUMBER(O401),O401&gt;0,P401&lt;&gt;""),"记录齐全","待补实测记录")))))))))))</x:f>
        <x:v>待展开路径</x:v>
      </x:c>
    </x:row>
    <x:row r="402" ht="43.5" customHeight="1">
      <x:c r="A402" s="20" t="str">
        <x:v>REC-00393</x:v>
      </x:c>
      <x:c r="B402" s="20" t="str">
        <x:v>P1-B4-01</x:v>
      </x:c>
      <x:c r="C402" s="30" t="str">
        <x:f>IF(B402="","",IF(COUNTIFS(Equipment[组合编号],B402)&lt;&gt;1,"组合编号无效",INDEX(Equipment[PLC组],MATCH(B402,Equipment[组合编号],0))))</x:f>
        <x:v>汇川小型</x:v>
      </x:c>
      <x:c r="D402" s="30" t="str">
        <x:f>IF(B402="","",IF(COUNTIFS(Equipment[组合编号],B402)&lt;&gt;1,"组合编号无效",INDEX(Equipment[驱动品牌],MATCH(B402,Equipment[组合编号],0))))</x:f>
        <x:v>Elmo</x:v>
      </x:c>
      <x:c r="E402" s="20" t="str">
        <x:v>A05</x:v>
      </x:c>
      <x:c r="F402" s="20"/>
      <x:c r="G402" s="20"/>
      <x:c r="H402" s="20" t="str">
        <x:v>待判定</x:v>
      </x:c>
      <x:c r="I402" s="20"/>
      <x:c r="J402" s="20" t="str">
        <x:v>未测试</x:v>
      </x:c>
      <x:c r="K402" s="20"/>
      <x:c r="L402" s="20"/>
      <x:c r="M402" s="20"/>
      <x:c r="N402" s="20"/>
      <x:c r="O402" s="31"/>
      <x:c r="P402" s="20"/>
      <x:c r="Q402" s="20"/>
      <x:c r="R402" s="20" t="str">
        <x:v>待展开</x:v>
      </x:c>
      <x:c r="S402" s="20"/>
      <x:c r="T402" s="31"/>
      <x:c r="U402" s="30" t="str">
        <x:f>IF(A402="","缺记录编号",IF(COUNTIFS(PathRecords[记录编号],A402)&lt;&gt;1,"记录编号重复",IF(OR(B402="",E402=""),"缺组合/功能",IF(COUNTIFS(Equipment[组合编号],B402)&lt;&gt;1,"组合编号无效",IF(COUNTIFS(FunctionMatrix[编号],E402)=0,"功能编号无效",IF(H402="不适用",IF(J402="已实测","适用性冲突",IF(I402="","待补不适用依据","不适用（非实测）")),IF(J402="阻塞",IF(I402="","待补阻塞原因","阻塞（非实测）"),IF(J402&lt;&gt;"已实测",IF(F402="","待展开路径","未实测"),IF(H402&lt;&gt;"适用","待确认适用性",IF(INDEX(Equipment[登记状态（自动）],MATCH(B402,Equipment[组合编号],0))&lt;&gt;"已登记","待补设备组合",IF(AND(F402&lt;&gt;"",G402&lt;&gt;"",K402&lt;&gt;"",L402&lt;&gt;"",M402&lt;&gt;"",N402&lt;&gt;"",ISNUMBER(O402),O402&gt;0,P402&lt;&gt;""),"记录齐全","待补实测记录")))))))))))</x:f>
        <x:v>待展开路径</x:v>
      </x:c>
    </x:row>
    <x:row r="403" ht="43.5" customHeight="1">
      <x:c r="A403" s="20" t="str">
        <x:v>REC-00394</x:v>
      </x:c>
      <x:c r="B403" s="20" t="str">
        <x:v>P1-B4-01</x:v>
      </x:c>
      <x:c r="C403" s="30" t="str">
        <x:f>IF(B403="","",IF(COUNTIFS(Equipment[组合编号],B403)&lt;&gt;1,"组合编号无效",INDEX(Equipment[PLC组],MATCH(B403,Equipment[组合编号],0))))</x:f>
        <x:v>汇川小型</x:v>
      </x:c>
      <x:c r="D403" s="30" t="str">
        <x:f>IF(B403="","",IF(COUNTIFS(Equipment[组合编号],B403)&lt;&gt;1,"组合编号无效",INDEX(Equipment[驱动品牌],MATCH(B403,Equipment[组合编号],0))))</x:f>
        <x:v>Elmo</x:v>
      </x:c>
      <x:c r="E403" s="20" t="str">
        <x:v>A06</x:v>
      </x:c>
      <x:c r="F403" s="20"/>
      <x:c r="G403" s="20"/>
      <x:c r="H403" s="20" t="str">
        <x:v>待判定</x:v>
      </x:c>
      <x:c r="I403" s="20"/>
      <x:c r="J403" s="20" t="str">
        <x:v>未测试</x:v>
      </x:c>
      <x:c r="K403" s="20"/>
      <x:c r="L403" s="20"/>
      <x:c r="M403" s="20"/>
      <x:c r="N403" s="20"/>
      <x:c r="O403" s="31"/>
      <x:c r="P403" s="20"/>
      <x:c r="Q403" s="20"/>
      <x:c r="R403" s="20" t="str">
        <x:v>待展开</x:v>
      </x:c>
      <x:c r="S403" s="20"/>
      <x:c r="T403" s="31"/>
      <x:c r="U403" s="30" t="str">
        <x:f>IF(A403="","缺记录编号",IF(COUNTIFS(PathRecords[记录编号],A403)&lt;&gt;1,"记录编号重复",IF(OR(B403="",E403=""),"缺组合/功能",IF(COUNTIFS(Equipment[组合编号],B403)&lt;&gt;1,"组合编号无效",IF(COUNTIFS(FunctionMatrix[编号],E403)=0,"功能编号无效",IF(H403="不适用",IF(J403="已实测","适用性冲突",IF(I403="","待补不适用依据","不适用（非实测）")),IF(J403="阻塞",IF(I403="","待补阻塞原因","阻塞（非实测）"),IF(J403&lt;&gt;"已实测",IF(F403="","待展开路径","未实测"),IF(H403&lt;&gt;"适用","待确认适用性",IF(INDEX(Equipment[登记状态（自动）],MATCH(B403,Equipment[组合编号],0))&lt;&gt;"已登记","待补设备组合",IF(AND(F403&lt;&gt;"",G403&lt;&gt;"",K403&lt;&gt;"",L403&lt;&gt;"",M403&lt;&gt;"",N403&lt;&gt;"",ISNUMBER(O403),O403&gt;0,P403&lt;&gt;""),"记录齐全","待补实测记录")))))))))))</x:f>
        <x:v>待展开路径</x:v>
      </x:c>
    </x:row>
    <x:row r="404" ht="43.5" customHeight="1">
      <x:c r="A404" s="20" t="str">
        <x:v>REC-00395</x:v>
      </x:c>
      <x:c r="B404" s="20" t="str">
        <x:v>P1-B4-01</x:v>
      </x:c>
      <x:c r="C404" s="30" t="str">
        <x:f>IF(B404="","",IF(COUNTIFS(Equipment[组合编号],B404)&lt;&gt;1,"组合编号无效",INDEX(Equipment[PLC组],MATCH(B404,Equipment[组合编号],0))))</x:f>
        <x:v>汇川小型</x:v>
      </x:c>
      <x:c r="D404" s="30" t="str">
        <x:f>IF(B404="","",IF(COUNTIFS(Equipment[组合编号],B404)&lt;&gt;1,"组合编号无效",INDEX(Equipment[驱动品牌],MATCH(B404,Equipment[组合编号],0))))</x:f>
        <x:v>Elmo</x:v>
      </x:c>
      <x:c r="E404" s="20" t="str">
        <x:v>A07</x:v>
      </x:c>
      <x:c r="F404" s="20"/>
      <x:c r="G404" s="20"/>
      <x:c r="H404" s="20" t="str">
        <x:v>待判定</x:v>
      </x:c>
      <x:c r="I404" s="20"/>
      <x:c r="J404" s="20" t="str">
        <x:v>未测试</x:v>
      </x:c>
      <x:c r="K404" s="20"/>
      <x:c r="L404" s="20"/>
      <x:c r="M404" s="20"/>
      <x:c r="N404" s="20"/>
      <x:c r="O404" s="31"/>
      <x:c r="P404" s="20"/>
      <x:c r="Q404" s="20"/>
      <x:c r="R404" s="20" t="str">
        <x:v>待展开</x:v>
      </x:c>
      <x:c r="S404" s="20"/>
      <x:c r="T404" s="31"/>
      <x:c r="U404" s="30" t="str">
        <x:f>IF(A404="","缺记录编号",IF(COUNTIFS(PathRecords[记录编号],A404)&lt;&gt;1,"记录编号重复",IF(OR(B404="",E404=""),"缺组合/功能",IF(COUNTIFS(Equipment[组合编号],B404)&lt;&gt;1,"组合编号无效",IF(COUNTIFS(FunctionMatrix[编号],E404)=0,"功能编号无效",IF(H404="不适用",IF(J404="已实测","适用性冲突",IF(I404="","待补不适用依据","不适用（非实测）")),IF(J404="阻塞",IF(I404="","待补阻塞原因","阻塞（非实测）"),IF(J404&lt;&gt;"已实测",IF(F404="","待展开路径","未实测"),IF(H404&lt;&gt;"适用","待确认适用性",IF(INDEX(Equipment[登记状态（自动）],MATCH(B404,Equipment[组合编号],0))&lt;&gt;"已登记","待补设备组合",IF(AND(F404&lt;&gt;"",G404&lt;&gt;"",K404&lt;&gt;"",L404&lt;&gt;"",M404&lt;&gt;"",N404&lt;&gt;"",ISNUMBER(O404),O404&gt;0,P404&lt;&gt;""),"记录齐全","待补实测记录")))))))))))</x:f>
        <x:v>待展开路径</x:v>
      </x:c>
    </x:row>
    <x:row r="405" ht="43.5" customHeight="1">
      <x:c r="A405" s="20" t="str">
        <x:v>REC-00396</x:v>
      </x:c>
      <x:c r="B405" s="20" t="str">
        <x:v>P1-B4-01</x:v>
      </x:c>
      <x:c r="C405" s="30" t="str">
        <x:f>IF(B405="","",IF(COUNTIFS(Equipment[组合编号],B405)&lt;&gt;1,"组合编号无效",INDEX(Equipment[PLC组],MATCH(B405,Equipment[组合编号],0))))</x:f>
        <x:v>汇川小型</x:v>
      </x:c>
      <x:c r="D405" s="30" t="str">
        <x:f>IF(B405="","",IF(COUNTIFS(Equipment[组合编号],B405)&lt;&gt;1,"组合编号无效",INDEX(Equipment[驱动品牌],MATCH(B405,Equipment[组合编号],0))))</x:f>
        <x:v>Elmo</x:v>
      </x:c>
      <x:c r="E405" s="20" t="str">
        <x:v>A08</x:v>
      </x:c>
      <x:c r="F405" s="20"/>
      <x:c r="G405" s="20"/>
      <x:c r="H405" s="20" t="str">
        <x:v>待判定</x:v>
      </x:c>
      <x:c r="I405" s="20"/>
      <x:c r="J405" s="20" t="str">
        <x:v>未测试</x:v>
      </x:c>
      <x:c r="K405" s="20"/>
      <x:c r="L405" s="20"/>
      <x:c r="M405" s="20"/>
      <x:c r="N405" s="20"/>
      <x:c r="O405" s="31"/>
      <x:c r="P405" s="20"/>
      <x:c r="Q405" s="20"/>
      <x:c r="R405" s="20" t="str">
        <x:v>待展开</x:v>
      </x:c>
      <x:c r="S405" s="20"/>
      <x:c r="T405" s="31"/>
      <x:c r="U405" s="30" t="str">
        <x:f>IF(A405="","缺记录编号",IF(COUNTIFS(PathRecords[记录编号],A405)&lt;&gt;1,"记录编号重复",IF(OR(B405="",E405=""),"缺组合/功能",IF(COUNTIFS(Equipment[组合编号],B405)&lt;&gt;1,"组合编号无效",IF(COUNTIFS(FunctionMatrix[编号],E405)=0,"功能编号无效",IF(H405="不适用",IF(J405="已实测","适用性冲突",IF(I405="","待补不适用依据","不适用（非实测）")),IF(J405="阻塞",IF(I405="","待补阻塞原因","阻塞（非实测）"),IF(J405&lt;&gt;"已实测",IF(F405="","待展开路径","未实测"),IF(H405&lt;&gt;"适用","待确认适用性",IF(INDEX(Equipment[登记状态（自动）],MATCH(B405,Equipment[组合编号],0))&lt;&gt;"已登记","待补设备组合",IF(AND(F405&lt;&gt;"",G405&lt;&gt;"",K405&lt;&gt;"",L405&lt;&gt;"",M405&lt;&gt;"",N405&lt;&gt;"",ISNUMBER(O405),O405&gt;0,P405&lt;&gt;""),"记录齐全","待补实测记录")))))))))))</x:f>
        <x:v>待展开路径</x:v>
      </x:c>
    </x:row>
    <x:row r="406" ht="43.5" customHeight="1">
      <x:c r="A406" s="20" t="str">
        <x:v>REC-00397</x:v>
      </x:c>
      <x:c r="B406" s="20" t="str">
        <x:v>P1-B4-01</x:v>
      </x:c>
      <x:c r="C406" s="30" t="str">
        <x:f>IF(B406="","",IF(COUNTIFS(Equipment[组合编号],B406)&lt;&gt;1,"组合编号无效",INDEX(Equipment[PLC组],MATCH(B406,Equipment[组合编号],0))))</x:f>
        <x:v>汇川小型</x:v>
      </x:c>
      <x:c r="D406" s="30" t="str">
        <x:f>IF(B406="","",IF(COUNTIFS(Equipment[组合编号],B406)&lt;&gt;1,"组合编号无效",INDEX(Equipment[驱动品牌],MATCH(B406,Equipment[组合编号],0))))</x:f>
        <x:v>Elmo</x:v>
      </x:c>
      <x:c r="E406" s="20" t="str">
        <x:v>A09</x:v>
      </x:c>
      <x:c r="F406" s="20"/>
      <x:c r="G406" s="20"/>
      <x:c r="H406" s="20" t="str">
        <x:v>待判定</x:v>
      </x:c>
      <x:c r="I406" s="20"/>
      <x:c r="J406" s="20" t="str">
        <x:v>未测试</x:v>
      </x:c>
      <x:c r="K406" s="20"/>
      <x:c r="L406" s="20"/>
      <x:c r="M406" s="20"/>
      <x:c r="N406" s="20"/>
      <x:c r="O406" s="31"/>
      <x:c r="P406" s="20"/>
      <x:c r="Q406" s="20"/>
      <x:c r="R406" s="20" t="str">
        <x:v>待展开</x:v>
      </x:c>
      <x:c r="S406" s="20"/>
      <x:c r="T406" s="31"/>
      <x:c r="U406" s="30" t="str">
        <x:f>IF(A406="","缺记录编号",IF(COUNTIFS(PathRecords[记录编号],A406)&lt;&gt;1,"记录编号重复",IF(OR(B406="",E406=""),"缺组合/功能",IF(COUNTIFS(Equipment[组合编号],B406)&lt;&gt;1,"组合编号无效",IF(COUNTIFS(FunctionMatrix[编号],E406)=0,"功能编号无效",IF(H406="不适用",IF(J406="已实测","适用性冲突",IF(I406="","待补不适用依据","不适用（非实测）")),IF(J406="阻塞",IF(I406="","待补阻塞原因","阻塞（非实测）"),IF(J406&lt;&gt;"已实测",IF(F406="","待展开路径","未实测"),IF(H406&lt;&gt;"适用","待确认适用性",IF(INDEX(Equipment[登记状态（自动）],MATCH(B406,Equipment[组合编号],0))&lt;&gt;"已登记","待补设备组合",IF(AND(F406&lt;&gt;"",G406&lt;&gt;"",K406&lt;&gt;"",L406&lt;&gt;"",M406&lt;&gt;"",N406&lt;&gt;"",ISNUMBER(O406),O406&gt;0,P406&lt;&gt;""),"记录齐全","待补实测记录")))))))))))</x:f>
        <x:v>待展开路径</x:v>
      </x:c>
    </x:row>
    <x:row r="407" ht="43.5" customHeight="1">
      <x:c r="A407" s="20" t="str">
        <x:v>REC-00398</x:v>
      </x:c>
      <x:c r="B407" s="20" t="str">
        <x:v>P1-B4-01</x:v>
      </x:c>
      <x:c r="C407" s="30" t="str">
        <x:f>IF(B407="","",IF(COUNTIFS(Equipment[组合编号],B407)&lt;&gt;1,"组合编号无效",INDEX(Equipment[PLC组],MATCH(B407,Equipment[组合编号],0))))</x:f>
        <x:v>汇川小型</x:v>
      </x:c>
      <x:c r="D407" s="30" t="str">
        <x:f>IF(B407="","",IF(COUNTIFS(Equipment[组合编号],B407)&lt;&gt;1,"组合编号无效",INDEX(Equipment[驱动品牌],MATCH(B407,Equipment[组合编号],0))))</x:f>
        <x:v>Elmo</x:v>
      </x:c>
      <x:c r="E407" s="20" t="str">
        <x:v>C01</x:v>
      </x:c>
      <x:c r="F407" s="20"/>
      <x:c r="G407" s="20"/>
      <x:c r="H407" s="20" t="str">
        <x:v>待判定</x:v>
      </x:c>
      <x:c r="I407" s="20"/>
      <x:c r="J407" s="20" t="str">
        <x:v>未测试</x:v>
      </x:c>
      <x:c r="K407" s="20"/>
      <x:c r="L407" s="20"/>
      <x:c r="M407" s="20"/>
      <x:c r="N407" s="20"/>
      <x:c r="O407" s="31"/>
      <x:c r="P407" s="20"/>
      <x:c r="Q407" s="20"/>
      <x:c r="R407" s="20" t="str">
        <x:v>待展开</x:v>
      </x:c>
      <x:c r="S407" s="20"/>
      <x:c r="T407" s="31"/>
      <x:c r="U407" s="30" t="str">
        <x:f>IF(A407="","缺记录编号",IF(COUNTIFS(PathRecords[记录编号],A407)&lt;&gt;1,"记录编号重复",IF(OR(B407="",E407=""),"缺组合/功能",IF(COUNTIFS(Equipment[组合编号],B407)&lt;&gt;1,"组合编号无效",IF(COUNTIFS(FunctionMatrix[编号],E407)=0,"功能编号无效",IF(H407="不适用",IF(J407="已实测","适用性冲突",IF(I407="","待补不适用依据","不适用（非实测）")),IF(J407="阻塞",IF(I407="","待补阻塞原因","阻塞（非实测）"),IF(J407&lt;&gt;"已实测",IF(F407="","待展开路径","未实测"),IF(H407&lt;&gt;"适用","待确认适用性",IF(INDEX(Equipment[登记状态（自动）],MATCH(B407,Equipment[组合编号],0))&lt;&gt;"已登记","待补设备组合",IF(AND(F407&lt;&gt;"",G407&lt;&gt;"",K407&lt;&gt;"",L407&lt;&gt;"",M407&lt;&gt;"",N407&lt;&gt;"",ISNUMBER(O407),O407&gt;0,P407&lt;&gt;""),"记录齐全","待补实测记录")))))))))))</x:f>
        <x:v>待展开路径</x:v>
      </x:c>
    </x:row>
    <x:row r="408" ht="43.5" customHeight="1">
      <x:c r="A408" s="20" t="str">
        <x:v>REC-00399</x:v>
      </x:c>
      <x:c r="B408" s="20" t="str">
        <x:v>P1-B4-01</x:v>
      </x:c>
      <x:c r="C408" s="30" t="str">
        <x:f>IF(B408="","",IF(COUNTIFS(Equipment[组合编号],B408)&lt;&gt;1,"组合编号无效",INDEX(Equipment[PLC组],MATCH(B408,Equipment[组合编号],0))))</x:f>
        <x:v>汇川小型</x:v>
      </x:c>
      <x:c r="D408" s="30" t="str">
        <x:f>IF(B408="","",IF(COUNTIFS(Equipment[组合编号],B408)&lt;&gt;1,"组合编号无效",INDEX(Equipment[驱动品牌],MATCH(B408,Equipment[组合编号],0))))</x:f>
        <x:v>Elmo</x:v>
      </x:c>
      <x:c r="E408" s="20" t="str">
        <x:v>C02</x:v>
      </x:c>
      <x:c r="F408" s="20"/>
      <x:c r="G408" s="20"/>
      <x:c r="H408" s="20" t="str">
        <x:v>待判定</x:v>
      </x:c>
      <x:c r="I408" s="20"/>
      <x:c r="J408" s="20" t="str">
        <x:v>未测试</x:v>
      </x:c>
      <x:c r="K408" s="20"/>
      <x:c r="L408" s="20"/>
      <x:c r="M408" s="20"/>
      <x:c r="N408" s="20"/>
      <x:c r="O408" s="31"/>
      <x:c r="P408" s="20"/>
      <x:c r="Q408" s="20"/>
      <x:c r="R408" s="20" t="str">
        <x:v>待展开</x:v>
      </x:c>
      <x:c r="S408" s="20"/>
      <x:c r="T408" s="31"/>
      <x:c r="U408" s="30" t="str">
        <x:f>IF(A408="","缺记录编号",IF(COUNTIFS(PathRecords[记录编号],A408)&lt;&gt;1,"记录编号重复",IF(OR(B408="",E408=""),"缺组合/功能",IF(COUNTIFS(Equipment[组合编号],B408)&lt;&gt;1,"组合编号无效",IF(COUNTIFS(FunctionMatrix[编号],E408)=0,"功能编号无效",IF(H408="不适用",IF(J408="已实测","适用性冲突",IF(I408="","待补不适用依据","不适用（非实测）")),IF(J408="阻塞",IF(I408="","待补阻塞原因","阻塞（非实测）"),IF(J408&lt;&gt;"已实测",IF(F408="","待展开路径","未实测"),IF(H408&lt;&gt;"适用","待确认适用性",IF(INDEX(Equipment[登记状态（自动）],MATCH(B408,Equipment[组合编号],0))&lt;&gt;"已登记","待补设备组合",IF(AND(F408&lt;&gt;"",G408&lt;&gt;"",K408&lt;&gt;"",L408&lt;&gt;"",M408&lt;&gt;"",N408&lt;&gt;"",ISNUMBER(O408),O408&gt;0,P408&lt;&gt;""),"记录齐全","待补实测记录")))))))))))</x:f>
        <x:v>待展开路径</x:v>
      </x:c>
    </x:row>
    <x:row r="409" ht="43.5" customHeight="1">
      <x:c r="A409" s="20" t="str">
        <x:v>REC-00400</x:v>
      </x:c>
      <x:c r="B409" s="20" t="str">
        <x:v>P1-B4-01</x:v>
      </x:c>
      <x:c r="C409" s="30" t="str">
        <x:f>IF(B409="","",IF(COUNTIFS(Equipment[组合编号],B409)&lt;&gt;1,"组合编号无效",INDEX(Equipment[PLC组],MATCH(B409,Equipment[组合编号],0))))</x:f>
        <x:v>汇川小型</x:v>
      </x:c>
      <x:c r="D409" s="30" t="str">
        <x:f>IF(B409="","",IF(COUNTIFS(Equipment[组合编号],B409)&lt;&gt;1,"组合编号无效",INDEX(Equipment[驱动品牌],MATCH(B409,Equipment[组合编号],0))))</x:f>
        <x:v>Elmo</x:v>
      </x:c>
      <x:c r="E409" s="20" t="str">
        <x:v>C03</x:v>
      </x:c>
      <x:c r="F409" s="20"/>
      <x:c r="G409" s="20"/>
      <x:c r="H409" s="20" t="str">
        <x:v>待判定</x:v>
      </x:c>
      <x:c r="I409" s="20"/>
      <x:c r="J409" s="20" t="str">
        <x:v>未测试</x:v>
      </x:c>
      <x:c r="K409" s="20"/>
      <x:c r="L409" s="20"/>
      <x:c r="M409" s="20"/>
      <x:c r="N409" s="20"/>
      <x:c r="O409" s="31"/>
      <x:c r="P409" s="20"/>
      <x:c r="Q409" s="20"/>
      <x:c r="R409" s="20" t="str">
        <x:v>待展开</x:v>
      </x:c>
      <x:c r="S409" s="20"/>
      <x:c r="T409" s="31"/>
      <x:c r="U409" s="30" t="str">
        <x:f>IF(A409="","缺记录编号",IF(COUNTIFS(PathRecords[记录编号],A409)&lt;&gt;1,"记录编号重复",IF(OR(B409="",E409=""),"缺组合/功能",IF(COUNTIFS(Equipment[组合编号],B409)&lt;&gt;1,"组合编号无效",IF(COUNTIFS(FunctionMatrix[编号],E409)=0,"功能编号无效",IF(H409="不适用",IF(J409="已实测","适用性冲突",IF(I409="","待补不适用依据","不适用（非实测）")),IF(J409="阻塞",IF(I409="","待补阻塞原因","阻塞（非实测）"),IF(J409&lt;&gt;"已实测",IF(F409="","待展开路径","未实测"),IF(H409&lt;&gt;"适用","待确认适用性",IF(INDEX(Equipment[登记状态（自动）],MATCH(B409,Equipment[组合编号],0))&lt;&gt;"已登记","待补设备组合",IF(AND(F409&lt;&gt;"",G409&lt;&gt;"",K409&lt;&gt;"",L409&lt;&gt;"",M409&lt;&gt;"",N409&lt;&gt;"",ISNUMBER(O409),O409&gt;0,P409&lt;&gt;""),"记录齐全","待补实测记录")))))))))))</x:f>
        <x:v>待展开路径</x:v>
      </x:c>
    </x:row>
    <x:row r="410" ht="43.5" customHeight="1">
      <x:c r="A410" s="20" t="str">
        <x:v>REC-00401</x:v>
      </x:c>
      <x:c r="B410" s="20" t="str">
        <x:v>P1-B4-01</x:v>
      </x:c>
      <x:c r="C410" s="30" t="str">
        <x:f>IF(B410="","",IF(COUNTIFS(Equipment[组合编号],B410)&lt;&gt;1,"组合编号无效",INDEX(Equipment[PLC组],MATCH(B410,Equipment[组合编号],0))))</x:f>
        <x:v>汇川小型</x:v>
      </x:c>
      <x:c r="D410" s="30" t="str">
        <x:f>IF(B410="","",IF(COUNTIFS(Equipment[组合编号],B410)&lt;&gt;1,"组合编号无效",INDEX(Equipment[驱动品牌],MATCH(B410,Equipment[组合编号],0))))</x:f>
        <x:v>Elmo</x:v>
      </x:c>
      <x:c r="E410" s="20" t="str">
        <x:v>C04</x:v>
      </x:c>
      <x:c r="F410" s="20"/>
      <x:c r="G410" s="20"/>
      <x:c r="H410" s="20" t="str">
        <x:v>待判定</x:v>
      </x:c>
      <x:c r="I410" s="20"/>
      <x:c r="J410" s="20" t="str">
        <x:v>未测试</x:v>
      </x:c>
      <x:c r="K410" s="20"/>
      <x:c r="L410" s="20"/>
      <x:c r="M410" s="20"/>
      <x:c r="N410" s="20"/>
      <x:c r="O410" s="31"/>
      <x:c r="P410" s="20"/>
      <x:c r="Q410" s="20"/>
      <x:c r="R410" s="20" t="str">
        <x:v>待展开</x:v>
      </x:c>
      <x:c r="S410" s="20"/>
      <x:c r="T410" s="31"/>
      <x:c r="U410" s="30" t="str">
        <x:f>IF(A410="","缺记录编号",IF(COUNTIFS(PathRecords[记录编号],A410)&lt;&gt;1,"记录编号重复",IF(OR(B410="",E410=""),"缺组合/功能",IF(COUNTIFS(Equipment[组合编号],B410)&lt;&gt;1,"组合编号无效",IF(COUNTIFS(FunctionMatrix[编号],E410)=0,"功能编号无效",IF(H410="不适用",IF(J410="已实测","适用性冲突",IF(I410="","待补不适用依据","不适用（非实测）")),IF(J410="阻塞",IF(I410="","待补阻塞原因","阻塞（非实测）"),IF(J410&lt;&gt;"已实测",IF(F410="","待展开路径","未实测"),IF(H410&lt;&gt;"适用","待确认适用性",IF(INDEX(Equipment[登记状态（自动）],MATCH(B410,Equipment[组合编号],0))&lt;&gt;"已登记","待补设备组合",IF(AND(F410&lt;&gt;"",G410&lt;&gt;"",K410&lt;&gt;"",L410&lt;&gt;"",M410&lt;&gt;"",N410&lt;&gt;"",ISNUMBER(O410),O410&gt;0,P410&lt;&gt;""),"记录齐全","待补实测记录")))))))))))</x:f>
        <x:v>待展开路径</x:v>
      </x:c>
    </x:row>
    <x:row r="411" ht="43.5" customHeight="1">
      <x:c r="A411" s="20" t="str">
        <x:v>REC-00402</x:v>
      </x:c>
      <x:c r="B411" s="20" t="str">
        <x:v>P1-B4-01</x:v>
      </x:c>
      <x:c r="C411" s="30" t="str">
        <x:f>IF(B411="","",IF(COUNTIFS(Equipment[组合编号],B411)&lt;&gt;1,"组合编号无效",INDEX(Equipment[PLC组],MATCH(B411,Equipment[组合编号],0))))</x:f>
        <x:v>汇川小型</x:v>
      </x:c>
      <x:c r="D411" s="30" t="str">
        <x:f>IF(B411="","",IF(COUNTIFS(Equipment[组合编号],B411)&lt;&gt;1,"组合编号无效",INDEX(Equipment[驱动品牌],MATCH(B411,Equipment[组合编号],0))))</x:f>
        <x:v>Elmo</x:v>
      </x:c>
      <x:c r="E411" s="20" t="str">
        <x:v>C05</x:v>
      </x:c>
      <x:c r="F411" s="20"/>
      <x:c r="G411" s="20"/>
      <x:c r="H411" s="20" t="str">
        <x:v>待判定</x:v>
      </x:c>
      <x:c r="I411" s="20"/>
      <x:c r="J411" s="20" t="str">
        <x:v>未测试</x:v>
      </x:c>
      <x:c r="K411" s="20"/>
      <x:c r="L411" s="20"/>
      <x:c r="M411" s="20"/>
      <x:c r="N411" s="20"/>
      <x:c r="O411" s="31"/>
      <x:c r="P411" s="20"/>
      <x:c r="Q411" s="20"/>
      <x:c r="R411" s="20" t="str">
        <x:v>待展开</x:v>
      </x:c>
      <x:c r="S411" s="20"/>
      <x:c r="T411" s="31"/>
      <x:c r="U411" s="30" t="str">
        <x:f>IF(A411="","缺记录编号",IF(COUNTIFS(PathRecords[记录编号],A411)&lt;&gt;1,"记录编号重复",IF(OR(B411="",E411=""),"缺组合/功能",IF(COUNTIFS(Equipment[组合编号],B411)&lt;&gt;1,"组合编号无效",IF(COUNTIFS(FunctionMatrix[编号],E411)=0,"功能编号无效",IF(H411="不适用",IF(J411="已实测","适用性冲突",IF(I411="","待补不适用依据","不适用（非实测）")),IF(J411="阻塞",IF(I411="","待补阻塞原因","阻塞（非实测）"),IF(J411&lt;&gt;"已实测",IF(F411="","待展开路径","未实测"),IF(H411&lt;&gt;"适用","待确认适用性",IF(INDEX(Equipment[登记状态（自动）],MATCH(B411,Equipment[组合编号],0))&lt;&gt;"已登记","待补设备组合",IF(AND(F411&lt;&gt;"",G411&lt;&gt;"",K411&lt;&gt;"",L411&lt;&gt;"",M411&lt;&gt;"",N411&lt;&gt;"",ISNUMBER(O411),O411&gt;0,P411&lt;&gt;""),"记录齐全","待补实测记录")))))))))))</x:f>
        <x:v>待展开路径</x:v>
      </x:c>
    </x:row>
    <x:row r="412" ht="43.5" customHeight="1">
      <x:c r="A412" s="20" t="str">
        <x:v>REC-00403</x:v>
      </x:c>
      <x:c r="B412" s="20" t="str">
        <x:v>P1-B4-01</x:v>
      </x:c>
      <x:c r="C412" s="30" t="str">
        <x:f>IF(B412="","",IF(COUNTIFS(Equipment[组合编号],B412)&lt;&gt;1,"组合编号无效",INDEX(Equipment[PLC组],MATCH(B412,Equipment[组合编号],0))))</x:f>
        <x:v>汇川小型</x:v>
      </x:c>
      <x:c r="D412" s="30" t="str">
        <x:f>IF(B412="","",IF(COUNTIFS(Equipment[组合编号],B412)&lt;&gt;1,"组合编号无效",INDEX(Equipment[驱动品牌],MATCH(B412,Equipment[组合编号],0))))</x:f>
        <x:v>Elmo</x:v>
      </x:c>
      <x:c r="E412" s="20" t="str">
        <x:v>C06</x:v>
      </x:c>
      <x:c r="F412" s="20"/>
      <x:c r="G412" s="20"/>
      <x:c r="H412" s="20" t="str">
        <x:v>待判定</x:v>
      </x:c>
      <x:c r="I412" s="20"/>
      <x:c r="J412" s="20" t="str">
        <x:v>未测试</x:v>
      </x:c>
      <x:c r="K412" s="20"/>
      <x:c r="L412" s="20"/>
      <x:c r="M412" s="20"/>
      <x:c r="N412" s="20"/>
      <x:c r="O412" s="31"/>
      <x:c r="P412" s="20"/>
      <x:c r="Q412" s="20"/>
      <x:c r="R412" s="20" t="str">
        <x:v>待展开</x:v>
      </x:c>
      <x:c r="S412" s="20"/>
      <x:c r="T412" s="31"/>
      <x:c r="U412" s="30" t="str">
        <x:f>IF(A412="","缺记录编号",IF(COUNTIFS(PathRecords[记录编号],A412)&lt;&gt;1,"记录编号重复",IF(OR(B412="",E412=""),"缺组合/功能",IF(COUNTIFS(Equipment[组合编号],B412)&lt;&gt;1,"组合编号无效",IF(COUNTIFS(FunctionMatrix[编号],E412)=0,"功能编号无效",IF(H412="不适用",IF(J412="已实测","适用性冲突",IF(I412="","待补不适用依据","不适用（非实测）")),IF(J412="阻塞",IF(I412="","待补阻塞原因","阻塞（非实测）"),IF(J412&lt;&gt;"已实测",IF(F412="","待展开路径","未实测"),IF(H412&lt;&gt;"适用","待确认适用性",IF(INDEX(Equipment[登记状态（自动）],MATCH(B412,Equipment[组合编号],0))&lt;&gt;"已登记","待补设备组合",IF(AND(F412&lt;&gt;"",G412&lt;&gt;"",K412&lt;&gt;"",L412&lt;&gt;"",M412&lt;&gt;"",N412&lt;&gt;"",ISNUMBER(O412),O412&gt;0,P412&lt;&gt;""),"记录齐全","待补实测记录")))))))))))</x:f>
        <x:v>待展开路径</x:v>
      </x:c>
    </x:row>
    <x:row r="413" ht="43.5" customHeight="1">
      <x:c r="A413" s="20" t="str">
        <x:v>REC-00404</x:v>
      </x:c>
      <x:c r="B413" s="20" t="str">
        <x:v>P1-B4-01</x:v>
      </x:c>
      <x:c r="C413" s="30" t="str">
        <x:f>IF(B413="","",IF(COUNTIFS(Equipment[组合编号],B413)&lt;&gt;1,"组合编号无效",INDEX(Equipment[PLC组],MATCH(B413,Equipment[组合编号],0))))</x:f>
        <x:v>汇川小型</x:v>
      </x:c>
      <x:c r="D413" s="30" t="str">
        <x:f>IF(B413="","",IF(COUNTIFS(Equipment[组合编号],B413)&lt;&gt;1,"组合编号无效",INDEX(Equipment[驱动品牌],MATCH(B413,Equipment[组合编号],0))))</x:f>
        <x:v>Elmo</x:v>
      </x:c>
      <x:c r="E413" s="20" t="str">
        <x:v>C07</x:v>
      </x:c>
      <x:c r="F413" s="20"/>
      <x:c r="G413" s="20"/>
      <x:c r="H413" s="20" t="str">
        <x:v>待判定</x:v>
      </x:c>
      <x:c r="I413" s="20"/>
      <x:c r="J413" s="20" t="str">
        <x:v>未测试</x:v>
      </x:c>
      <x:c r="K413" s="20"/>
      <x:c r="L413" s="20"/>
      <x:c r="M413" s="20"/>
      <x:c r="N413" s="20"/>
      <x:c r="O413" s="31"/>
      <x:c r="P413" s="20"/>
      <x:c r="Q413" s="20"/>
      <x:c r="R413" s="20" t="str">
        <x:v>待展开</x:v>
      </x:c>
      <x:c r="S413" s="20"/>
      <x:c r="T413" s="31"/>
      <x:c r="U413" s="30" t="str">
        <x:f>IF(A413="","缺记录编号",IF(COUNTIFS(PathRecords[记录编号],A413)&lt;&gt;1,"记录编号重复",IF(OR(B413="",E413=""),"缺组合/功能",IF(COUNTIFS(Equipment[组合编号],B413)&lt;&gt;1,"组合编号无效",IF(COUNTIFS(FunctionMatrix[编号],E413)=0,"功能编号无效",IF(H413="不适用",IF(J413="已实测","适用性冲突",IF(I413="","待补不适用依据","不适用（非实测）")),IF(J413="阻塞",IF(I413="","待补阻塞原因","阻塞（非实测）"),IF(J413&lt;&gt;"已实测",IF(F413="","待展开路径","未实测"),IF(H413&lt;&gt;"适用","待确认适用性",IF(INDEX(Equipment[登记状态（自动）],MATCH(B413,Equipment[组合编号],0))&lt;&gt;"已登记","待补设备组合",IF(AND(F413&lt;&gt;"",G413&lt;&gt;"",K413&lt;&gt;"",L413&lt;&gt;"",M413&lt;&gt;"",N413&lt;&gt;"",ISNUMBER(O413),O413&gt;0,P413&lt;&gt;""),"记录齐全","待补实测记录")))))))))))</x:f>
        <x:v>待展开路径</x:v>
      </x:c>
    </x:row>
    <x:row r="414" ht="43.5" customHeight="1">
      <x:c r="A414" s="20" t="str">
        <x:v>REC-00405</x:v>
      </x:c>
      <x:c r="B414" s="20" t="str">
        <x:v>P1-B4-01</x:v>
      </x:c>
      <x:c r="C414" s="30" t="str">
        <x:f>IF(B414="","",IF(COUNTIFS(Equipment[组合编号],B414)&lt;&gt;1,"组合编号无效",INDEX(Equipment[PLC组],MATCH(B414,Equipment[组合编号],0))))</x:f>
        <x:v>汇川小型</x:v>
      </x:c>
      <x:c r="D414" s="30" t="str">
        <x:f>IF(B414="","",IF(COUNTIFS(Equipment[组合编号],B414)&lt;&gt;1,"组合编号无效",INDEX(Equipment[驱动品牌],MATCH(B414,Equipment[组合编号],0))))</x:f>
        <x:v>Elmo</x:v>
      </x:c>
      <x:c r="E414" s="20" t="str">
        <x:v>C08</x:v>
      </x:c>
      <x:c r="F414" s="20"/>
      <x:c r="G414" s="20"/>
      <x:c r="H414" s="20" t="str">
        <x:v>待判定</x:v>
      </x:c>
      <x:c r="I414" s="20"/>
      <x:c r="J414" s="20" t="str">
        <x:v>未测试</x:v>
      </x:c>
      <x:c r="K414" s="20"/>
      <x:c r="L414" s="20"/>
      <x:c r="M414" s="20"/>
      <x:c r="N414" s="20"/>
      <x:c r="O414" s="31"/>
      <x:c r="P414" s="20"/>
      <x:c r="Q414" s="20"/>
      <x:c r="R414" s="20" t="str">
        <x:v>待展开</x:v>
      </x:c>
      <x:c r="S414" s="20"/>
      <x:c r="T414" s="31"/>
      <x:c r="U414" s="30" t="str">
        <x:f>IF(A414="","缺记录编号",IF(COUNTIFS(PathRecords[记录编号],A414)&lt;&gt;1,"记录编号重复",IF(OR(B414="",E414=""),"缺组合/功能",IF(COUNTIFS(Equipment[组合编号],B414)&lt;&gt;1,"组合编号无效",IF(COUNTIFS(FunctionMatrix[编号],E414)=0,"功能编号无效",IF(H414="不适用",IF(J414="已实测","适用性冲突",IF(I414="","待补不适用依据","不适用（非实测）")),IF(J414="阻塞",IF(I414="","待补阻塞原因","阻塞（非实测）"),IF(J414&lt;&gt;"已实测",IF(F414="","待展开路径","未实测"),IF(H414&lt;&gt;"适用","待确认适用性",IF(INDEX(Equipment[登记状态（自动）],MATCH(B414,Equipment[组合编号],0))&lt;&gt;"已登记","待补设备组合",IF(AND(F414&lt;&gt;"",G414&lt;&gt;"",K414&lt;&gt;"",L414&lt;&gt;"",M414&lt;&gt;"",N414&lt;&gt;"",ISNUMBER(O414),O414&gt;0,P414&lt;&gt;""),"记录齐全","待补实测记录")))))))))))</x:f>
        <x:v>待展开路径</x:v>
      </x:c>
    </x:row>
    <x:row r="415" ht="43.5" customHeight="1">
      <x:c r="A415" s="20" t="str">
        <x:v>REC-00406</x:v>
      </x:c>
      <x:c r="B415" s="20" t="str">
        <x:v>P1-B4-01</x:v>
      </x:c>
      <x:c r="C415" s="30" t="str">
        <x:f>IF(B415="","",IF(COUNTIFS(Equipment[组合编号],B415)&lt;&gt;1,"组合编号无效",INDEX(Equipment[PLC组],MATCH(B415,Equipment[组合编号],0))))</x:f>
        <x:v>汇川小型</x:v>
      </x:c>
      <x:c r="D415" s="30" t="str">
        <x:f>IF(B415="","",IF(COUNTIFS(Equipment[组合编号],B415)&lt;&gt;1,"组合编号无效",INDEX(Equipment[驱动品牌],MATCH(B415,Equipment[组合编号],0))))</x:f>
        <x:v>Elmo</x:v>
      </x:c>
      <x:c r="E415" s="20" t="str">
        <x:v>C09</x:v>
      </x:c>
      <x:c r="F415" s="20"/>
      <x:c r="G415" s="20"/>
      <x:c r="H415" s="20" t="str">
        <x:v>待判定</x:v>
      </x:c>
      <x:c r="I415" s="20"/>
      <x:c r="J415" s="20" t="str">
        <x:v>未测试</x:v>
      </x:c>
      <x:c r="K415" s="20"/>
      <x:c r="L415" s="20"/>
      <x:c r="M415" s="20"/>
      <x:c r="N415" s="20"/>
      <x:c r="O415" s="31"/>
      <x:c r="P415" s="20"/>
      <x:c r="Q415" s="20"/>
      <x:c r="R415" s="20" t="str">
        <x:v>待展开</x:v>
      </x:c>
      <x:c r="S415" s="20"/>
      <x:c r="T415" s="31"/>
      <x:c r="U415" s="30" t="str">
        <x:f>IF(A415="","缺记录编号",IF(COUNTIFS(PathRecords[记录编号],A415)&lt;&gt;1,"记录编号重复",IF(OR(B415="",E415=""),"缺组合/功能",IF(COUNTIFS(Equipment[组合编号],B415)&lt;&gt;1,"组合编号无效",IF(COUNTIFS(FunctionMatrix[编号],E415)=0,"功能编号无效",IF(H415="不适用",IF(J415="已实测","适用性冲突",IF(I415="","待补不适用依据","不适用（非实测）")),IF(J415="阻塞",IF(I415="","待补阻塞原因","阻塞（非实测）"),IF(J415&lt;&gt;"已实测",IF(F415="","待展开路径","未实测"),IF(H415&lt;&gt;"适用","待确认适用性",IF(INDEX(Equipment[登记状态（自动）],MATCH(B415,Equipment[组合编号],0))&lt;&gt;"已登记","待补设备组合",IF(AND(F415&lt;&gt;"",G415&lt;&gt;"",K415&lt;&gt;"",L415&lt;&gt;"",M415&lt;&gt;"",N415&lt;&gt;"",ISNUMBER(O415),O415&gt;0,P415&lt;&gt;""),"记录齐全","待补实测记录")))))))))))</x:f>
        <x:v>待展开路径</x:v>
      </x:c>
    </x:row>
    <x:row r="416" ht="43.5" customHeight="1">
      <x:c r="A416" s="20" t="str">
        <x:v>REC-00407</x:v>
      </x:c>
      <x:c r="B416" s="20" t="str">
        <x:v>P1-B4-01</x:v>
      </x:c>
      <x:c r="C416" s="30" t="str">
        <x:f>IF(B416="","",IF(COUNTIFS(Equipment[组合编号],B416)&lt;&gt;1,"组合编号无效",INDEX(Equipment[PLC组],MATCH(B416,Equipment[组合编号],0))))</x:f>
        <x:v>汇川小型</x:v>
      </x:c>
      <x:c r="D416" s="30" t="str">
        <x:f>IF(B416="","",IF(COUNTIFS(Equipment[组合编号],B416)&lt;&gt;1,"组合编号无效",INDEX(Equipment[驱动品牌],MATCH(B416,Equipment[组合编号],0))))</x:f>
        <x:v>Elmo</x:v>
      </x:c>
      <x:c r="E416" s="20" t="str">
        <x:v>C10</x:v>
      </x:c>
      <x:c r="F416" s="20"/>
      <x:c r="G416" s="20"/>
      <x:c r="H416" s="20" t="str">
        <x:v>待判定</x:v>
      </x:c>
      <x:c r="I416" s="20"/>
      <x:c r="J416" s="20" t="str">
        <x:v>未测试</x:v>
      </x:c>
      <x:c r="K416" s="20"/>
      <x:c r="L416" s="20"/>
      <x:c r="M416" s="20"/>
      <x:c r="N416" s="20"/>
      <x:c r="O416" s="31"/>
      <x:c r="P416" s="20"/>
      <x:c r="Q416" s="20"/>
      <x:c r="R416" s="20" t="str">
        <x:v>待展开</x:v>
      </x:c>
      <x:c r="S416" s="20"/>
      <x:c r="T416" s="31"/>
      <x:c r="U416" s="30" t="str">
        <x:f>IF(A416="","缺记录编号",IF(COUNTIFS(PathRecords[记录编号],A416)&lt;&gt;1,"记录编号重复",IF(OR(B416="",E416=""),"缺组合/功能",IF(COUNTIFS(Equipment[组合编号],B416)&lt;&gt;1,"组合编号无效",IF(COUNTIFS(FunctionMatrix[编号],E416)=0,"功能编号无效",IF(H416="不适用",IF(J416="已实测","适用性冲突",IF(I416="","待补不适用依据","不适用（非实测）")),IF(J416="阻塞",IF(I416="","待补阻塞原因","阻塞（非实测）"),IF(J416&lt;&gt;"已实测",IF(F416="","待展开路径","未实测"),IF(H416&lt;&gt;"适用","待确认适用性",IF(INDEX(Equipment[登记状态（自动）],MATCH(B416,Equipment[组合编号],0))&lt;&gt;"已登记","待补设备组合",IF(AND(F416&lt;&gt;"",G416&lt;&gt;"",K416&lt;&gt;"",L416&lt;&gt;"",M416&lt;&gt;"",N416&lt;&gt;"",ISNUMBER(O416),O416&gt;0,P416&lt;&gt;""),"记录齐全","待补实测记录")))))))))))</x:f>
        <x:v>待展开路径</x:v>
      </x:c>
    </x:row>
    <x:row r="417" ht="43.5" customHeight="1">
      <x:c r="A417" s="20" t="str">
        <x:v>REC-00408</x:v>
      </x:c>
      <x:c r="B417" s="20" t="str">
        <x:v>P1-B4-01</x:v>
      </x:c>
      <x:c r="C417" s="30" t="str">
        <x:f>IF(B417="","",IF(COUNTIFS(Equipment[组合编号],B417)&lt;&gt;1,"组合编号无效",INDEX(Equipment[PLC组],MATCH(B417,Equipment[组合编号],0))))</x:f>
        <x:v>汇川小型</x:v>
      </x:c>
      <x:c r="D417" s="30" t="str">
        <x:f>IF(B417="","",IF(COUNTIFS(Equipment[组合编号],B417)&lt;&gt;1,"组合编号无效",INDEX(Equipment[驱动品牌],MATCH(B417,Equipment[组合编号],0))))</x:f>
        <x:v>Elmo</x:v>
      </x:c>
      <x:c r="E417" s="20" t="str">
        <x:v>T01</x:v>
      </x:c>
      <x:c r="F417" s="20"/>
      <x:c r="G417" s="20"/>
      <x:c r="H417" s="20" t="str">
        <x:v>待判定</x:v>
      </x:c>
      <x:c r="I417" s="20"/>
      <x:c r="J417" s="20" t="str">
        <x:v>未测试</x:v>
      </x:c>
      <x:c r="K417" s="20"/>
      <x:c r="L417" s="20"/>
      <x:c r="M417" s="20"/>
      <x:c r="N417" s="20"/>
      <x:c r="O417" s="31"/>
      <x:c r="P417" s="20"/>
      <x:c r="Q417" s="20"/>
      <x:c r="R417" s="20" t="str">
        <x:v>待展开</x:v>
      </x:c>
      <x:c r="S417" s="20"/>
      <x:c r="T417" s="31"/>
      <x:c r="U417" s="30" t="str">
        <x:f>IF(A417="","缺记录编号",IF(COUNTIFS(PathRecords[记录编号],A417)&lt;&gt;1,"记录编号重复",IF(OR(B417="",E417=""),"缺组合/功能",IF(COUNTIFS(Equipment[组合编号],B417)&lt;&gt;1,"组合编号无效",IF(COUNTIFS(FunctionMatrix[编号],E417)=0,"功能编号无效",IF(H417="不适用",IF(J417="已实测","适用性冲突",IF(I417="","待补不适用依据","不适用（非实测）")),IF(J417="阻塞",IF(I417="","待补阻塞原因","阻塞（非实测）"),IF(J417&lt;&gt;"已实测",IF(F417="","待展开路径","未实测"),IF(H417&lt;&gt;"适用","待确认适用性",IF(INDEX(Equipment[登记状态（自动）],MATCH(B417,Equipment[组合编号],0))&lt;&gt;"已登记","待补设备组合",IF(AND(F417&lt;&gt;"",G417&lt;&gt;"",K417&lt;&gt;"",L417&lt;&gt;"",M417&lt;&gt;"",N417&lt;&gt;"",ISNUMBER(O417),O417&gt;0,P417&lt;&gt;""),"记录齐全","待补实测记录")))))))))))</x:f>
        <x:v>待展开路径</x:v>
      </x:c>
    </x:row>
    <x:row r="418" ht="43.5" customHeight="1">
      <x:c r="A418" s="20" t="str">
        <x:v>REC-00409</x:v>
      </x:c>
      <x:c r="B418" s="20" t="str">
        <x:v>P1-B4-01</x:v>
      </x:c>
      <x:c r="C418" s="30" t="str">
        <x:f>IF(B418="","",IF(COUNTIFS(Equipment[组合编号],B418)&lt;&gt;1,"组合编号无效",INDEX(Equipment[PLC组],MATCH(B418,Equipment[组合编号],0))))</x:f>
        <x:v>汇川小型</x:v>
      </x:c>
      <x:c r="D418" s="30" t="str">
        <x:f>IF(B418="","",IF(COUNTIFS(Equipment[组合编号],B418)&lt;&gt;1,"组合编号无效",INDEX(Equipment[驱动品牌],MATCH(B418,Equipment[组合编号],0))))</x:f>
        <x:v>Elmo</x:v>
      </x:c>
      <x:c r="E418" s="20" t="str">
        <x:v>T02</x:v>
      </x:c>
      <x:c r="F418" s="20"/>
      <x:c r="G418" s="20"/>
      <x:c r="H418" s="20" t="str">
        <x:v>待判定</x:v>
      </x:c>
      <x:c r="I418" s="20"/>
      <x:c r="J418" s="20" t="str">
        <x:v>未测试</x:v>
      </x:c>
      <x:c r="K418" s="20"/>
      <x:c r="L418" s="20"/>
      <x:c r="M418" s="20"/>
      <x:c r="N418" s="20"/>
      <x:c r="O418" s="31"/>
      <x:c r="P418" s="20"/>
      <x:c r="Q418" s="20"/>
      <x:c r="R418" s="20" t="str">
        <x:v>待展开</x:v>
      </x:c>
      <x:c r="S418" s="20"/>
      <x:c r="T418" s="31"/>
      <x:c r="U418" s="30" t="str">
        <x:f>IF(A418="","缺记录编号",IF(COUNTIFS(PathRecords[记录编号],A418)&lt;&gt;1,"记录编号重复",IF(OR(B418="",E418=""),"缺组合/功能",IF(COUNTIFS(Equipment[组合编号],B418)&lt;&gt;1,"组合编号无效",IF(COUNTIFS(FunctionMatrix[编号],E418)=0,"功能编号无效",IF(H418="不适用",IF(J418="已实测","适用性冲突",IF(I418="","待补不适用依据","不适用（非实测）")),IF(J418="阻塞",IF(I418="","待补阻塞原因","阻塞（非实测）"),IF(J418&lt;&gt;"已实测",IF(F418="","待展开路径","未实测"),IF(H418&lt;&gt;"适用","待确认适用性",IF(INDEX(Equipment[登记状态（自动）],MATCH(B418,Equipment[组合编号],0))&lt;&gt;"已登记","待补设备组合",IF(AND(F418&lt;&gt;"",G418&lt;&gt;"",K418&lt;&gt;"",L418&lt;&gt;"",M418&lt;&gt;"",N418&lt;&gt;"",ISNUMBER(O418),O418&gt;0,P418&lt;&gt;""),"记录齐全","待补实测记录")))))))))))</x:f>
        <x:v>待展开路径</x:v>
      </x:c>
    </x:row>
    <x:row r="419" ht="43.5" customHeight="1">
      <x:c r="A419" s="20" t="str">
        <x:v>REC-00410</x:v>
      </x:c>
      <x:c r="B419" s="20" t="str">
        <x:v>P1-B4-01</x:v>
      </x:c>
      <x:c r="C419" s="30" t="str">
        <x:f>IF(B419="","",IF(COUNTIFS(Equipment[组合编号],B419)&lt;&gt;1,"组合编号无效",INDEX(Equipment[PLC组],MATCH(B419,Equipment[组合编号],0))))</x:f>
        <x:v>汇川小型</x:v>
      </x:c>
      <x:c r="D419" s="30" t="str">
        <x:f>IF(B419="","",IF(COUNTIFS(Equipment[组合编号],B419)&lt;&gt;1,"组合编号无效",INDEX(Equipment[驱动品牌],MATCH(B419,Equipment[组合编号],0))))</x:f>
        <x:v>Elmo</x:v>
      </x:c>
      <x:c r="E419" s="20" t="str">
        <x:v>T03</x:v>
      </x:c>
      <x:c r="F419" s="20"/>
      <x:c r="G419" s="20"/>
      <x:c r="H419" s="20" t="str">
        <x:v>待判定</x:v>
      </x:c>
      <x:c r="I419" s="20"/>
      <x:c r="J419" s="20" t="str">
        <x:v>未测试</x:v>
      </x:c>
      <x:c r="K419" s="20"/>
      <x:c r="L419" s="20"/>
      <x:c r="M419" s="20"/>
      <x:c r="N419" s="20"/>
      <x:c r="O419" s="31"/>
      <x:c r="P419" s="20"/>
      <x:c r="Q419" s="20"/>
      <x:c r="R419" s="20" t="str">
        <x:v>待展开</x:v>
      </x:c>
      <x:c r="S419" s="20"/>
      <x:c r="T419" s="31"/>
      <x:c r="U419" s="30" t="str">
        <x:f>IF(A419="","缺记录编号",IF(COUNTIFS(PathRecords[记录编号],A419)&lt;&gt;1,"记录编号重复",IF(OR(B419="",E419=""),"缺组合/功能",IF(COUNTIFS(Equipment[组合编号],B419)&lt;&gt;1,"组合编号无效",IF(COUNTIFS(FunctionMatrix[编号],E419)=0,"功能编号无效",IF(H419="不适用",IF(J419="已实测","适用性冲突",IF(I419="","待补不适用依据","不适用（非实测）")),IF(J419="阻塞",IF(I419="","待补阻塞原因","阻塞（非实测）"),IF(J419&lt;&gt;"已实测",IF(F419="","待展开路径","未实测"),IF(H419&lt;&gt;"适用","待确认适用性",IF(INDEX(Equipment[登记状态（自动）],MATCH(B419,Equipment[组合编号],0))&lt;&gt;"已登记","待补设备组合",IF(AND(F419&lt;&gt;"",G419&lt;&gt;"",K419&lt;&gt;"",L419&lt;&gt;"",M419&lt;&gt;"",N419&lt;&gt;"",ISNUMBER(O419),O419&gt;0,P419&lt;&gt;""),"记录齐全","待补实测记录")))))))))))</x:f>
        <x:v>待展开路径</x:v>
      </x:c>
    </x:row>
    <x:row r="420" ht="43.5" customHeight="1">
      <x:c r="A420" s="20" t="str">
        <x:v>REC-00411</x:v>
      </x:c>
      <x:c r="B420" s="20" t="str">
        <x:v>P1-B4-01</x:v>
      </x:c>
      <x:c r="C420" s="30" t="str">
        <x:f>IF(B420="","",IF(COUNTIFS(Equipment[组合编号],B420)&lt;&gt;1,"组合编号无效",INDEX(Equipment[PLC组],MATCH(B420,Equipment[组合编号],0))))</x:f>
        <x:v>汇川小型</x:v>
      </x:c>
      <x:c r="D420" s="30" t="str">
        <x:f>IF(B420="","",IF(COUNTIFS(Equipment[组合编号],B420)&lt;&gt;1,"组合编号无效",INDEX(Equipment[驱动品牌],MATCH(B420,Equipment[组合编号],0))))</x:f>
        <x:v>Elmo</x:v>
      </x:c>
      <x:c r="E420" s="20" t="str">
        <x:v>T04</x:v>
      </x:c>
      <x:c r="F420" s="20"/>
      <x:c r="G420" s="20"/>
      <x:c r="H420" s="20" t="str">
        <x:v>待判定</x:v>
      </x:c>
      <x:c r="I420" s="20"/>
      <x:c r="J420" s="20" t="str">
        <x:v>未测试</x:v>
      </x:c>
      <x:c r="K420" s="20"/>
      <x:c r="L420" s="20"/>
      <x:c r="M420" s="20"/>
      <x:c r="N420" s="20"/>
      <x:c r="O420" s="31"/>
      <x:c r="P420" s="20"/>
      <x:c r="Q420" s="20"/>
      <x:c r="R420" s="20" t="str">
        <x:v>待展开</x:v>
      </x:c>
      <x:c r="S420" s="20"/>
      <x:c r="T420" s="31"/>
      <x:c r="U420" s="30" t="str">
        <x:f>IF(A420="","缺记录编号",IF(COUNTIFS(PathRecords[记录编号],A420)&lt;&gt;1,"记录编号重复",IF(OR(B420="",E420=""),"缺组合/功能",IF(COUNTIFS(Equipment[组合编号],B420)&lt;&gt;1,"组合编号无效",IF(COUNTIFS(FunctionMatrix[编号],E420)=0,"功能编号无效",IF(H420="不适用",IF(J420="已实测","适用性冲突",IF(I420="","待补不适用依据","不适用（非实测）")),IF(J420="阻塞",IF(I420="","待补阻塞原因","阻塞（非实测）"),IF(J420&lt;&gt;"已实测",IF(F420="","待展开路径","未实测"),IF(H420&lt;&gt;"适用","待确认适用性",IF(INDEX(Equipment[登记状态（自动）],MATCH(B420,Equipment[组合编号],0))&lt;&gt;"已登记","待补设备组合",IF(AND(F420&lt;&gt;"",G420&lt;&gt;"",K420&lt;&gt;"",L420&lt;&gt;"",M420&lt;&gt;"",N420&lt;&gt;"",ISNUMBER(O420),O420&gt;0,P420&lt;&gt;""),"记录齐全","待补实测记录")))))))))))</x:f>
        <x:v>待展开路径</x:v>
      </x:c>
    </x:row>
    <x:row r="421" ht="43.5" customHeight="1">
      <x:c r="A421" s="20" t="str">
        <x:v>REC-00412</x:v>
      </x:c>
      <x:c r="B421" s="20" t="str">
        <x:v>P1-B4-01</x:v>
      </x:c>
      <x:c r="C421" s="30" t="str">
        <x:f>IF(B421="","",IF(COUNTIFS(Equipment[组合编号],B421)&lt;&gt;1,"组合编号无效",INDEX(Equipment[PLC组],MATCH(B421,Equipment[组合编号],0))))</x:f>
        <x:v>汇川小型</x:v>
      </x:c>
      <x:c r="D421" s="30" t="str">
        <x:f>IF(B421="","",IF(COUNTIFS(Equipment[组合编号],B421)&lt;&gt;1,"组合编号无效",INDEX(Equipment[驱动品牌],MATCH(B421,Equipment[组合编号],0))))</x:f>
        <x:v>Elmo</x:v>
      </x:c>
      <x:c r="E421" s="20" t="str">
        <x:v>T05</x:v>
      </x:c>
      <x:c r="F421" s="20"/>
      <x:c r="G421" s="20"/>
      <x:c r="H421" s="20" t="str">
        <x:v>待判定</x:v>
      </x:c>
      <x:c r="I421" s="20"/>
      <x:c r="J421" s="20" t="str">
        <x:v>未测试</x:v>
      </x:c>
      <x:c r="K421" s="20"/>
      <x:c r="L421" s="20"/>
      <x:c r="M421" s="20"/>
      <x:c r="N421" s="20"/>
      <x:c r="O421" s="31"/>
      <x:c r="P421" s="20"/>
      <x:c r="Q421" s="20"/>
      <x:c r="R421" s="20" t="str">
        <x:v>待展开</x:v>
      </x:c>
      <x:c r="S421" s="20"/>
      <x:c r="T421" s="31"/>
      <x:c r="U421" s="30" t="str">
        <x:f>IF(A421="","缺记录编号",IF(COUNTIFS(PathRecords[记录编号],A421)&lt;&gt;1,"记录编号重复",IF(OR(B421="",E421=""),"缺组合/功能",IF(COUNTIFS(Equipment[组合编号],B421)&lt;&gt;1,"组合编号无效",IF(COUNTIFS(FunctionMatrix[编号],E421)=0,"功能编号无效",IF(H421="不适用",IF(J421="已实测","适用性冲突",IF(I421="","待补不适用依据","不适用（非实测）")),IF(J421="阻塞",IF(I421="","待补阻塞原因","阻塞（非实测）"),IF(J421&lt;&gt;"已实测",IF(F421="","待展开路径","未实测"),IF(H421&lt;&gt;"适用","待确认适用性",IF(INDEX(Equipment[登记状态（自动）],MATCH(B421,Equipment[组合编号],0))&lt;&gt;"已登记","待补设备组合",IF(AND(F421&lt;&gt;"",G421&lt;&gt;"",K421&lt;&gt;"",L421&lt;&gt;"",M421&lt;&gt;"",N421&lt;&gt;"",ISNUMBER(O421),O421&gt;0,P421&lt;&gt;""),"记录齐全","待补实测记录")))))))))))</x:f>
        <x:v>待展开路径</x:v>
      </x:c>
    </x:row>
    <x:row r="422" ht="43.5" customHeight="1">
      <x:c r="A422" s="20" t="str">
        <x:v>REC-00413</x:v>
      </x:c>
      <x:c r="B422" s="20" t="str">
        <x:v>P1-B4-01</x:v>
      </x:c>
      <x:c r="C422" s="30" t="str">
        <x:f>IF(B422="","",IF(COUNTIFS(Equipment[组合编号],B422)&lt;&gt;1,"组合编号无效",INDEX(Equipment[PLC组],MATCH(B422,Equipment[组合编号],0))))</x:f>
        <x:v>汇川小型</x:v>
      </x:c>
      <x:c r="D422" s="30" t="str">
        <x:f>IF(B422="","",IF(COUNTIFS(Equipment[组合编号],B422)&lt;&gt;1,"组合编号无效",INDEX(Equipment[驱动品牌],MATCH(B422,Equipment[组合编号],0))))</x:f>
        <x:v>Elmo</x:v>
      </x:c>
      <x:c r="E422" s="20" t="str">
        <x:v>T06</x:v>
      </x:c>
      <x:c r="F422" s="20"/>
      <x:c r="G422" s="20"/>
      <x:c r="H422" s="20" t="str">
        <x:v>待判定</x:v>
      </x:c>
      <x:c r="I422" s="20"/>
      <x:c r="J422" s="20" t="str">
        <x:v>未测试</x:v>
      </x:c>
      <x:c r="K422" s="20"/>
      <x:c r="L422" s="20"/>
      <x:c r="M422" s="20"/>
      <x:c r="N422" s="20"/>
      <x:c r="O422" s="31"/>
      <x:c r="P422" s="20"/>
      <x:c r="Q422" s="20"/>
      <x:c r="R422" s="20" t="str">
        <x:v>待展开</x:v>
      </x:c>
      <x:c r="S422" s="20"/>
      <x:c r="T422" s="31"/>
      <x:c r="U422" s="30" t="str">
        <x:f>IF(A422="","缺记录编号",IF(COUNTIFS(PathRecords[记录编号],A422)&lt;&gt;1,"记录编号重复",IF(OR(B422="",E422=""),"缺组合/功能",IF(COUNTIFS(Equipment[组合编号],B422)&lt;&gt;1,"组合编号无效",IF(COUNTIFS(FunctionMatrix[编号],E422)=0,"功能编号无效",IF(H422="不适用",IF(J422="已实测","适用性冲突",IF(I422="","待补不适用依据","不适用（非实测）")),IF(J422="阻塞",IF(I422="","待补阻塞原因","阻塞（非实测）"),IF(J422&lt;&gt;"已实测",IF(F422="","待展开路径","未实测"),IF(H422&lt;&gt;"适用","待确认适用性",IF(INDEX(Equipment[登记状态（自动）],MATCH(B422,Equipment[组合编号],0))&lt;&gt;"已登记","待补设备组合",IF(AND(F422&lt;&gt;"",G422&lt;&gt;"",K422&lt;&gt;"",L422&lt;&gt;"",M422&lt;&gt;"",N422&lt;&gt;"",ISNUMBER(O422),O422&gt;0,P422&lt;&gt;""),"记录齐全","待补实测记录")))))))))))</x:f>
        <x:v>待展开路径</x:v>
      </x:c>
    </x:row>
    <x:row r="423" ht="43.5" customHeight="1">
      <x:c r="A423" s="20" t="str">
        <x:v>REC-00414</x:v>
      </x:c>
      <x:c r="B423" s="20" t="str">
        <x:v>P1-B4-01</x:v>
      </x:c>
      <x:c r="C423" s="30" t="str">
        <x:f>IF(B423="","",IF(COUNTIFS(Equipment[组合编号],B423)&lt;&gt;1,"组合编号无效",INDEX(Equipment[PLC组],MATCH(B423,Equipment[组合编号],0))))</x:f>
        <x:v>汇川小型</x:v>
      </x:c>
      <x:c r="D423" s="30" t="str">
        <x:f>IF(B423="","",IF(COUNTIFS(Equipment[组合编号],B423)&lt;&gt;1,"组合编号无效",INDEX(Equipment[驱动品牌],MATCH(B423,Equipment[组合编号],0))))</x:f>
        <x:v>Elmo</x:v>
      </x:c>
      <x:c r="E423" s="20" t="str">
        <x:v>T07</x:v>
      </x:c>
      <x:c r="F423" s="20"/>
      <x:c r="G423" s="20"/>
      <x:c r="H423" s="20" t="str">
        <x:v>待判定</x:v>
      </x:c>
      <x:c r="I423" s="20"/>
      <x:c r="J423" s="20" t="str">
        <x:v>未测试</x:v>
      </x:c>
      <x:c r="K423" s="20"/>
      <x:c r="L423" s="20"/>
      <x:c r="M423" s="20"/>
      <x:c r="N423" s="20"/>
      <x:c r="O423" s="31"/>
      <x:c r="P423" s="20"/>
      <x:c r="Q423" s="20"/>
      <x:c r="R423" s="20" t="str">
        <x:v>待展开</x:v>
      </x:c>
      <x:c r="S423" s="20"/>
      <x:c r="T423" s="31"/>
      <x:c r="U423" s="30" t="str">
        <x:f>IF(A423="","缺记录编号",IF(COUNTIFS(PathRecords[记录编号],A423)&lt;&gt;1,"记录编号重复",IF(OR(B423="",E423=""),"缺组合/功能",IF(COUNTIFS(Equipment[组合编号],B423)&lt;&gt;1,"组合编号无效",IF(COUNTIFS(FunctionMatrix[编号],E423)=0,"功能编号无效",IF(H423="不适用",IF(J423="已实测","适用性冲突",IF(I423="","待补不适用依据","不适用（非实测）")),IF(J423="阻塞",IF(I423="","待补阻塞原因","阻塞（非实测）"),IF(J423&lt;&gt;"已实测",IF(F423="","待展开路径","未实测"),IF(H423&lt;&gt;"适用","待确认适用性",IF(INDEX(Equipment[登记状态（自动）],MATCH(B423,Equipment[组合编号],0))&lt;&gt;"已登记","待补设备组合",IF(AND(F423&lt;&gt;"",G423&lt;&gt;"",K423&lt;&gt;"",L423&lt;&gt;"",M423&lt;&gt;"",N423&lt;&gt;"",ISNUMBER(O423),O423&gt;0,P423&lt;&gt;""),"记录齐全","待补实测记录")))))))))))</x:f>
        <x:v>待展开路径</x:v>
      </x:c>
    </x:row>
    <x:row r="424" ht="43.5" customHeight="1">
      <x:c r="A424" s="20" t="str">
        <x:v>REC-00415</x:v>
      </x:c>
      <x:c r="B424" s="20" t="str">
        <x:v>P1-B4-01</x:v>
      </x:c>
      <x:c r="C424" s="30" t="str">
        <x:f>IF(B424="","",IF(COUNTIFS(Equipment[组合编号],B424)&lt;&gt;1,"组合编号无效",INDEX(Equipment[PLC组],MATCH(B424,Equipment[组合编号],0))))</x:f>
        <x:v>汇川小型</x:v>
      </x:c>
      <x:c r="D424" s="30" t="str">
        <x:f>IF(B424="","",IF(COUNTIFS(Equipment[组合编号],B424)&lt;&gt;1,"组合编号无效",INDEX(Equipment[驱动品牌],MATCH(B424,Equipment[组合编号],0))))</x:f>
        <x:v>Elmo</x:v>
      </x:c>
      <x:c r="E424" s="20" t="str">
        <x:v>T08</x:v>
      </x:c>
      <x:c r="F424" s="20"/>
      <x:c r="G424" s="20"/>
      <x:c r="H424" s="20" t="str">
        <x:v>待判定</x:v>
      </x:c>
      <x:c r="I424" s="20"/>
      <x:c r="J424" s="20" t="str">
        <x:v>未测试</x:v>
      </x:c>
      <x:c r="K424" s="20"/>
      <x:c r="L424" s="20"/>
      <x:c r="M424" s="20"/>
      <x:c r="N424" s="20"/>
      <x:c r="O424" s="31"/>
      <x:c r="P424" s="20"/>
      <x:c r="Q424" s="20"/>
      <x:c r="R424" s="20" t="str">
        <x:v>待展开</x:v>
      </x:c>
      <x:c r="S424" s="20"/>
      <x:c r="T424" s="31"/>
      <x:c r="U424" s="30" t="str">
        <x:f>IF(A424="","缺记录编号",IF(COUNTIFS(PathRecords[记录编号],A424)&lt;&gt;1,"记录编号重复",IF(OR(B424="",E424=""),"缺组合/功能",IF(COUNTIFS(Equipment[组合编号],B424)&lt;&gt;1,"组合编号无效",IF(COUNTIFS(FunctionMatrix[编号],E424)=0,"功能编号无效",IF(H424="不适用",IF(J424="已实测","适用性冲突",IF(I424="","待补不适用依据","不适用（非实测）")),IF(J424="阻塞",IF(I424="","待补阻塞原因","阻塞（非实测）"),IF(J424&lt;&gt;"已实测",IF(F424="","待展开路径","未实测"),IF(H424&lt;&gt;"适用","待确认适用性",IF(INDEX(Equipment[登记状态（自动）],MATCH(B424,Equipment[组合编号],0))&lt;&gt;"已登记","待补设备组合",IF(AND(F424&lt;&gt;"",G424&lt;&gt;"",K424&lt;&gt;"",L424&lt;&gt;"",M424&lt;&gt;"",N424&lt;&gt;"",ISNUMBER(O424),O424&gt;0,P424&lt;&gt;""),"记录齐全","待补实测记录")))))))))))</x:f>
        <x:v>待展开路径</x:v>
      </x:c>
    </x:row>
    <x:row r="425" ht="43.5" customHeight="1">
      <x:c r="A425" s="20" t="str">
        <x:v>REC-00416</x:v>
      </x:c>
      <x:c r="B425" s="20" t="str">
        <x:v>P1-B4-01</x:v>
      </x:c>
      <x:c r="C425" s="30" t="str">
        <x:f>IF(B425="","",IF(COUNTIFS(Equipment[组合编号],B425)&lt;&gt;1,"组合编号无效",INDEX(Equipment[PLC组],MATCH(B425,Equipment[组合编号],0))))</x:f>
        <x:v>汇川小型</x:v>
      </x:c>
      <x:c r="D425" s="30" t="str">
        <x:f>IF(B425="","",IF(COUNTIFS(Equipment[组合编号],B425)&lt;&gt;1,"组合编号无效",INDEX(Equipment[驱动品牌],MATCH(B425,Equipment[组合编号],0))))</x:f>
        <x:v>Elmo</x:v>
      </x:c>
      <x:c r="E425" s="20" t="str">
        <x:v>T09</x:v>
      </x:c>
      <x:c r="F425" s="20"/>
      <x:c r="G425" s="20"/>
      <x:c r="H425" s="20" t="str">
        <x:v>待判定</x:v>
      </x:c>
      <x:c r="I425" s="20"/>
      <x:c r="J425" s="20" t="str">
        <x:v>未测试</x:v>
      </x:c>
      <x:c r="K425" s="20"/>
      <x:c r="L425" s="20"/>
      <x:c r="M425" s="20"/>
      <x:c r="N425" s="20"/>
      <x:c r="O425" s="31"/>
      <x:c r="P425" s="20"/>
      <x:c r="Q425" s="20"/>
      <x:c r="R425" s="20" t="str">
        <x:v>待展开</x:v>
      </x:c>
      <x:c r="S425" s="20"/>
      <x:c r="T425" s="31"/>
      <x:c r="U425" s="30" t="str">
        <x:f>IF(A425="","缺记录编号",IF(COUNTIFS(PathRecords[记录编号],A425)&lt;&gt;1,"记录编号重复",IF(OR(B425="",E425=""),"缺组合/功能",IF(COUNTIFS(Equipment[组合编号],B425)&lt;&gt;1,"组合编号无效",IF(COUNTIFS(FunctionMatrix[编号],E425)=0,"功能编号无效",IF(H425="不适用",IF(J425="已实测","适用性冲突",IF(I425="","待补不适用依据","不适用（非实测）")),IF(J425="阻塞",IF(I425="","待补阻塞原因","阻塞（非实测）"),IF(J425&lt;&gt;"已实测",IF(F425="","待展开路径","未实测"),IF(H425&lt;&gt;"适用","待确认适用性",IF(INDEX(Equipment[登记状态（自动）],MATCH(B425,Equipment[组合编号],0))&lt;&gt;"已登记","待补设备组合",IF(AND(F425&lt;&gt;"",G425&lt;&gt;"",K425&lt;&gt;"",L425&lt;&gt;"",M425&lt;&gt;"",N425&lt;&gt;"",ISNUMBER(O425),O425&gt;0,P425&lt;&gt;""),"记录齐全","待补实测记录")))))))))))</x:f>
        <x:v>待展开路径</x:v>
      </x:c>
    </x:row>
    <x:row r="426" ht="43.5" customHeight="1">
      <x:c r="A426" s="20" t="str">
        <x:v>REC-00417</x:v>
      </x:c>
      <x:c r="B426" s="20" t="str">
        <x:v>P1-B4-01</x:v>
      </x:c>
      <x:c r="C426" s="30" t="str">
        <x:f>IF(B426="","",IF(COUNTIFS(Equipment[组合编号],B426)&lt;&gt;1,"组合编号无效",INDEX(Equipment[PLC组],MATCH(B426,Equipment[组合编号],0))))</x:f>
        <x:v>汇川小型</x:v>
      </x:c>
      <x:c r="D426" s="30" t="str">
        <x:f>IF(B426="","",IF(COUNTIFS(Equipment[组合编号],B426)&lt;&gt;1,"组合编号无效",INDEX(Equipment[驱动品牌],MATCH(B426,Equipment[组合编号],0))))</x:f>
        <x:v>Elmo</x:v>
      </x:c>
      <x:c r="E426" s="20" t="str">
        <x:v>R01</x:v>
      </x:c>
      <x:c r="F426" s="20"/>
      <x:c r="G426" s="20"/>
      <x:c r="H426" s="20" t="str">
        <x:v>待判定</x:v>
      </x:c>
      <x:c r="I426" s="20"/>
      <x:c r="J426" s="20" t="str">
        <x:v>未测试</x:v>
      </x:c>
      <x:c r="K426" s="20"/>
      <x:c r="L426" s="20"/>
      <x:c r="M426" s="20"/>
      <x:c r="N426" s="20"/>
      <x:c r="O426" s="31"/>
      <x:c r="P426" s="20"/>
      <x:c r="Q426" s="20"/>
      <x:c r="R426" s="20" t="str">
        <x:v>待展开</x:v>
      </x:c>
      <x:c r="S426" s="20"/>
      <x:c r="T426" s="31"/>
      <x:c r="U426" s="30" t="str">
        <x:f>IF(A426="","缺记录编号",IF(COUNTIFS(PathRecords[记录编号],A426)&lt;&gt;1,"记录编号重复",IF(OR(B426="",E426=""),"缺组合/功能",IF(COUNTIFS(Equipment[组合编号],B426)&lt;&gt;1,"组合编号无效",IF(COUNTIFS(FunctionMatrix[编号],E426)=0,"功能编号无效",IF(H426="不适用",IF(J426="已实测","适用性冲突",IF(I426="","待补不适用依据","不适用（非实测）")),IF(J426="阻塞",IF(I426="","待补阻塞原因","阻塞（非实测）"),IF(J426&lt;&gt;"已实测",IF(F426="","待展开路径","未实测"),IF(H426&lt;&gt;"适用","待确认适用性",IF(INDEX(Equipment[登记状态（自动）],MATCH(B426,Equipment[组合编号],0))&lt;&gt;"已登记","待补设备组合",IF(AND(F426&lt;&gt;"",G426&lt;&gt;"",K426&lt;&gt;"",L426&lt;&gt;"",M426&lt;&gt;"",N426&lt;&gt;"",ISNUMBER(O426),O426&gt;0,P426&lt;&gt;""),"记录齐全","待补实测记录")))))))))))</x:f>
        <x:v>待展开路径</x:v>
      </x:c>
    </x:row>
    <x:row r="427" ht="43.5" customHeight="1">
      <x:c r="A427" s="20" t="str">
        <x:v>REC-00418</x:v>
      </x:c>
      <x:c r="B427" s="20" t="str">
        <x:v>P1-B4-01</x:v>
      </x:c>
      <x:c r="C427" s="30" t="str">
        <x:f>IF(B427="","",IF(COUNTIFS(Equipment[组合编号],B427)&lt;&gt;1,"组合编号无效",INDEX(Equipment[PLC组],MATCH(B427,Equipment[组合编号],0))))</x:f>
        <x:v>汇川小型</x:v>
      </x:c>
      <x:c r="D427" s="30" t="str">
        <x:f>IF(B427="","",IF(COUNTIFS(Equipment[组合编号],B427)&lt;&gt;1,"组合编号无效",INDEX(Equipment[驱动品牌],MATCH(B427,Equipment[组合编号],0))))</x:f>
        <x:v>Elmo</x:v>
      </x:c>
      <x:c r="E427" s="20" t="str">
        <x:v>R02</x:v>
      </x:c>
      <x:c r="F427" s="20"/>
      <x:c r="G427" s="20"/>
      <x:c r="H427" s="20" t="str">
        <x:v>待判定</x:v>
      </x:c>
      <x:c r="I427" s="20"/>
      <x:c r="J427" s="20" t="str">
        <x:v>未测试</x:v>
      </x:c>
      <x:c r="K427" s="20"/>
      <x:c r="L427" s="20"/>
      <x:c r="M427" s="20"/>
      <x:c r="N427" s="20"/>
      <x:c r="O427" s="31"/>
      <x:c r="P427" s="20"/>
      <x:c r="Q427" s="20"/>
      <x:c r="R427" s="20" t="str">
        <x:v>待展开</x:v>
      </x:c>
      <x:c r="S427" s="20"/>
      <x:c r="T427" s="31"/>
      <x:c r="U427" s="30" t="str">
        <x:f>IF(A427="","缺记录编号",IF(COUNTIFS(PathRecords[记录编号],A427)&lt;&gt;1,"记录编号重复",IF(OR(B427="",E427=""),"缺组合/功能",IF(COUNTIFS(Equipment[组合编号],B427)&lt;&gt;1,"组合编号无效",IF(COUNTIFS(FunctionMatrix[编号],E427)=0,"功能编号无效",IF(H427="不适用",IF(J427="已实测","适用性冲突",IF(I427="","待补不适用依据","不适用（非实测）")),IF(J427="阻塞",IF(I427="","待补阻塞原因","阻塞（非实测）"),IF(J427&lt;&gt;"已实测",IF(F427="","待展开路径","未实测"),IF(H427&lt;&gt;"适用","待确认适用性",IF(INDEX(Equipment[登记状态（自动）],MATCH(B427,Equipment[组合编号],0))&lt;&gt;"已登记","待补设备组合",IF(AND(F427&lt;&gt;"",G427&lt;&gt;"",K427&lt;&gt;"",L427&lt;&gt;"",M427&lt;&gt;"",N427&lt;&gt;"",ISNUMBER(O427),O427&gt;0,P427&lt;&gt;""),"记录齐全","待补实测记录")))))))))))</x:f>
        <x:v>待展开路径</x:v>
      </x:c>
    </x:row>
    <x:row r="428" ht="43.5" customHeight="1">
      <x:c r="A428" s="20" t="str">
        <x:v>REC-00419</x:v>
      </x:c>
      <x:c r="B428" s="20" t="str">
        <x:v>P1-B4-01</x:v>
      </x:c>
      <x:c r="C428" s="30" t="str">
        <x:f>IF(B428="","",IF(COUNTIFS(Equipment[组合编号],B428)&lt;&gt;1,"组合编号无效",INDEX(Equipment[PLC组],MATCH(B428,Equipment[组合编号],0))))</x:f>
        <x:v>汇川小型</x:v>
      </x:c>
      <x:c r="D428" s="30" t="str">
        <x:f>IF(B428="","",IF(COUNTIFS(Equipment[组合编号],B428)&lt;&gt;1,"组合编号无效",INDEX(Equipment[驱动品牌],MATCH(B428,Equipment[组合编号],0))))</x:f>
        <x:v>Elmo</x:v>
      </x:c>
      <x:c r="E428" s="20" t="str">
        <x:v>R03</x:v>
      </x:c>
      <x:c r="F428" s="20"/>
      <x:c r="G428" s="20"/>
      <x:c r="H428" s="20" t="str">
        <x:v>待判定</x:v>
      </x:c>
      <x:c r="I428" s="20"/>
      <x:c r="J428" s="20" t="str">
        <x:v>未测试</x:v>
      </x:c>
      <x:c r="K428" s="20"/>
      <x:c r="L428" s="20"/>
      <x:c r="M428" s="20"/>
      <x:c r="N428" s="20"/>
      <x:c r="O428" s="31"/>
      <x:c r="P428" s="20"/>
      <x:c r="Q428" s="20"/>
      <x:c r="R428" s="20" t="str">
        <x:v>待展开</x:v>
      </x:c>
      <x:c r="S428" s="20"/>
      <x:c r="T428" s="31"/>
      <x:c r="U428" s="30" t="str">
        <x:f>IF(A428="","缺记录编号",IF(COUNTIFS(PathRecords[记录编号],A428)&lt;&gt;1,"记录编号重复",IF(OR(B428="",E428=""),"缺组合/功能",IF(COUNTIFS(Equipment[组合编号],B428)&lt;&gt;1,"组合编号无效",IF(COUNTIFS(FunctionMatrix[编号],E428)=0,"功能编号无效",IF(H428="不适用",IF(J428="已实测","适用性冲突",IF(I428="","待补不适用依据","不适用（非实测）")),IF(J428="阻塞",IF(I428="","待补阻塞原因","阻塞（非实测）"),IF(J428&lt;&gt;"已实测",IF(F428="","待展开路径","未实测"),IF(H428&lt;&gt;"适用","待确认适用性",IF(INDEX(Equipment[登记状态（自动）],MATCH(B428,Equipment[组合编号],0))&lt;&gt;"已登记","待补设备组合",IF(AND(F428&lt;&gt;"",G428&lt;&gt;"",K428&lt;&gt;"",L428&lt;&gt;"",M428&lt;&gt;"",N428&lt;&gt;"",ISNUMBER(O428),O428&gt;0,P428&lt;&gt;""),"记录齐全","待补实测记录")))))))))))</x:f>
        <x:v>待展开路径</x:v>
      </x:c>
    </x:row>
    <x:row r="429" ht="43.5" customHeight="1">
      <x:c r="A429" s="20" t="str">
        <x:v>REC-00420</x:v>
      </x:c>
      <x:c r="B429" s="20" t="str">
        <x:v>P1-B4-01</x:v>
      </x:c>
      <x:c r="C429" s="30" t="str">
        <x:f>IF(B429="","",IF(COUNTIFS(Equipment[组合编号],B429)&lt;&gt;1,"组合编号无效",INDEX(Equipment[PLC组],MATCH(B429,Equipment[组合编号],0))))</x:f>
        <x:v>汇川小型</x:v>
      </x:c>
      <x:c r="D429" s="30" t="str">
        <x:f>IF(B429="","",IF(COUNTIFS(Equipment[组合编号],B429)&lt;&gt;1,"组合编号无效",INDEX(Equipment[驱动品牌],MATCH(B429,Equipment[组合编号],0))))</x:f>
        <x:v>Elmo</x:v>
      </x:c>
      <x:c r="E429" s="20" t="str">
        <x:v>R04</x:v>
      </x:c>
      <x:c r="F429" s="20"/>
      <x:c r="G429" s="20"/>
      <x:c r="H429" s="20" t="str">
        <x:v>待判定</x:v>
      </x:c>
      <x:c r="I429" s="20"/>
      <x:c r="J429" s="20" t="str">
        <x:v>未测试</x:v>
      </x:c>
      <x:c r="K429" s="20"/>
      <x:c r="L429" s="20"/>
      <x:c r="M429" s="20"/>
      <x:c r="N429" s="20"/>
      <x:c r="O429" s="31"/>
      <x:c r="P429" s="20"/>
      <x:c r="Q429" s="20"/>
      <x:c r="R429" s="20" t="str">
        <x:v>待展开</x:v>
      </x:c>
      <x:c r="S429" s="20"/>
      <x:c r="T429" s="31"/>
      <x:c r="U429" s="30" t="str">
        <x:f>IF(A429="","缺记录编号",IF(COUNTIFS(PathRecords[记录编号],A429)&lt;&gt;1,"记录编号重复",IF(OR(B429="",E429=""),"缺组合/功能",IF(COUNTIFS(Equipment[组合编号],B429)&lt;&gt;1,"组合编号无效",IF(COUNTIFS(FunctionMatrix[编号],E429)=0,"功能编号无效",IF(H429="不适用",IF(J429="已实测","适用性冲突",IF(I429="","待补不适用依据","不适用（非实测）")),IF(J429="阻塞",IF(I429="","待补阻塞原因","阻塞（非实测）"),IF(J429&lt;&gt;"已实测",IF(F429="","待展开路径","未实测"),IF(H429&lt;&gt;"适用","待确认适用性",IF(INDEX(Equipment[登记状态（自动）],MATCH(B429,Equipment[组合编号],0))&lt;&gt;"已登记","待补设备组合",IF(AND(F429&lt;&gt;"",G429&lt;&gt;"",K429&lt;&gt;"",L429&lt;&gt;"",M429&lt;&gt;"",N429&lt;&gt;"",ISNUMBER(O429),O429&gt;0,P429&lt;&gt;""),"记录齐全","待补实测记录")))))))))))</x:f>
        <x:v>待展开路径</x:v>
      </x:c>
    </x:row>
    <x:row r="430" ht="43.5" customHeight="1">
      <x:c r="A430" s="20" t="str">
        <x:v>REC-00421</x:v>
      </x:c>
      <x:c r="B430" s="20" t="str">
        <x:v>P1-B4-01</x:v>
      </x:c>
      <x:c r="C430" s="30" t="str">
        <x:f>IF(B430="","",IF(COUNTIFS(Equipment[组合编号],B430)&lt;&gt;1,"组合编号无效",INDEX(Equipment[PLC组],MATCH(B430,Equipment[组合编号],0))))</x:f>
        <x:v>汇川小型</x:v>
      </x:c>
      <x:c r="D430" s="30" t="str">
        <x:f>IF(B430="","",IF(COUNTIFS(Equipment[组合编号],B430)&lt;&gt;1,"组合编号无效",INDEX(Equipment[驱动品牌],MATCH(B430,Equipment[组合编号],0))))</x:f>
        <x:v>Elmo</x:v>
      </x:c>
      <x:c r="E430" s="20" t="str">
        <x:v>R05</x:v>
      </x:c>
      <x:c r="F430" s="20"/>
      <x:c r="G430" s="20"/>
      <x:c r="H430" s="20" t="str">
        <x:v>待判定</x:v>
      </x:c>
      <x:c r="I430" s="20"/>
      <x:c r="J430" s="20" t="str">
        <x:v>未测试</x:v>
      </x:c>
      <x:c r="K430" s="20"/>
      <x:c r="L430" s="20"/>
      <x:c r="M430" s="20"/>
      <x:c r="N430" s="20"/>
      <x:c r="O430" s="31"/>
      <x:c r="P430" s="20"/>
      <x:c r="Q430" s="20"/>
      <x:c r="R430" s="20" t="str">
        <x:v>待展开</x:v>
      </x:c>
      <x:c r="S430" s="20"/>
      <x:c r="T430" s="31"/>
      <x:c r="U430" s="30" t="str">
        <x:f>IF(A430="","缺记录编号",IF(COUNTIFS(PathRecords[记录编号],A430)&lt;&gt;1,"记录编号重复",IF(OR(B430="",E430=""),"缺组合/功能",IF(COUNTIFS(Equipment[组合编号],B430)&lt;&gt;1,"组合编号无效",IF(COUNTIFS(FunctionMatrix[编号],E430)=0,"功能编号无效",IF(H430="不适用",IF(J430="已实测","适用性冲突",IF(I430="","待补不适用依据","不适用（非实测）")),IF(J430="阻塞",IF(I430="","待补阻塞原因","阻塞（非实测）"),IF(J430&lt;&gt;"已实测",IF(F430="","待展开路径","未实测"),IF(H430&lt;&gt;"适用","待确认适用性",IF(INDEX(Equipment[登记状态（自动）],MATCH(B430,Equipment[组合编号],0))&lt;&gt;"已登记","待补设备组合",IF(AND(F430&lt;&gt;"",G430&lt;&gt;"",K430&lt;&gt;"",L430&lt;&gt;"",M430&lt;&gt;"",N430&lt;&gt;"",ISNUMBER(O430),O430&gt;0,P430&lt;&gt;""),"记录齐全","待补实测记录")))))))))))</x:f>
        <x:v>待展开路径</x:v>
      </x:c>
    </x:row>
    <x:row r="431" ht="43.5" customHeight="1">
      <x:c r="A431" s="20" t="str">
        <x:v>REC-00422</x:v>
      </x:c>
      <x:c r="B431" s="20" t="str">
        <x:v>P1-B4-01</x:v>
      </x:c>
      <x:c r="C431" s="30" t="str">
        <x:f>IF(B431="","",IF(COUNTIFS(Equipment[组合编号],B431)&lt;&gt;1,"组合编号无效",INDEX(Equipment[PLC组],MATCH(B431,Equipment[组合编号],0))))</x:f>
        <x:v>汇川小型</x:v>
      </x:c>
      <x:c r="D431" s="30" t="str">
        <x:f>IF(B431="","",IF(COUNTIFS(Equipment[组合编号],B431)&lt;&gt;1,"组合编号无效",INDEX(Equipment[驱动品牌],MATCH(B431,Equipment[组合编号],0))))</x:f>
        <x:v>Elmo</x:v>
      </x:c>
      <x:c r="E431" s="20" t="str">
        <x:v>R06</x:v>
      </x:c>
      <x:c r="F431" s="20"/>
      <x:c r="G431" s="20"/>
      <x:c r="H431" s="20" t="str">
        <x:v>待判定</x:v>
      </x:c>
      <x:c r="I431" s="20"/>
      <x:c r="J431" s="20" t="str">
        <x:v>未测试</x:v>
      </x:c>
      <x:c r="K431" s="20"/>
      <x:c r="L431" s="20"/>
      <x:c r="M431" s="20"/>
      <x:c r="N431" s="20"/>
      <x:c r="O431" s="31"/>
      <x:c r="P431" s="20"/>
      <x:c r="Q431" s="20"/>
      <x:c r="R431" s="20" t="str">
        <x:v>待展开</x:v>
      </x:c>
      <x:c r="S431" s="20"/>
      <x:c r="T431" s="31"/>
      <x:c r="U431" s="30" t="str">
        <x:f>IF(A431="","缺记录编号",IF(COUNTIFS(PathRecords[记录编号],A431)&lt;&gt;1,"记录编号重复",IF(OR(B431="",E431=""),"缺组合/功能",IF(COUNTIFS(Equipment[组合编号],B431)&lt;&gt;1,"组合编号无效",IF(COUNTIFS(FunctionMatrix[编号],E431)=0,"功能编号无效",IF(H431="不适用",IF(J431="已实测","适用性冲突",IF(I431="","待补不适用依据","不适用（非实测）")),IF(J431="阻塞",IF(I431="","待补阻塞原因","阻塞（非实测）"),IF(J431&lt;&gt;"已实测",IF(F431="","待展开路径","未实测"),IF(H431&lt;&gt;"适用","待确认适用性",IF(INDEX(Equipment[登记状态（自动）],MATCH(B431,Equipment[组合编号],0))&lt;&gt;"已登记","待补设备组合",IF(AND(F431&lt;&gt;"",G431&lt;&gt;"",K431&lt;&gt;"",L431&lt;&gt;"",M431&lt;&gt;"",N431&lt;&gt;"",ISNUMBER(O431),O431&gt;0,P431&lt;&gt;""),"记录齐全","待补实测记录")))))))))))</x:f>
        <x:v>待展开路径</x:v>
      </x:c>
    </x:row>
    <x:row r="432" ht="43.5" customHeight="1">
      <x:c r="A432" s="20" t="str">
        <x:v>REC-00423</x:v>
      </x:c>
      <x:c r="B432" s="20" t="str">
        <x:v>P1-B4-01</x:v>
      </x:c>
      <x:c r="C432" s="30" t="str">
        <x:f>IF(B432="","",IF(COUNTIFS(Equipment[组合编号],B432)&lt;&gt;1,"组合编号无效",INDEX(Equipment[PLC组],MATCH(B432,Equipment[组合编号],0))))</x:f>
        <x:v>汇川小型</x:v>
      </x:c>
      <x:c r="D432" s="30" t="str">
        <x:f>IF(B432="","",IF(COUNTIFS(Equipment[组合编号],B432)&lt;&gt;1,"组合编号无效",INDEX(Equipment[驱动品牌],MATCH(B432,Equipment[组合编号],0))))</x:f>
        <x:v>Elmo</x:v>
      </x:c>
      <x:c r="E432" s="20" t="str">
        <x:v>R07</x:v>
      </x:c>
      <x:c r="F432" s="20"/>
      <x:c r="G432" s="20"/>
      <x:c r="H432" s="20" t="str">
        <x:v>待判定</x:v>
      </x:c>
      <x:c r="I432" s="20"/>
      <x:c r="J432" s="20" t="str">
        <x:v>未测试</x:v>
      </x:c>
      <x:c r="K432" s="20"/>
      <x:c r="L432" s="20"/>
      <x:c r="M432" s="20"/>
      <x:c r="N432" s="20"/>
      <x:c r="O432" s="31"/>
      <x:c r="P432" s="20"/>
      <x:c r="Q432" s="20"/>
      <x:c r="R432" s="20" t="str">
        <x:v>待展开</x:v>
      </x:c>
      <x:c r="S432" s="20"/>
      <x:c r="T432" s="31"/>
      <x:c r="U432" s="30" t="str">
        <x:f>IF(A432="","缺记录编号",IF(COUNTIFS(PathRecords[记录编号],A432)&lt;&gt;1,"记录编号重复",IF(OR(B432="",E432=""),"缺组合/功能",IF(COUNTIFS(Equipment[组合编号],B432)&lt;&gt;1,"组合编号无效",IF(COUNTIFS(FunctionMatrix[编号],E432)=0,"功能编号无效",IF(H432="不适用",IF(J432="已实测","适用性冲突",IF(I432="","待补不适用依据","不适用（非实测）")),IF(J432="阻塞",IF(I432="","待补阻塞原因","阻塞（非实测）"),IF(J432&lt;&gt;"已实测",IF(F432="","待展开路径","未实测"),IF(H432&lt;&gt;"适用","待确认适用性",IF(INDEX(Equipment[登记状态（自动）],MATCH(B432,Equipment[组合编号],0))&lt;&gt;"已登记","待补设备组合",IF(AND(F432&lt;&gt;"",G432&lt;&gt;"",K432&lt;&gt;"",L432&lt;&gt;"",M432&lt;&gt;"",N432&lt;&gt;"",ISNUMBER(O432),O432&gt;0,P432&lt;&gt;""),"记录齐全","待补实测记录")))))))))))</x:f>
        <x:v>待展开路径</x:v>
      </x:c>
    </x:row>
    <x:row r="433" ht="43.5" customHeight="1">
      <x:c r="A433" s="20" t="str">
        <x:v>REC-00424</x:v>
      </x:c>
      <x:c r="B433" s="20" t="str">
        <x:v>P1-B4-01</x:v>
      </x:c>
      <x:c r="C433" s="30" t="str">
        <x:f>IF(B433="","",IF(COUNTIFS(Equipment[组合编号],B433)&lt;&gt;1,"组合编号无效",INDEX(Equipment[PLC组],MATCH(B433,Equipment[组合编号],0))))</x:f>
        <x:v>汇川小型</x:v>
      </x:c>
      <x:c r="D433" s="30" t="str">
        <x:f>IF(B433="","",IF(COUNTIFS(Equipment[组合编号],B433)&lt;&gt;1,"组合编号无效",INDEX(Equipment[驱动品牌],MATCH(B433,Equipment[组合编号],0))))</x:f>
        <x:v>Elmo</x:v>
      </x:c>
      <x:c r="E433" s="20" t="str">
        <x:v>R08</x:v>
      </x:c>
      <x:c r="F433" s="20"/>
      <x:c r="G433" s="20"/>
      <x:c r="H433" s="20" t="str">
        <x:v>待判定</x:v>
      </x:c>
      <x:c r="I433" s="20"/>
      <x:c r="J433" s="20" t="str">
        <x:v>未测试</x:v>
      </x:c>
      <x:c r="K433" s="20"/>
      <x:c r="L433" s="20"/>
      <x:c r="M433" s="20"/>
      <x:c r="N433" s="20"/>
      <x:c r="O433" s="31"/>
      <x:c r="P433" s="20"/>
      <x:c r="Q433" s="20"/>
      <x:c r="R433" s="20" t="str">
        <x:v>待展开</x:v>
      </x:c>
      <x:c r="S433" s="20"/>
      <x:c r="T433" s="31"/>
      <x:c r="U433" s="30" t="str">
        <x:f>IF(A433="","缺记录编号",IF(COUNTIFS(PathRecords[记录编号],A433)&lt;&gt;1,"记录编号重复",IF(OR(B433="",E433=""),"缺组合/功能",IF(COUNTIFS(Equipment[组合编号],B433)&lt;&gt;1,"组合编号无效",IF(COUNTIFS(FunctionMatrix[编号],E433)=0,"功能编号无效",IF(H433="不适用",IF(J433="已实测","适用性冲突",IF(I433="","待补不适用依据","不适用（非实测）")),IF(J433="阻塞",IF(I433="","待补阻塞原因","阻塞（非实测）"),IF(J433&lt;&gt;"已实测",IF(F433="","待展开路径","未实测"),IF(H433&lt;&gt;"适用","待确认适用性",IF(INDEX(Equipment[登记状态（自动）],MATCH(B433,Equipment[组合编号],0))&lt;&gt;"已登记","待补设备组合",IF(AND(F433&lt;&gt;"",G433&lt;&gt;"",K433&lt;&gt;"",L433&lt;&gt;"",M433&lt;&gt;"",N433&lt;&gt;"",ISNUMBER(O433),O433&gt;0,P433&lt;&gt;""),"记录齐全","待补实测记录")))))))))))</x:f>
        <x:v>待展开路径</x:v>
      </x:c>
    </x:row>
    <x:row r="434" ht="43.5" customHeight="1">
      <x:c r="A434" s="20" t="str">
        <x:v>REC-00425</x:v>
      </x:c>
      <x:c r="B434" s="20" t="str">
        <x:v>P1-B5-01</x:v>
      </x:c>
      <x:c r="C434" s="30" t="str">
        <x:f>IF(B434="","",IF(COUNTIFS(Equipment[组合编号],B434)&lt;&gt;1,"组合编号无效",INDEX(Equipment[PLC组],MATCH(B434,Equipment[组合编号],0))))</x:f>
        <x:v>汇川小型</x:v>
      </x:c>
      <x:c r="D434" s="30" t="str">
        <x:f>IF(B434="","",IF(COUNTIFS(Equipment[组合编号],B434)&lt;&gt;1,"组合编号无效",INDEX(Equipment[驱动品牌],MATCH(B434,Equipment[组合编号],0))))</x:f>
        <x:v>KEBA（可选）</x:v>
      </x:c>
      <x:c r="E434" s="20" t="str">
        <x:v>M01</x:v>
      </x:c>
      <x:c r="F434" s="20"/>
      <x:c r="G434" s="20"/>
      <x:c r="H434" s="20" t="str">
        <x:v>待判定</x:v>
      </x:c>
      <x:c r="I434" s="20"/>
      <x:c r="J434" s="20" t="str">
        <x:v>未测试</x:v>
      </x:c>
      <x:c r="K434" s="20"/>
      <x:c r="L434" s="20"/>
      <x:c r="M434" s="20"/>
      <x:c r="N434" s="20"/>
      <x:c r="O434" s="31"/>
      <x:c r="P434" s="20"/>
      <x:c r="Q434" s="20"/>
      <x:c r="R434" s="20" t="str">
        <x:v>待展开</x:v>
      </x:c>
      <x:c r="S434" s="20"/>
      <x:c r="T434" s="31"/>
      <x:c r="U434" s="30" t="str">
        <x:f>IF(A434="","缺记录编号",IF(COUNTIFS(PathRecords[记录编号],A434)&lt;&gt;1,"记录编号重复",IF(OR(B434="",E434=""),"缺组合/功能",IF(COUNTIFS(Equipment[组合编号],B434)&lt;&gt;1,"组合编号无效",IF(COUNTIFS(FunctionMatrix[编号],E434)=0,"功能编号无效",IF(H434="不适用",IF(J434="已实测","适用性冲突",IF(I434="","待补不适用依据","不适用（非实测）")),IF(J434="阻塞",IF(I434="","待补阻塞原因","阻塞（非实测）"),IF(J434&lt;&gt;"已实测",IF(F434="","待展开路径","未实测"),IF(H434&lt;&gt;"适用","待确认适用性",IF(INDEX(Equipment[登记状态（自动）],MATCH(B434,Equipment[组合编号],0))&lt;&gt;"已登记","待补设备组合",IF(AND(F434&lt;&gt;"",G434&lt;&gt;"",K434&lt;&gt;"",L434&lt;&gt;"",M434&lt;&gt;"",N434&lt;&gt;"",ISNUMBER(O434),O434&gt;0,P434&lt;&gt;""),"记录齐全","待补实测记录")))))))))))</x:f>
        <x:v>待展开路径</x:v>
      </x:c>
    </x:row>
    <x:row r="435" ht="43.5" customHeight="1">
      <x:c r="A435" s="20" t="str">
        <x:v>REC-00426</x:v>
      </x:c>
      <x:c r="B435" s="20" t="str">
        <x:v>P1-B5-01</x:v>
      </x:c>
      <x:c r="C435" s="30" t="str">
        <x:f>IF(B435="","",IF(COUNTIFS(Equipment[组合编号],B435)&lt;&gt;1,"组合编号无效",INDEX(Equipment[PLC组],MATCH(B435,Equipment[组合编号],0))))</x:f>
        <x:v>汇川小型</x:v>
      </x:c>
      <x:c r="D435" s="30" t="str">
        <x:f>IF(B435="","",IF(COUNTIFS(Equipment[组合编号],B435)&lt;&gt;1,"组合编号无效",INDEX(Equipment[驱动品牌],MATCH(B435,Equipment[组合编号],0))))</x:f>
        <x:v>KEBA（可选）</x:v>
      </x:c>
      <x:c r="E435" s="20" t="str">
        <x:v>M02</x:v>
      </x:c>
      <x:c r="F435" s="20"/>
      <x:c r="G435" s="20"/>
      <x:c r="H435" s="20" t="str">
        <x:v>待判定</x:v>
      </x:c>
      <x:c r="I435" s="20"/>
      <x:c r="J435" s="20" t="str">
        <x:v>未测试</x:v>
      </x:c>
      <x:c r="K435" s="20"/>
      <x:c r="L435" s="20"/>
      <x:c r="M435" s="20"/>
      <x:c r="N435" s="20"/>
      <x:c r="O435" s="31"/>
      <x:c r="P435" s="20"/>
      <x:c r="Q435" s="20"/>
      <x:c r="R435" s="20" t="str">
        <x:v>待展开</x:v>
      </x:c>
      <x:c r="S435" s="20"/>
      <x:c r="T435" s="31"/>
      <x:c r="U435" s="30" t="str">
        <x:f>IF(A435="","缺记录编号",IF(COUNTIFS(PathRecords[记录编号],A435)&lt;&gt;1,"记录编号重复",IF(OR(B435="",E435=""),"缺组合/功能",IF(COUNTIFS(Equipment[组合编号],B435)&lt;&gt;1,"组合编号无效",IF(COUNTIFS(FunctionMatrix[编号],E435)=0,"功能编号无效",IF(H435="不适用",IF(J435="已实测","适用性冲突",IF(I435="","待补不适用依据","不适用（非实测）")),IF(J435="阻塞",IF(I435="","待补阻塞原因","阻塞（非实测）"),IF(J435&lt;&gt;"已实测",IF(F435="","待展开路径","未实测"),IF(H435&lt;&gt;"适用","待确认适用性",IF(INDEX(Equipment[登记状态（自动）],MATCH(B435,Equipment[组合编号],0))&lt;&gt;"已登记","待补设备组合",IF(AND(F435&lt;&gt;"",G435&lt;&gt;"",K435&lt;&gt;"",L435&lt;&gt;"",M435&lt;&gt;"",N435&lt;&gt;"",ISNUMBER(O435),O435&gt;0,P435&lt;&gt;""),"记录齐全","待补实测记录")))))))))))</x:f>
        <x:v>待展开路径</x:v>
      </x:c>
    </x:row>
    <x:row r="436" ht="43.5" customHeight="1">
      <x:c r="A436" s="20" t="str">
        <x:v>REC-00427</x:v>
      </x:c>
      <x:c r="B436" s="20" t="str">
        <x:v>P1-B5-01</x:v>
      </x:c>
      <x:c r="C436" s="30" t="str">
        <x:f>IF(B436="","",IF(COUNTIFS(Equipment[组合编号],B436)&lt;&gt;1,"组合编号无效",INDEX(Equipment[PLC组],MATCH(B436,Equipment[组合编号],0))))</x:f>
        <x:v>汇川小型</x:v>
      </x:c>
      <x:c r="D436" s="30" t="str">
        <x:f>IF(B436="","",IF(COUNTIFS(Equipment[组合编号],B436)&lt;&gt;1,"组合编号无效",INDEX(Equipment[驱动品牌],MATCH(B436,Equipment[组合编号],0))))</x:f>
        <x:v>KEBA（可选）</x:v>
      </x:c>
      <x:c r="E436" s="20" t="str">
        <x:v>M03</x:v>
      </x:c>
      <x:c r="F436" s="20"/>
      <x:c r="G436" s="20"/>
      <x:c r="H436" s="20" t="str">
        <x:v>待判定</x:v>
      </x:c>
      <x:c r="I436" s="20"/>
      <x:c r="J436" s="20" t="str">
        <x:v>未测试</x:v>
      </x:c>
      <x:c r="K436" s="20"/>
      <x:c r="L436" s="20"/>
      <x:c r="M436" s="20"/>
      <x:c r="N436" s="20"/>
      <x:c r="O436" s="31"/>
      <x:c r="P436" s="20"/>
      <x:c r="Q436" s="20"/>
      <x:c r="R436" s="20" t="str">
        <x:v>待展开</x:v>
      </x:c>
      <x:c r="S436" s="20"/>
      <x:c r="T436" s="31"/>
      <x:c r="U436" s="30" t="str">
        <x:f>IF(A436="","缺记录编号",IF(COUNTIFS(PathRecords[记录编号],A436)&lt;&gt;1,"记录编号重复",IF(OR(B436="",E436=""),"缺组合/功能",IF(COUNTIFS(Equipment[组合编号],B436)&lt;&gt;1,"组合编号无效",IF(COUNTIFS(FunctionMatrix[编号],E436)=0,"功能编号无效",IF(H436="不适用",IF(J436="已实测","适用性冲突",IF(I436="","待补不适用依据","不适用（非实测）")),IF(J436="阻塞",IF(I436="","待补阻塞原因","阻塞（非实测）"),IF(J436&lt;&gt;"已实测",IF(F436="","待展开路径","未实测"),IF(H436&lt;&gt;"适用","待确认适用性",IF(INDEX(Equipment[登记状态（自动）],MATCH(B436,Equipment[组合编号],0))&lt;&gt;"已登记","待补设备组合",IF(AND(F436&lt;&gt;"",G436&lt;&gt;"",K436&lt;&gt;"",L436&lt;&gt;"",M436&lt;&gt;"",N436&lt;&gt;"",ISNUMBER(O436),O436&gt;0,P436&lt;&gt;""),"记录齐全","待补实测记录")))))))))))</x:f>
        <x:v>待展开路径</x:v>
      </x:c>
    </x:row>
    <x:row r="437" ht="43.5" customHeight="1">
      <x:c r="A437" s="20" t="str">
        <x:v>REC-00428</x:v>
      </x:c>
      <x:c r="B437" s="20" t="str">
        <x:v>P1-B5-01</x:v>
      </x:c>
      <x:c r="C437" s="30" t="str">
        <x:f>IF(B437="","",IF(COUNTIFS(Equipment[组合编号],B437)&lt;&gt;1,"组合编号无效",INDEX(Equipment[PLC组],MATCH(B437,Equipment[组合编号],0))))</x:f>
        <x:v>汇川小型</x:v>
      </x:c>
      <x:c r="D437" s="30" t="str">
        <x:f>IF(B437="","",IF(COUNTIFS(Equipment[组合编号],B437)&lt;&gt;1,"组合编号无效",INDEX(Equipment[驱动品牌],MATCH(B437,Equipment[组合编号],0))))</x:f>
        <x:v>KEBA（可选）</x:v>
      </x:c>
      <x:c r="E437" s="20" t="str">
        <x:v>M04</x:v>
      </x:c>
      <x:c r="F437" s="20"/>
      <x:c r="G437" s="20"/>
      <x:c r="H437" s="20" t="str">
        <x:v>待判定</x:v>
      </x:c>
      <x:c r="I437" s="20"/>
      <x:c r="J437" s="20" t="str">
        <x:v>未测试</x:v>
      </x:c>
      <x:c r="K437" s="20"/>
      <x:c r="L437" s="20"/>
      <x:c r="M437" s="20"/>
      <x:c r="N437" s="20"/>
      <x:c r="O437" s="31"/>
      <x:c r="P437" s="20"/>
      <x:c r="Q437" s="20"/>
      <x:c r="R437" s="20" t="str">
        <x:v>待展开</x:v>
      </x:c>
      <x:c r="S437" s="20"/>
      <x:c r="T437" s="31"/>
      <x:c r="U437" s="30" t="str">
        <x:f>IF(A437="","缺记录编号",IF(COUNTIFS(PathRecords[记录编号],A437)&lt;&gt;1,"记录编号重复",IF(OR(B437="",E437=""),"缺组合/功能",IF(COUNTIFS(Equipment[组合编号],B437)&lt;&gt;1,"组合编号无效",IF(COUNTIFS(FunctionMatrix[编号],E437)=0,"功能编号无效",IF(H437="不适用",IF(J437="已实测","适用性冲突",IF(I437="","待补不适用依据","不适用（非实测）")),IF(J437="阻塞",IF(I437="","待补阻塞原因","阻塞（非实测）"),IF(J437&lt;&gt;"已实测",IF(F437="","待展开路径","未实测"),IF(H437&lt;&gt;"适用","待确认适用性",IF(INDEX(Equipment[登记状态（自动）],MATCH(B437,Equipment[组合编号],0))&lt;&gt;"已登记","待补设备组合",IF(AND(F437&lt;&gt;"",G437&lt;&gt;"",K437&lt;&gt;"",L437&lt;&gt;"",M437&lt;&gt;"",N437&lt;&gt;"",ISNUMBER(O437),O437&gt;0,P437&lt;&gt;""),"记录齐全","待补实测记录")))))))))))</x:f>
        <x:v>待展开路径</x:v>
      </x:c>
    </x:row>
    <x:row r="438" ht="43.5" customHeight="1">
      <x:c r="A438" s="20" t="str">
        <x:v>REC-00429</x:v>
      </x:c>
      <x:c r="B438" s="20" t="str">
        <x:v>P1-B5-01</x:v>
      </x:c>
      <x:c r="C438" s="30" t="str">
        <x:f>IF(B438="","",IF(COUNTIFS(Equipment[组合编号],B438)&lt;&gt;1,"组合编号无效",INDEX(Equipment[PLC组],MATCH(B438,Equipment[组合编号],0))))</x:f>
        <x:v>汇川小型</x:v>
      </x:c>
      <x:c r="D438" s="30" t="str">
        <x:f>IF(B438="","",IF(COUNTIFS(Equipment[组合编号],B438)&lt;&gt;1,"组合编号无效",INDEX(Equipment[驱动品牌],MATCH(B438,Equipment[组合编号],0))))</x:f>
        <x:v>KEBA（可选）</x:v>
      </x:c>
      <x:c r="E438" s="20" t="str">
        <x:v>M05</x:v>
      </x:c>
      <x:c r="F438" s="20"/>
      <x:c r="G438" s="20"/>
      <x:c r="H438" s="20" t="str">
        <x:v>待判定</x:v>
      </x:c>
      <x:c r="I438" s="20"/>
      <x:c r="J438" s="20" t="str">
        <x:v>未测试</x:v>
      </x:c>
      <x:c r="K438" s="20"/>
      <x:c r="L438" s="20"/>
      <x:c r="M438" s="20"/>
      <x:c r="N438" s="20"/>
      <x:c r="O438" s="31"/>
      <x:c r="P438" s="20"/>
      <x:c r="Q438" s="20"/>
      <x:c r="R438" s="20" t="str">
        <x:v>待展开</x:v>
      </x:c>
      <x:c r="S438" s="20"/>
      <x:c r="T438" s="31"/>
      <x:c r="U438" s="30" t="str">
        <x:f>IF(A438="","缺记录编号",IF(COUNTIFS(PathRecords[记录编号],A438)&lt;&gt;1,"记录编号重复",IF(OR(B438="",E438=""),"缺组合/功能",IF(COUNTIFS(Equipment[组合编号],B438)&lt;&gt;1,"组合编号无效",IF(COUNTIFS(FunctionMatrix[编号],E438)=0,"功能编号无效",IF(H438="不适用",IF(J438="已实测","适用性冲突",IF(I438="","待补不适用依据","不适用（非实测）")),IF(J438="阻塞",IF(I438="","待补阻塞原因","阻塞（非实测）"),IF(J438&lt;&gt;"已实测",IF(F438="","待展开路径","未实测"),IF(H438&lt;&gt;"适用","待确认适用性",IF(INDEX(Equipment[登记状态（自动）],MATCH(B438,Equipment[组合编号],0))&lt;&gt;"已登记","待补设备组合",IF(AND(F438&lt;&gt;"",G438&lt;&gt;"",K438&lt;&gt;"",L438&lt;&gt;"",M438&lt;&gt;"",N438&lt;&gt;"",ISNUMBER(O438),O438&gt;0,P438&lt;&gt;""),"记录齐全","待补实测记录")))))))))))</x:f>
        <x:v>待展开路径</x:v>
      </x:c>
    </x:row>
    <x:row r="439" ht="43.5" customHeight="1">
      <x:c r="A439" s="20" t="str">
        <x:v>REC-00430</x:v>
      </x:c>
      <x:c r="B439" s="20" t="str">
        <x:v>P1-B5-01</x:v>
      </x:c>
      <x:c r="C439" s="30" t="str">
        <x:f>IF(B439="","",IF(COUNTIFS(Equipment[组合编号],B439)&lt;&gt;1,"组合编号无效",INDEX(Equipment[PLC组],MATCH(B439,Equipment[组合编号],0))))</x:f>
        <x:v>汇川小型</x:v>
      </x:c>
      <x:c r="D439" s="30" t="str">
        <x:f>IF(B439="","",IF(COUNTIFS(Equipment[组合编号],B439)&lt;&gt;1,"组合编号无效",INDEX(Equipment[驱动品牌],MATCH(B439,Equipment[组合编号],0))))</x:f>
        <x:v>KEBA（可选）</x:v>
      </x:c>
      <x:c r="E439" s="20" t="str">
        <x:v>M06</x:v>
      </x:c>
      <x:c r="F439" s="20"/>
      <x:c r="G439" s="20"/>
      <x:c r="H439" s="20" t="str">
        <x:v>待判定</x:v>
      </x:c>
      <x:c r="I439" s="20"/>
      <x:c r="J439" s="20" t="str">
        <x:v>未测试</x:v>
      </x:c>
      <x:c r="K439" s="20"/>
      <x:c r="L439" s="20"/>
      <x:c r="M439" s="20"/>
      <x:c r="N439" s="20"/>
      <x:c r="O439" s="31"/>
      <x:c r="P439" s="20"/>
      <x:c r="Q439" s="20"/>
      <x:c r="R439" s="20" t="str">
        <x:v>待展开</x:v>
      </x:c>
      <x:c r="S439" s="20"/>
      <x:c r="T439" s="31"/>
      <x:c r="U439" s="30" t="str">
        <x:f>IF(A439="","缺记录编号",IF(COUNTIFS(PathRecords[记录编号],A439)&lt;&gt;1,"记录编号重复",IF(OR(B439="",E439=""),"缺组合/功能",IF(COUNTIFS(Equipment[组合编号],B439)&lt;&gt;1,"组合编号无效",IF(COUNTIFS(FunctionMatrix[编号],E439)=0,"功能编号无效",IF(H439="不适用",IF(J439="已实测","适用性冲突",IF(I439="","待补不适用依据","不适用（非实测）")),IF(J439="阻塞",IF(I439="","待补阻塞原因","阻塞（非实测）"),IF(J439&lt;&gt;"已实测",IF(F439="","待展开路径","未实测"),IF(H439&lt;&gt;"适用","待确认适用性",IF(INDEX(Equipment[登记状态（自动）],MATCH(B439,Equipment[组合编号],0))&lt;&gt;"已登记","待补设备组合",IF(AND(F439&lt;&gt;"",G439&lt;&gt;"",K439&lt;&gt;"",L439&lt;&gt;"",M439&lt;&gt;"",N439&lt;&gt;"",ISNUMBER(O439),O439&gt;0,P439&lt;&gt;""),"记录齐全","待补实测记录")))))))))))</x:f>
        <x:v>待展开路径</x:v>
      </x:c>
    </x:row>
    <x:row r="440" ht="43.5" customHeight="1">
      <x:c r="A440" s="20" t="str">
        <x:v>REC-00431</x:v>
      </x:c>
      <x:c r="B440" s="20" t="str">
        <x:v>P1-B5-01</x:v>
      </x:c>
      <x:c r="C440" s="30" t="str">
        <x:f>IF(B440="","",IF(COUNTIFS(Equipment[组合编号],B440)&lt;&gt;1,"组合编号无效",INDEX(Equipment[PLC组],MATCH(B440,Equipment[组合编号],0))))</x:f>
        <x:v>汇川小型</x:v>
      </x:c>
      <x:c r="D440" s="30" t="str">
        <x:f>IF(B440="","",IF(COUNTIFS(Equipment[组合编号],B440)&lt;&gt;1,"组合编号无效",INDEX(Equipment[驱动品牌],MATCH(B440,Equipment[组合编号],0))))</x:f>
        <x:v>KEBA（可选）</x:v>
      </x:c>
      <x:c r="E440" s="20" t="str">
        <x:v>M07</x:v>
      </x:c>
      <x:c r="F440" s="20"/>
      <x:c r="G440" s="20"/>
      <x:c r="H440" s="20" t="str">
        <x:v>待判定</x:v>
      </x:c>
      <x:c r="I440" s="20"/>
      <x:c r="J440" s="20" t="str">
        <x:v>未测试</x:v>
      </x:c>
      <x:c r="K440" s="20"/>
      <x:c r="L440" s="20"/>
      <x:c r="M440" s="20"/>
      <x:c r="N440" s="20"/>
      <x:c r="O440" s="31"/>
      <x:c r="P440" s="20"/>
      <x:c r="Q440" s="20"/>
      <x:c r="R440" s="20" t="str">
        <x:v>待展开</x:v>
      </x:c>
      <x:c r="S440" s="20"/>
      <x:c r="T440" s="31"/>
      <x:c r="U440" s="30" t="str">
        <x:f>IF(A440="","缺记录编号",IF(COUNTIFS(PathRecords[记录编号],A440)&lt;&gt;1,"记录编号重复",IF(OR(B440="",E440=""),"缺组合/功能",IF(COUNTIFS(Equipment[组合编号],B440)&lt;&gt;1,"组合编号无效",IF(COUNTIFS(FunctionMatrix[编号],E440)=0,"功能编号无效",IF(H440="不适用",IF(J440="已实测","适用性冲突",IF(I440="","待补不适用依据","不适用（非实测）")),IF(J440="阻塞",IF(I440="","待补阻塞原因","阻塞（非实测）"),IF(J440&lt;&gt;"已实测",IF(F440="","待展开路径","未实测"),IF(H440&lt;&gt;"适用","待确认适用性",IF(INDEX(Equipment[登记状态（自动）],MATCH(B440,Equipment[组合编号],0))&lt;&gt;"已登记","待补设备组合",IF(AND(F440&lt;&gt;"",G440&lt;&gt;"",K440&lt;&gt;"",L440&lt;&gt;"",M440&lt;&gt;"",N440&lt;&gt;"",ISNUMBER(O440),O440&gt;0,P440&lt;&gt;""),"记录齐全","待补实测记录")))))))))))</x:f>
        <x:v>待展开路径</x:v>
      </x:c>
    </x:row>
    <x:row r="441" ht="43.5" customHeight="1">
      <x:c r="A441" s="20" t="str">
        <x:v>REC-00432</x:v>
      </x:c>
      <x:c r="B441" s="20" t="str">
        <x:v>P1-B5-01</x:v>
      </x:c>
      <x:c r="C441" s="30" t="str">
        <x:f>IF(B441="","",IF(COUNTIFS(Equipment[组合编号],B441)&lt;&gt;1,"组合编号无效",INDEX(Equipment[PLC组],MATCH(B441,Equipment[组合编号],0))))</x:f>
        <x:v>汇川小型</x:v>
      </x:c>
      <x:c r="D441" s="30" t="str">
        <x:f>IF(B441="","",IF(COUNTIFS(Equipment[组合编号],B441)&lt;&gt;1,"组合编号无效",INDEX(Equipment[驱动品牌],MATCH(B441,Equipment[组合编号],0))))</x:f>
        <x:v>KEBA（可选）</x:v>
      </x:c>
      <x:c r="E441" s="20" t="str">
        <x:v>M09</x:v>
      </x:c>
      <x:c r="F441" s="20"/>
      <x:c r="G441" s="20"/>
      <x:c r="H441" s="20" t="str">
        <x:v>待判定</x:v>
      </x:c>
      <x:c r="I441" s="20"/>
      <x:c r="J441" s="20" t="str">
        <x:v>未测试</x:v>
      </x:c>
      <x:c r="K441" s="20"/>
      <x:c r="L441" s="20"/>
      <x:c r="M441" s="20"/>
      <x:c r="N441" s="20"/>
      <x:c r="O441" s="31"/>
      <x:c r="P441" s="20"/>
      <x:c r="Q441" s="20"/>
      <x:c r="R441" s="20" t="str">
        <x:v>待展开</x:v>
      </x:c>
      <x:c r="S441" s="20"/>
      <x:c r="T441" s="31"/>
      <x:c r="U441" s="30" t="str">
        <x:f>IF(A441="","缺记录编号",IF(COUNTIFS(PathRecords[记录编号],A441)&lt;&gt;1,"记录编号重复",IF(OR(B441="",E441=""),"缺组合/功能",IF(COUNTIFS(Equipment[组合编号],B441)&lt;&gt;1,"组合编号无效",IF(COUNTIFS(FunctionMatrix[编号],E441)=0,"功能编号无效",IF(H441="不适用",IF(J441="已实测","适用性冲突",IF(I441="","待补不适用依据","不适用（非实测）")),IF(J441="阻塞",IF(I441="","待补阻塞原因","阻塞（非实测）"),IF(J441&lt;&gt;"已实测",IF(F441="","待展开路径","未实测"),IF(H441&lt;&gt;"适用","待确认适用性",IF(INDEX(Equipment[登记状态（自动）],MATCH(B441,Equipment[组合编号],0))&lt;&gt;"已登记","待补设备组合",IF(AND(F441&lt;&gt;"",G441&lt;&gt;"",K441&lt;&gt;"",L441&lt;&gt;"",M441&lt;&gt;"",N441&lt;&gt;"",ISNUMBER(O441),O441&gt;0,P441&lt;&gt;""),"记录齐全","待补实测记录")))))))))))</x:f>
        <x:v>待展开路径</x:v>
      </x:c>
    </x:row>
    <x:row r="442" ht="43.5" customHeight="1">
      <x:c r="A442" s="20" t="str">
        <x:v>REC-00433</x:v>
      </x:c>
      <x:c r="B442" s="20" t="str">
        <x:v>P1-B5-01</x:v>
      </x:c>
      <x:c r="C442" s="30" t="str">
        <x:f>IF(B442="","",IF(COUNTIFS(Equipment[组合编号],B442)&lt;&gt;1,"组合编号无效",INDEX(Equipment[PLC组],MATCH(B442,Equipment[组合编号],0))))</x:f>
        <x:v>汇川小型</x:v>
      </x:c>
      <x:c r="D442" s="30" t="str">
        <x:f>IF(B442="","",IF(COUNTIFS(Equipment[组合编号],B442)&lt;&gt;1,"组合编号无效",INDEX(Equipment[驱动品牌],MATCH(B442,Equipment[组合编号],0))))</x:f>
        <x:v>KEBA（可选）</x:v>
      </x:c>
      <x:c r="E442" s="20" t="str">
        <x:v>M10</x:v>
      </x:c>
      <x:c r="F442" s="20"/>
      <x:c r="G442" s="20"/>
      <x:c r="H442" s="20" t="str">
        <x:v>待判定</x:v>
      </x:c>
      <x:c r="I442" s="20"/>
      <x:c r="J442" s="20" t="str">
        <x:v>未测试</x:v>
      </x:c>
      <x:c r="K442" s="20"/>
      <x:c r="L442" s="20"/>
      <x:c r="M442" s="20"/>
      <x:c r="N442" s="20"/>
      <x:c r="O442" s="31"/>
      <x:c r="P442" s="20"/>
      <x:c r="Q442" s="20"/>
      <x:c r="R442" s="20" t="str">
        <x:v>待展开</x:v>
      </x:c>
      <x:c r="S442" s="20"/>
      <x:c r="T442" s="31"/>
      <x:c r="U442" s="30" t="str">
        <x:f>IF(A442="","缺记录编号",IF(COUNTIFS(PathRecords[记录编号],A442)&lt;&gt;1,"记录编号重复",IF(OR(B442="",E442=""),"缺组合/功能",IF(COUNTIFS(Equipment[组合编号],B442)&lt;&gt;1,"组合编号无效",IF(COUNTIFS(FunctionMatrix[编号],E442)=0,"功能编号无效",IF(H442="不适用",IF(J442="已实测","适用性冲突",IF(I442="","待补不适用依据","不适用（非实测）")),IF(J442="阻塞",IF(I442="","待补阻塞原因","阻塞（非实测）"),IF(J442&lt;&gt;"已实测",IF(F442="","待展开路径","未实测"),IF(H442&lt;&gt;"适用","待确认适用性",IF(INDEX(Equipment[登记状态（自动）],MATCH(B442,Equipment[组合编号],0))&lt;&gt;"已登记","待补设备组合",IF(AND(F442&lt;&gt;"",G442&lt;&gt;"",K442&lt;&gt;"",L442&lt;&gt;"",M442&lt;&gt;"",N442&lt;&gt;"",ISNUMBER(O442),O442&gt;0,P442&lt;&gt;""),"记录齐全","待补实测记录")))))))))))</x:f>
        <x:v>待展开路径</x:v>
      </x:c>
    </x:row>
    <x:row r="443" ht="43.5" customHeight="1">
      <x:c r="A443" s="20" t="str">
        <x:v>REC-00434</x:v>
      </x:c>
      <x:c r="B443" s="20" t="str">
        <x:v>P1-B5-01</x:v>
      </x:c>
      <x:c r="C443" s="30" t="str">
        <x:f>IF(B443="","",IF(COUNTIFS(Equipment[组合编号],B443)&lt;&gt;1,"组合编号无效",INDEX(Equipment[PLC组],MATCH(B443,Equipment[组合编号],0))))</x:f>
        <x:v>汇川小型</x:v>
      </x:c>
      <x:c r="D443" s="30" t="str">
        <x:f>IF(B443="","",IF(COUNTIFS(Equipment[组合编号],B443)&lt;&gt;1,"组合编号无效",INDEX(Equipment[驱动品牌],MATCH(B443,Equipment[组合编号],0))))</x:f>
        <x:v>KEBA（可选）</x:v>
      </x:c>
      <x:c r="E443" s="20" t="str">
        <x:v>D01</x:v>
      </x:c>
      <x:c r="F443" s="20"/>
      <x:c r="G443" s="20"/>
      <x:c r="H443" s="20" t="str">
        <x:v>待判定</x:v>
      </x:c>
      <x:c r="I443" s="20"/>
      <x:c r="J443" s="20" t="str">
        <x:v>未测试</x:v>
      </x:c>
      <x:c r="K443" s="20"/>
      <x:c r="L443" s="20"/>
      <x:c r="M443" s="20"/>
      <x:c r="N443" s="20"/>
      <x:c r="O443" s="31"/>
      <x:c r="P443" s="20"/>
      <x:c r="Q443" s="20"/>
      <x:c r="R443" s="20" t="str">
        <x:v>待展开</x:v>
      </x:c>
      <x:c r="S443" s="20"/>
      <x:c r="T443" s="31"/>
      <x:c r="U443" s="30" t="str">
        <x:f>IF(A443="","缺记录编号",IF(COUNTIFS(PathRecords[记录编号],A443)&lt;&gt;1,"记录编号重复",IF(OR(B443="",E443=""),"缺组合/功能",IF(COUNTIFS(Equipment[组合编号],B443)&lt;&gt;1,"组合编号无效",IF(COUNTIFS(FunctionMatrix[编号],E443)=0,"功能编号无效",IF(H443="不适用",IF(J443="已实测","适用性冲突",IF(I443="","待补不适用依据","不适用（非实测）")),IF(J443="阻塞",IF(I443="","待补阻塞原因","阻塞（非实测）"),IF(J443&lt;&gt;"已实测",IF(F443="","待展开路径","未实测"),IF(H443&lt;&gt;"适用","待确认适用性",IF(INDEX(Equipment[登记状态（自动）],MATCH(B443,Equipment[组合编号],0))&lt;&gt;"已登记","待补设备组合",IF(AND(F443&lt;&gt;"",G443&lt;&gt;"",K443&lt;&gt;"",L443&lt;&gt;"",M443&lt;&gt;"",N443&lt;&gt;"",ISNUMBER(O443),O443&gt;0,P443&lt;&gt;""),"记录齐全","待补实测记录")))))))))))</x:f>
        <x:v>待展开路径</x:v>
      </x:c>
    </x:row>
    <x:row r="444" ht="43.5" customHeight="1">
      <x:c r="A444" s="20" t="str">
        <x:v>REC-00435</x:v>
      </x:c>
      <x:c r="B444" s="20" t="str">
        <x:v>P1-B5-01</x:v>
      </x:c>
      <x:c r="C444" s="30" t="str">
        <x:f>IF(B444="","",IF(COUNTIFS(Equipment[组合编号],B444)&lt;&gt;1,"组合编号无效",INDEX(Equipment[PLC组],MATCH(B444,Equipment[组合编号],0))))</x:f>
        <x:v>汇川小型</x:v>
      </x:c>
      <x:c r="D444" s="30" t="str">
        <x:f>IF(B444="","",IF(COUNTIFS(Equipment[组合编号],B444)&lt;&gt;1,"组合编号无效",INDEX(Equipment[驱动品牌],MATCH(B444,Equipment[组合编号],0))))</x:f>
        <x:v>KEBA（可选）</x:v>
      </x:c>
      <x:c r="E444" s="20" t="str">
        <x:v>D02</x:v>
      </x:c>
      <x:c r="F444" s="20"/>
      <x:c r="G444" s="20"/>
      <x:c r="H444" s="20" t="str">
        <x:v>待判定</x:v>
      </x:c>
      <x:c r="I444" s="20"/>
      <x:c r="J444" s="20" t="str">
        <x:v>未测试</x:v>
      </x:c>
      <x:c r="K444" s="20"/>
      <x:c r="L444" s="20"/>
      <x:c r="M444" s="20"/>
      <x:c r="N444" s="20"/>
      <x:c r="O444" s="31"/>
      <x:c r="P444" s="20"/>
      <x:c r="Q444" s="20"/>
      <x:c r="R444" s="20" t="str">
        <x:v>待展开</x:v>
      </x:c>
      <x:c r="S444" s="20"/>
      <x:c r="T444" s="31"/>
      <x:c r="U444" s="30" t="str">
        <x:f>IF(A444="","缺记录编号",IF(COUNTIFS(PathRecords[记录编号],A444)&lt;&gt;1,"记录编号重复",IF(OR(B444="",E444=""),"缺组合/功能",IF(COUNTIFS(Equipment[组合编号],B444)&lt;&gt;1,"组合编号无效",IF(COUNTIFS(FunctionMatrix[编号],E444)=0,"功能编号无效",IF(H444="不适用",IF(J444="已实测","适用性冲突",IF(I444="","待补不适用依据","不适用（非实测）")),IF(J444="阻塞",IF(I444="","待补阻塞原因","阻塞（非实测）"),IF(J444&lt;&gt;"已实测",IF(F444="","待展开路径","未实测"),IF(H444&lt;&gt;"适用","待确认适用性",IF(INDEX(Equipment[登记状态（自动）],MATCH(B444,Equipment[组合编号],0))&lt;&gt;"已登记","待补设备组合",IF(AND(F444&lt;&gt;"",G444&lt;&gt;"",K444&lt;&gt;"",L444&lt;&gt;"",M444&lt;&gt;"",N444&lt;&gt;"",ISNUMBER(O444),O444&gt;0,P444&lt;&gt;""),"记录齐全","待补实测记录")))))))))))</x:f>
        <x:v>待展开路径</x:v>
      </x:c>
    </x:row>
    <x:row r="445" ht="43.5" customHeight="1">
      <x:c r="A445" s="20" t="str">
        <x:v>REC-00436</x:v>
      </x:c>
      <x:c r="B445" s="20" t="str">
        <x:v>P1-B5-01</x:v>
      </x:c>
      <x:c r="C445" s="30" t="str">
        <x:f>IF(B445="","",IF(COUNTIFS(Equipment[组合编号],B445)&lt;&gt;1,"组合编号无效",INDEX(Equipment[PLC组],MATCH(B445,Equipment[组合编号],0))))</x:f>
        <x:v>汇川小型</x:v>
      </x:c>
      <x:c r="D445" s="30" t="str">
        <x:f>IF(B445="","",IF(COUNTIFS(Equipment[组合编号],B445)&lt;&gt;1,"组合编号无效",INDEX(Equipment[驱动品牌],MATCH(B445,Equipment[组合编号],0))))</x:f>
        <x:v>KEBA（可选）</x:v>
      </x:c>
      <x:c r="E445" s="20" t="str">
        <x:v>D03</x:v>
      </x:c>
      <x:c r="F445" s="20"/>
      <x:c r="G445" s="20"/>
      <x:c r="H445" s="20" t="str">
        <x:v>待判定</x:v>
      </x:c>
      <x:c r="I445" s="20"/>
      <x:c r="J445" s="20" t="str">
        <x:v>未测试</x:v>
      </x:c>
      <x:c r="K445" s="20"/>
      <x:c r="L445" s="20"/>
      <x:c r="M445" s="20"/>
      <x:c r="N445" s="20"/>
      <x:c r="O445" s="31"/>
      <x:c r="P445" s="20"/>
      <x:c r="Q445" s="20"/>
      <x:c r="R445" s="20" t="str">
        <x:v>待展开</x:v>
      </x:c>
      <x:c r="S445" s="20"/>
      <x:c r="T445" s="31"/>
      <x:c r="U445" s="30" t="str">
        <x:f>IF(A445="","缺记录编号",IF(COUNTIFS(PathRecords[记录编号],A445)&lt;&gt;1,"记录编号重复",IF(OR(B445="",E445=""),"缺组合/功能",IF(COUNTIFS(Equipment[组合编号],B445)&lt;&gt;1,"组合编号无效",IF(COUNTIFS(FunctionMatrix[编号],E445)=0,"功能编号无效",IF(H445="不适用",IF(J445="已实测","适用性冲突",IF(I445="","待补不适用依据","不适用（非实测）")),IF(J445="阻塞",IF(I445="","待补阻塞原因","阻塞（非实测）"),IF(J445&lt;&gt;"已实测",IF(F445="","待展开路径","未实测"),IF(H445&lt;&gt;"适用","待确认适用性",IF(INDEX(Equipment[登记状态（自动）],MATCH(B445,Equipment[组合编号],0))&lt;&gt;"已登记","待补设备组合",IF(AND(F445&lt;&gt;"",G445&lt;&gt;"",K445&lt;&gt;"",L445&lt;&gt;"",M445&lt;&gt;"",N445&lt;&gt;"",ISNUMBER(O445),O445&gt;0,P445&lt;&gt;""),"记录齐全","待补实测记录")))))))))))</x:f>
        <x:v>待展开路径</x:v>
      </x:c>
    </x:row>
    <x:row r="446" ht="43.5" customHeight="1">
      <x:c r="A446" s="20" t="str">
        <x:v>REC-00437</x:v>
      </x:c>
      <x:c r="B446" s="20" t="str">
        <x:v>P1-B5-01</x:v>
      </x:c>
      <x:c r="C446" s="30" t="str">
        <x:f>IF(B446="","",IF(COUNTIFS(Equipment[组合编号],B446)&lt;&gt;1,"组合编号无效",INDEX(Equipment[PLC组],MATCH(B446,Equipment[组合编号],0))))</x:f>
        <x:v>汇川小型</x:v>
      </x:c>
      <x:c r="D446" s="30" t="str">
        <x:f>IF(B446="","",IF(COUNTIFS(Equipment[组合编号],B446)&lt;&gt;1,"组合编号无效",INDEX(Equipment[驱动品牌],MATCH(B446,Equipment[组合编号],0))))</x:f>
        <x:v>KEBA（可选）</x:v>
      </x:c>
      <x:c r="E446" s="20" t="str">
        <x:v>D04</x:v>
      </x:c>
      <x:c r="F446" s="20"/>
      <x:c r="G446" s="20"/>
      <x:c r="H446" s="20" t="str">
        <x:v>待判定</x:v>
      </x:c>
      <x:c r="I446" s="20"/>
      <x:c r="J446" s="20" t="str">
        <x:v>未测试</x:v>
      </x:c>
      <x:c r="K446" s="20"/>
      <x:c r="L446" s="20"/>
      <x:c r="M446" s="20"/>
      <x:c r="N446" s="20"/>
      <x:c r="O446" s="31"/>
      <x:c r="P446" s="20"/>
      <x:c r="Q446" s="20"/>
      <x:c r="R446" s="20" t="str">
        <x:v>待展开</x:v>
      </x:c>
      <x:c r="S446" s="20"/>
      <x:c r="T446" s="31"/>
      <x:c r="U446" s="30" t="str">
        <x:f>IF(A446="","缺记录编号",IF(COUNTIFS(PathRecords[记录编号],A446)&lt;&gt;1,"记录编号重复",IF(OR(B446="",E446=""),"缺组合/功能",IF(COUNTIFS(Equipment[组合编号],B446)&lt;&gt;1,"组合编号无效",IF(COUNTIFS(FunctionMatrix[编号],E446)=0,"功能编号无效",IF(H446="不适用",IF(J446="已实测","适用性冲突",IF(I446="","待补不适用依据","不适用（非实测）")),IF(J446="阻塞",IF(I446="","待补阻塞原因","阻塞（非实测）"),IF(J446&lt;&gt;"已实测",IF(F446="","待展开路径","未实测"),IF(H446&lt;&gt;"适用","待确认适用性",IF(INDEX(Equipment[登记状态（自动）],MATCH(B446,Equipment[组合编号],0))&lt;&gt;"已登记","待补设备组合",IF(AND(F446&lt;&gt;"",G446&lt;&gt;"",K446&lt;&gt;"",L446&lt;&gt;"",M446&lt;&gt;"",N446&lt;&gt;"",ISNUMBER(O446),O446&gt;0,P446&lt;&gt;""),"记录齐全","待补实测记录")))))))))))</x:f>
        <x:v>待展开路径</x:v>
      </x:c>
    </x:row>
    <x:row r="447" ht="43.5" customHeight="1">
      <x:c r="A447" s="20" t="str">
        <x:v>REC-00438</x:v>
      </x:c>
      <x:c r="B447" s="20" t="str">
        <x:v>P1-B5-01</x:v>
      </x:c>
      <x:c r="C447" s="30" t="str">
        <x:f>IF(B447="","",IF(COUNTIFS(Equipment[组合编号],B447)&lt;&gt;1,"组合编号无效",INDEX(Equipment[PLC组],MATCH(B447,Equipment[组合编号],0))))</x:f>
        <x:v>汇川小型</x:v>
      </x:c>
      <x:c r="D447" s="30" t="str">
        <x:f>IF(B447="","",IF(COUNTIFS(Equipment[组合编号],B447)&lt;&gt;1,"组合编号无效",INDEX(Equipment[驱动品牌],MATCH(B447,Equipment[组合编号],0))))</x:f>
        <x:v>KEBA（可选）</x:v>
      </x:c>
      <x:c r="E447" s="20" t="str">
        <x:v>D05</x:v>
      </x:c>
      <x:c r="F447" s="20"/>
      <x:c r="G447" s="20"/>
      <x:c r="H447" s="20" t="str">
        <x:v>待判定</x:v>
      </x:c>
      <x:c r="I447" s="20"/>
      <x:c r="J447" s="20" t="str">
        <x:v>未测试</x:v>
      </x:c>
      <x:c r="K447" s="20"/>
      <x:c r="L447" s="20"/>
      <x:c r="M447" s="20"/>
      <x:c r="N447" s="20"/>
      <x:c r="O447" s="31"/>
      <x:c r="P447" s="20"/>
      <x:c r="Q447" s="20"/>
      <x:c r="R447" s="20" t="str">
        <x:v>待展开</x:v>
      </x:c>
      <x:c r="S447" s="20"/>
      <x:c r="T447" s="31"/>
      <x:c r="U447" s="30" t="str">
        <x:f>IF(A447="","缺记录编号",IF(COUNTIFS(PathRecords[记录编号],A447)&lt;&gt;1,"记录编号重复",IF(OR(B447="",E447=""),"缺组合/功能",IF(COUNTIFS(Equipment[组合编号],B447)&lt;&gt;1,"组合编号无效",IF(COUNTIFS(FunctionMatrix[编号],E447)=0,"功能编号无效",IF(H447="不适用",IF(J447="已实测","适用性冲突",IF(I447="","待补不适用依据","不适用（非实测）")),IF(J447="阻塞",IF(I447="","待补阻塞原因","阻塞（非实测）"),IF(J447&lt;&gt;"已实测",IF(F447="","待展开路径","未实测"),IF(H447&lt;&gt;"适用","待确认适用性",IF(INDEX(Equipment[登记状态（自动）],MATCH(B447,Equipment[组合编号],0))&lt;&gt;"已登记","待补设备组合",IF(AND(F447&lt;&gt;"",G447&lt;&gt;"",K447&lt;&gt;"",L447&lt;&gt;"",M447&lt;&gt;"",N447&lt;&gt;"",ISNUMBER(O447),O447&gt;0,P447&lt;&gt;""),"记录齐全","待补实测记录")))))))))))</x:f>
        <x:v>待展开路径</x:v>
      </x:c>
    </x:row>
    <x:row r="448" ht="43.5" customHeight="1">
      <x:c r="A448" s="20" t="str">
        <x:v>REC-00439</x:v>
      </x:c>
      <x:c r="B448" s="20" t="str">
        <x:v>P1-B5-01</x:v>
      </x:c>
      <x:c r="C448" s="30" t="str">
        <x:f>IF(B448="","",IF(COUNTIFS(Equipment[组合编号],B448)&lt;&gt;1,"组合编号无效",INDEX(Equipment[PLC组],MATCH(B448,Equipment[组合编号],0))))</x:f>
        <x:v>汇川小型</x:v>
      </x:c>
      <x:c r="D448" s="30" t="str">
        <x:f>IF(B448="","",IF(COUNTIFS(Equipment[组合编号],B448)&lt;&gt;1,"组合编号无效",INDEX(Equipment[驱动品牌],MATCH(B448,Equipment[组合编号],0))))</x:f>
        <x:v>KEBA（可选）</x:v>
      </x:c>
      <x:c r="E448" s="20" t="str">
        <x:v>D06</x:v>
      </x:c>
      <x:c r="F448" s="20"/>
      <x:c r="G448" s="20"/>
      <x:c r="H448" s="20" t="str">
        <x:v>待判定</x:v>
      </x:c>
      <x:c r="I448" s="20"/>
      <x:c r="J448" s="20" t="str">
        <x:v>未测试</x:v>
      </x:c>
      <x:c r="K448" s="20"/>
      <x:c r="L448" s="20"/>
      <x:c r="M448" s="20"/>
      <x:c r="N448" s="20"/>
      <x:c r="O448" s="31"/>
      <x:c r="P448" s="20"/>
      <x:c r="Q448" s="20"/>
      <x:c r="R448" s="20" t="str">
        <x:v>待展开</x:v>
      </x:c>
      <x:c r="S448" s="20"/>
      <x:c r="T448" s="31"/>
      <x:c r="U448" s="30" t="str">
        <x:f>IF(A448="","缺记录编号",IF(COUNTIFS(PathRecords[记录编号],A448)&lt;&gt;1,"记录编号重复",IF(OR(B448="",E448=""),"缺组合/功能",IF(COUNTIFS(Equipment[组合编号],B448)&lt;&gt;1,"组合编号无效",IF(COUNTIFS(FunctionMatrix[编号],E448)=0,"功能编号无效",IF(H448="不适用",IF(J448="已实测","适用性冲突",IF(I448="","待补不适用依据","不适用（非实测）")),IF(J448="阻塞",IF(I448="","待补阻塞原因","阻塞（非实测）"),IF(J448&lt;&gt;"已实测",IF(F448="","待展开路径","未实测"),IF(H448&lt;&gt;"适用","待确认适用性",IF(INDEX(Equipment[登记状态（自动）],MATCH(B448,Equipment[组合编号],0))&lt;&gt;"已登记","待补设备组合",IF(AND(F448&lt;&gt;"",G448&lt;&gt;"",K448&lt;&gt;"",L448&lt;&gt;"",M448&lt;&gt;"",N448&lt;&gt;"",ISNUMBER(O448),O448&gt;0,P448&lt;&gt;""),"记录齐全","待补实测记录")))))))))))</x:f>
        <x:v>待展开路径</x:v>
      </x:c>
    </x:row>
    <x:row r="449" ht="43.5" customHeight="1">
      <x:c r="A449" s="20" t="str">
        <x:v>REC-00440</x:v>
      </x:c>
      <x:c r="B449" s="20" t="str">
        <x:v>P1-B5-01</x:v>
      </x:c>
      <x:c r="C449" s="30" t="str">
        <x:f>IF(B449="","",IF(COUNTIFS(Equipment[组合编号],B449)&lt;&gt;1,"组合编号无效",INDEX(Equipment[PLC组],MATCH(B449,Equipment[组合编号],0))))</x:f>
        <x:v>汇川小型</x:v>
      </x:c>
      <x:c r="D449" s="30" t="str">
        <x:f>IF(B449="","",IF(COUNTIFS(Equipment[组合编号],B449)&lt;&gt;1,"组合编号无效",INDEX(Equipment[驱动品牌],MATCH(B449,Equipment[组合编号],0))))</x:f>
        <x:v>KEBA（可选）</x:v>
      </x:c>
      <x:c r="E449" s="20" t="str">
        <x:v>D07</x:v>
      </x:c>
      <x:c r="F449" s="20"/>
      <x:c r="G449" s="20"/>
      <x:c r="H449" s="20" t="str">
        <x:v>待判定</x:v>
      </x:c>
      <x:c r="I449" s="20"/>
      <x:c r="J449" s="20" t="str">
        <x:v>未测试</x:v>
      </x:c>
      <x:c r="K449" s="20"/>
      <x:c r="L449" s="20"/>
      <x:c r="M449" s="20"/>
      <x:c r="N449" s="20"/>
      <x:c r="O449" s="31"/>
      <x:c r="P449" s="20"/>
      <x:c r="Q449" s="20"/>
      <x:c r="R449" s="20" t="str">
        <x:v>待展开</x:v>
      </x:c>
      <x:c r="S449" s="20"/>
      <x:c r="T449" s="31"/>
      <x:c r="U449" s="30" t="str">
        <x:f>IF(A449="","缺记录编号",IF(COUNTIFS(PathRecords[记录编号],A449)&lt;&gt;1,"记录编号重复",IF(OR(B449="",E449=""),"缺组合/功能",IF(COUNTIFS(Equipment[组合编号],B449)&lt;&gt;1,"组合编号无效",IF(COUNTIFS(FunctionMatrix[编号],E449)=0,"功能编号无效",IF(H449="不适用",IF(J449="已实测","适用性冲突",IF(I449="","待补不适用依据","不适用（非实测）")),IF(J449="阻塞",IF(I449="","待补阻塞原因","阻塞（非实测）"),IF(J449&lt;&gt;"已实测",IF(F449="","待展开路径","未实测"),IF(H449&lt;&gt;"适用","待确认适用性",IF(INDEX(Equipment[登记状态（自动）],MATCH(B449,Equipment[组合编号],0))&lt;&gt;"已登记","待补设备组合",IF(AND(F449&lt;&gt;"",G449&lt;&gt;"",K449&lt;&gt;"",L449&lt;&gt;"",M449&lt;&gt;"",N449&lt;&gt;"",ISNUMBER(O449),O449&gt;0,P449&lt;&gt;""),"记录齐全","待补实测记录")))))))))))</x:f>
        <x:v>待展开路径</x:v>
      </x:c>
    </x:row>
    <x:row r="450" ht="43.5" customHeight="1">
      <x:c r="A450" s="20" t="str">
        <x:v>REC-00441</x:v>
      </x:c>
      <x:c r="B450" s="20" t="str">
        <x:v>P1-B5-01</x:v>
      </x:c>
      <x:c r="C450" s="30" t="str">
        <x:f>IF(B450="","",IF(COUNTIFS(Equipment[组合编号],B450)&lt;&gt;1,"组合编号无效",INDEX(Equipment[PLC组],MATCH(B450,Equipment[组合编号],0))))</x:f>
        <x:v>汇川小型</x:v>
      </x:c>
      <x:c r="D450" s="30" t="str">
        <x:f>IF(B450="","",IF(COUNTIFS(Equipment[组合编号],B450)&lt;&gt;1,"组合编号无效",INDEX(Equipment[驱动品牌],MATCH(B450,Equipment[组合编号],0))))</x:f>
        <x:v>KEBA（可选）</x:v>
      </x:c>
      <x:c r="E450" s="20" t="str">
        <x:v>D08</x:v>
      </x:c>
      <x:c r="F450" s="20"/>
      <x:c r="G450" s="20"/>
      <x:c r="H450" s="20" t="str">
        <x:v>待判定</x:v>
      </x:c>
      <x:c r="I450" s="20"/>
      <x:c r="J450" s="20" t="str">
        <x:v>未测试</x:v>
      </x:c>
      <x:c r="K450" s="20"/>
      <x:c r="L450" s="20"/>
      <x:c r="M450" s="20"/>
      <x:c r="N450" s="20"/>
      <x:c r="O450" s="31"/>
      <x:c r="P450" s="20"/>
      <x:c r="Q450" s="20"/>
      <x:c r="R450" s="20" t="str">
        <x:v>待展开</x:v>
      </x:c>
      <x:c r="S450" s="20"/>
      <x:c r="T450" s="31"/>
      <x:c r="U450" s="30" t="str">
        <x:f>IF(A450="","缺记录编号",IF(COUNTIFS(PathRecords[记录编号],A450)&lt;&gt;1,"记录编号重复",IF(OR(B450="",E450=""),"缺组合/功能",IF(COUNTIFS(Equipment[组合编号],B450)&lt;&gt;1,"组合编号无效",IF(COUNTIFS(FunctionMatrix[编号],E450)=0,"功能编号无效",IF(H450="不适用",IF(J450="已实测","适用性冲突",IF(I450="","待补不适用依据","不适用（非实测）")),IF(J450="阻塞",IF(I450="","待补阻塞原因","阻塞（非实测）"),IF(J450&lt;&gt;"已实测",IF(F450="","待展开路径","未实测"),IF(H450&lt;&gt;"适用","待确认适用性",IF(INDEX(Equipment[登记状态（自动）],MATCH(B450,Equipment[组合编号],0))&lt;&gt;"已登记","待补设备组合",IF(AND(F450&lt;&gt;"",G450&lt;&gt;"",K450&lt;&gt;"",L450&lt;&gt;"",M450&lt;&gt;"",N450&lt;&gt;"",ISNUMBER(O450),O450&gt;0,P450&lt;&gt;""),"记录齐全","待补实测记录")))))))))))</x:f>
        <x:v>待展开路径</x:v>
      </x:c>
    </x:row>
    <x:row r="451" ht="43.5" customHeight="1">
      <x:c r="A451" s="20" t="str">
        <x:v>REC-00442</x:v>
      </x:c>
      <x:c r="B451" s="20" t="str">
        <x:v>P1-B5-01</x:v>
      </x:c>
      <x:c r="C451" s="30" t="str">
        <x:f>IF(B451="","",IF(COUNTIFS(Equipment[组合编号],B451)&lt;&gt;1,"组合编号无效",INDEX(Equipment[PLC组],MATCH(B451,Equipment[组合编号],0))))</x:f>
        <x:v>汇川小型</x:v>
      </x:c>
      <x:c r="D451" s="30" t="str">
        <x:f>IF(B451="","",IF(COUNTIFS(Equipment[组合编号],B451)&lt;&gt;1,"组合编号无效",INDEX(Equipment[驱动品牌],MATCH(B451,Equipment[组合编号],0))))</x:f>
        <x:v>KEBA（可选）</x:v>
      </x:c>
      <x:c r="E451" s="20" t="str">
        <x:v>D09</x:v>
      </x:c>
      <x:c r="F451" s="20"/>
      <x:c r="G451" s="20"/>
      <x:c r="H451" s="20" t="str">
        <x:v>待判定</x:v>
      </x:c>
      <x:c r="I451" s="20"/>
      <x:c r="J451" s="20" t="str">
        <x:v>未测试</x:v>
      </x:c>
      <x:c r="K451" s="20"/>
      <x:c r="L451" s="20"/>
      <x:c r="M451" s="20"/>
      <x:c r="N451" s="20"/>
      <x:c r="O451" s="31"/>
      <x:c r="P451" s="20"/>
      <x:c r="Q451" s="20"/>
      <x:c r="R451" s="20" t="str">
        <x:v>待展开</x:v>
      </x:c>
      <x:c r="S451" s="20"/>
      <x:c r="T451" s="31"/>
      <x:c r="U451" s="30" t="str">
        <x:f>IF(A451="","缺记录编号",IF(COUNTIFS(PathRecords[记录编号],A451)&lt;&gt;1,"记录编号重复",IF(OR(B451="",E451=""),"缺组合/功能",IF(COUNTIFS(Equipment[组合编号],B451)&lt;&gt;1,"组合编号无效",IF(COUNTIFS(FunctionMatrix[编号],E451)=0,"功能编号无效",IF(H451="不适用",IF(J451="已实测","适用性冲突",IF(I451="","待补不适用依据","不适用（非实测）")),IF(J451="阻塞",IF(I451="","待补阻塞原因","阻塞（非实测）"),IF(J451&lt;&gt;"已实测",IF(F451="","待展开路径","未实测"),IF(H451&lt;&gt;"适用","待确认适用性",IF(INDEX(Equipment[登记状态（自动）],MATCH(B451,Equipment[组合编号],0))&lt;&gt;"已登记","待补设备组合",IF(AND(F451&lt;&gt;"",G451&lt;&gt;"",K451&lt;&gt;"",L451&lt;&gt;"",M451&lt;&gt;"",N451&lt;&gt;"",ISNUMBER(O451),O451&gt;0,P451&lt;&gt;""),"记录齐全","待补实测记录")))))))))))</x:f>
        <x:v>待展开路径</x:v>
      </x:c>
    </x:row>
    <x:row r="452" ht="43.5" customHeight="1">
      <x:c r="A452" s="20" t="str">
        <x:v>REC-00443</x:v>
      </x:c>
      <x:c r="B452" s="20" t="str">
        <x:v>P1-B5-01</x:v>
      </x:c>
      <x:c r="C452" s="30" t="str">
        <x:f>IF(B452="","",IF(COUNTIFS(Equipment[组合编号],B452)&lt;&gt;1,"组合编号无效",INDEX(Equipment[PLC组],MATCH(B452,Equipment[组合编号],0))))</x:f>
        <x:v>汇川小型</x:v>
      </x:c>
      <x:c r="D452" s="30" t="str">
        <x:f>IF(B452="","",IF(COUNTIFS(Equipment[组合编号],B452)&lt;&gt;1,"组合编号无效",INDEX(Equipment[驱动品牌],MATCH(B452,Equipment[组合编号],0))))</x:f>
        <x:v>KEBA（可选）</x:v>
      </x:c>
      <x:c r="E452" s="20" t="str">
        <x:v>S01</x:v>
      </x:c>
      <x:c r="F452" s="20"/>
      <x:c r="G452" s="20"/>
      <x:c r="H452" s="20" t="str">
        <x:v>待判定</x:v>
      </x:c>
      <x:c r="I452" s="20"/>
      <x:c r="J452" s="20" t="str">
        <x:v>未测试</x:v>
      </x:c>
      <x:c r="K452" s="20"/>
      <x:c r="L452" s="20"/>
      <x:c r="M452" s="20"/>
      <x:c r="N452" s="20"/>
      <x:c r="O452" s="31"/>
      <x:c r="P452" s="20"/>
      <x:c r="Q452" s="20"/>
      <x:c r="R452" s="20" t="str">
        <x:v>待展开</x:v>
      </x:c>
      <x:c r="S452" s="20"/>
      <x:c r="T452" s="31"/>
      <x:c r="U452" s="30" t="str">
        <x:f>IF(A452="","缺记录编号",IF(COUNTIFS(PathRecords[记录编号],A452)&lt;&gt;1,"记录编号重复",IF(OR(B452="",E452=""),"缺组合/功能",IF(COUNTIFS(Equipment[组合编号],B452)&lt;&gt;1,"组合编号无效",IF(COUNTIFS(FunctionMatrix[编号],E452)=0,"功能编号无效",IF(H452="不适用",IF(J452="已实测","适用性冲突",IF(I452="","待补不适用依据","不适用（非实测）")),IF(J452="阻塞",IF(I452="","待补阻塞原因","阻塞（非实测）"),IF(J452&lt;&gt;"已实测",IF(F452="","待展开路径","未实测"),IF(H452&lt;&gt;"适用","待确认适用性",IF(INDEX(Equipment[登记状态（自动）],MATCH(B452,Equipment[组合编号],0))&lt;&gt;"已登记","待补设备组合",IF(AND(F452&lt;&gt;"",G452&lt;&gt;"",K452&lt;&gt;"",L452&lt;&gt;"",M452&lt;&gt;"",N452&lt;&gt;"",ISNUMBER(O452),O452&gt;0,P452&lt;&gt;""),"记录齐全","待补实测记录")))))))))))</x:f>
        <x:v>待展开路径</x:v>
      </x:c>
    </x:row>
    <x:row r="453" ht="43.5" customHeight="1">
      <x:c r="A453" s="20" t="str">
        <x:v>REC-00444</x:v>
      </x:c>
      <x:c r="B453" s="20" t="str">
        <x:v>P1-B5-01</x:v>
      </x:c>
      <x:c r="C453" s="30" t="str">
        <x:f>IF(B453="","",IF(COUNTIFS(Equipment[组合编号],B453)&lt;&gt;1,"组合编号无效",INDEX(Equipment[PLC组],MATCH(B453,Equipment[组合编号],0))))</x:f>
        <x:v>汇川小型</x:v>
      </x:c>
      <x:c r="D453" s="30" t="str">
        <x:f>IF(B453="","",IF(COUNTIFS(Equipment[组合编号],B453)&lt;&gt;1,"组合编号无效",INDEX(Equipment[驱动品牌],MATCH(B453,Equipment[组合编号],0))))</x:f>
        <x:v>KEBA（可选）</x:v>
      </x:c>
      <x:c r="E453" s="20" t="str">
        <x:v>S02</x:v>
      </x:c>
      <x:c r="F453" s="20"/>
      <x:c r="G453" s="20"/>
      <x:c r="H453" s="20" t="str">
        <x:v>待判定</x:v>
      </x:c>
      <x:c r="I453" s="20"/>
      <x:c r="J453" s="20" t="str">
        <x:v>未测试</x:v>
      </x:c>
      <x:c r="K453" s="20"/>
      <x:c r="L453" s="20"/>
      <x:c r="M453" s="20"/>
      <x:c r="N453" s="20"/>
      <x:c r="O453" s="31"/>
      <x:c r="P453" s="20"/>
      <x:c r="Q453" s="20"/>
      <x:c r="R453" s="20" t="str">
        <x:v>待展开</x:v>
      </x:c>
      <x:c r="S453" s="20"/>
      <x:c r="T453" s="31"/>
      <x:c r="U453" s="30" t="str">
        <x:f>IF(A453="","缺记录编号",IF(COUNTIFS(PathRecords[记录编号],A453)&lt;&gt;1,"记录编号重复",IF(OR(B453="",E453=""),"缺组合/功能",IF(COUNTIFS(Equipment[组合编号],B453)&lt;&gt;1,"组合编号无效",IF(COUNTIFS(FunctionMatrix[编号],E453)=0,"功能编号无效",IF(H453="不适用",IF(J453="已实测","适用性冲突",IF(I453="","待补不适用依据","不适用（非实测）")),IF(J453="阻塞",IF(I453="","待补阻塞原因","阻塞（非实测）"),IF(J453&lt;&gt;"已实测",IF(F453="","待展开路径","未实测"),IF(H453&lt;&gt;"适用","待确认适用性",IF(INDEX(Equipment[登记状态（自动）],MATCH(B453,Equipment[组合编号],0))&lt;&gt;"已登记","待补设备组合",IF(AND(F453&lt;&gt;"",G453&lt;&gt;"",K453&lt;&gt;"",L453&lt;&gt;"",M453&lt;&gt;"",N453&lt;&gt;"",ISNUMBER(O453),O453&gt;0,P453&lt;&gt;""),"记录齐全","待补实测记录")))))))))))</x:f>
        <x:v>待展开路径</x:v>
      </x:c>
    </x:row>
    <x:row r="454" ht="43.5" customHeight="1">
      <x:c r="A454" s="20" t="str">
        <x:v>REC-00445</x:v>
      </x:c>
      <x:c r="B454" s="20" t="str">
        <x:v>P1-B5-01</x:v>
      </x:c>
      <x:c r="C454" s="30" t="str">
        <x:f>IF(B454="","",IF(COUNTIFS(Equipment[组合编号],B454)&lt;&gt;1,"组合编号无效",INDEX(Equipment[PLC组],MATCH(B454,Equipment[组合编号],0))))</x:f>
        <x:v>汇川小型</x:v>
      </x:c>
      <x:c r="D454" s="30" t="str">
        <x:f>IF(B454="","",IF(COUNTIFS(Equipment[组合编号],B454)&lt;&gt;1,"组合编号无效",INDEX(Equipment[驱动品牌],MATCH(B454,Equipment[组合编号],0))))</x:f>
        <x:v>KEBA（可选）</x:v>
      </x:c>
      <x:c r="E454" s="20" t="str">
        <x:v>S03</x:v>
      </x:c>
      <x:c r="F454" s="20"/>
      <x:c r="G454" s="20"/>
      <x:c r="H454" s="20" t="str">
        <x:v>待判定</x:v>
      </x:c>
      <x:c r="I454" s="20"/>
      <x:c r="J454" s="20" t="str">
        <x:v>未测试</x:v>
      </x:c>
      <x:c r="K454" s="20"/>
      <x:c r="L454" s="20"/>
      <x:c r="M454" s="20"/>
      <x:c r="N454" s="20"/>
      <x:c r="O454" s="31"/>
      <x:c r="P454" s="20"/>
      <x:c r="Q454" s="20"/>
      <x:c r="R454" s="20" t="str">
        <x:v>待展开</x:v>
      </x:c>
      <x:c r="S454" s="20"/>
      <x:c r="T454" s="31"/>
      <x:c r="U454" s="30" t="str">
        <x:f>IF(A454="","缺记录编号",IF(COUNTIFS(PathRecords[记录编号],A454)&lt;&gt;1,"记录编号重复",IF(OR(B454="",E454=""),"缺组合/功能",IF(COUNTIFS(Equipment[组合编号],B454)&lt;&gt;1,"组合编号无效",IF(COUNTIFS(FunctionMatrix[编号],E454)=0,"功能编号无效",IF(H454="不适用",IF(J454="已实测","适用性冲突",IF(I454="","待补不适用依据","不适用（非实测）")),IF(J454="阻塞",IF(I454="","待补阻塞原因","阻塞（非实测）"),IF(J454&lt;&gt;"已实测",IF(F454="","待展开路径","未实测"),IF(H454&lt;&gt;"适用","待确认适用性",IF(INDEX(Equipment[登记状态（自动）],MATCH(B454,Equipment[组合编号],0))&lt;&gt;"已登记","待补设备组合",IF(AND(F454&lt;&gt;"",G454&lt;&gt;"",K454&lt;&gt;"",L454&lt;&gt;"",M454&lt;&gt;"",N454&lt;&gt;"",ISNUMBER(O454),O454&gt;0,P454&lt;&gt;""),"记录齐全","待补实测记录")))))))))))</x:f>
        <x:v>待展开路径</x:v>
      </x:c>
    </x:row>
    <x:row r="455" ht="43.5" customHeight="1">
      <x:c r="A455" s="20" t="str">
        <x:v>REC-00446</x:v>
      </x:c>
      <x:c r="B455" s="20" t="str">
        <x:v>P1-B5-01</x:v>
      </x:c>
      <x:c r="C455" s="30" t="str">
        <x:f>IF(B455="","",IF(COUNTIFS(Equipment[组合编号],B455)&lt;&gt;1,"组合编号无效",INDEX(Equipment[PLC组],MATCH(B455,Equipment[组合编号],0))))</x:f>
        <x:v>汇川小型</x:v>
      </x:c>
      <x:c r="D455" s="30" t="str">
        <x:f>IF(B455="","",IF(COUNTIFS(Equipment[组合编号],B455)&lt;&gt;1,"组合编号无效",INDEX(Equipment[驱动品牌],MATCH(B455,Equipment[组合编号],0))))</x:f>
        <x:v>KEBA（可选）</x:v>
      </x:c>
      <x:c r="E455" s="20" t="str">
        <x:v>S04</x:v>
      </x:c>
      <x:c r="F455" s="20"/>
      <x:c r="G455" s="20"/>
      <x:c r="H455" s="20" t="str">
        <x:v>待判定</x:v>
      </x:c>
      <x:c r="I455" s="20"/>
      <x:c r="J455" s="20" t="str">
        <x:v>未测试</x:v>
      </x:c>
      <x:c r="K455" s="20"/>
      <x:c r="L455" s="20"/>
      <x:c r="M455" s="20"/>
      <x:c r="N455" s="20"/>
      <x:c r="O455" s="31"/>
      <x:c r="P455" s="20"/>
      <x:c r="Q455" s="20"/>
      <x:c r="R455" s="20" t="str">
        <x:v>待展开</x:v>
      </x:c>
      <x:c r="S455" s="20"/>
      <x:c r="T455" s="31"/>
      <x:c r="U455" s="30" t="str">
        <x:f>IF(A455="","缺记录编号",IF(COUNTIFS(PathRecords[记录编号],A455)&lt;&gt;1,"记录编号重复",IF(OR(B455="",E455=""),"缺组合/功能",IF(COUNTIFS(Equipment[组合编号],B455)&lt;&gt;1,"组合编号无效",IF(COUNTIFS(FunctionMatrix[编号],E455)=0,"功能编号无效",IF(H455="不适用",IF(J455="已实测","适用性冲突",IF(I455="","待补不适用依据","不适用（非实测）")),IF(J455="阻塞",IF(I455="","待补阻塞原因","阻塞（非实测）"),IF(J455&lt;&gt;"已实测",IF(F455="","待展开路径","未实测"),IF(H455&lt;&gt;"适用","待确认适用性",IF(INDEX(Equipment[登记状态（自动）],MATCH(B455,Equipment[组合编号],0))&lt;&gt;"已登记","待补设备组合",IF(AND(F455&lt;&gt;"",G455&lt;&gt;"",K455&lt;&gt;"",L455&lt;&gt;"",M455&lt;&gt;"",N455&lt;&gt;"",ISNUMBER(O455),O455&gt;0,P455&lt;&gt;""),"记录齐全","待补实测记录")))))))))))</x:f>
        <x:v>待展开路径</x:v>
      </x:c>
    </x:row>
    <x:row r="456" ht="43.5" customHeight="1">
      <x:c r="A456" s="20" t="str">
        <x:v>REC-00447</x:v>
      </x:c>
      <x:c r="B456" s="20" t="str">
        <x:v>P1-B5-01</x:v>
      </x:c>
      <x:c r="C456" s="30" t="str">
        <x:f>IF(B456="","",IF(COUNTIFS(Equipment[组合编号],B456)&lt;&gt;1,"组合编号无效",INDEX(Equipment[PLC组],MATCH(B456,Equipment[组合编号],0))))</x:f>
        <x:v>汇川小型</x:v>
      </x:c>
      <x:c r="D456" s="30" t="str">
        <x:f>IF(B456="","",IF(COUNTIFS(Equipment[组合编号],B456)&lt;&gt;1,"组合编号无效",INDEX(Equipment[驱动品牌],MATCH(B456,Equipment[组合编号],0))))</x:f>
        <x:v>KEBA（可选）</x:v>
      </x:c>
      <x:c r="E456" s="20" t="str">
        <x:v>S05</x:v>
      </x:c>
      <x:c r="F456" s="20"/>
      <x:c r="G456" s="20"/>
      <x:c r="H456" s="20" t="str">
        <x:v>待判定</x:v>
      </x:c>
      <x:c r="I456" s="20"/>
      <x:c r="J456" s="20" t="str">
        <x:v>未测试</x:v>
      </x:c>
      <x:c r="K456" s="20"/>
      <x:c r="L456" s="20"/>
      <x:c r="M456" s="20"/>
      <x:c r="N456" s="20"/>
      <x:c r="O456" s="31"/>
      <x:c r="P456" s="20"/>
      <x:c r="Q456" s="20"/>
      <x:c r="R456" s="20" t="str">
        <x:v>待展开</x:v>
      </x:c>
      <x:c r="S456" s="20"/>
      <x:c r="T456" s="31"/>
      <x:c r="U456" s="30" t="str">
        <x:f>IF(A456="","缺记录编号",IF(COUNTIFS(PathRecords[记录编号],A456)&lt;&gt;1,"记录编号重复",IF(OR(B456="",E456=""),"缺组合/功能",IF(COUNTIFS(Equipment[组合编号],B456)&lt;&gt;1,"组合编号无效",IF(COUNTIFS(FunctionMatrix[编号],E456)=0,"功能编号无效",IF(H456="不适用",IF(J456="已实测","适用性冲突",IF(I456="","待补不适用依据","不适用（非实测）")),IF(J456="阻塞",IF(I456="","待补阻塞原因","阻塞（非实测）"),IF(J456&lt;&gt;"已实测",IF(F456="","待展开路径","未实测"),IF(H456&lt;&gt;"适用","待确认适用性",IF(INDEX(Equipment[登记状态（自动）],MATCH(B456,Equipment[组合编号],0))&lt;&gt;"已登记","待补设备组合",IF(AND(F456&lt;&gt;"",G456&lt;&gt;"",K456&lt;&gt;"",L456&lt;&gt;"",M456&lt;&gt;"",N456&lt;&gt;"",ISNUMBER(O456),O456&gt;0,P456&lt;&gt;""),"记录齐全","待补实测记录")))))))))))</x:f>
        <x:v>待展开路径</x:v>
      </x:c>
    </x:row>
    <x:row r="457" ht="43.5" customHeight="1">
      <x:c r="A457" s="20" t="str">
        <x:v>REC-00448</x:v>
      </x:c>
      <x:c r="B457" s="20" t="str">
        <x:v>P1-B5-01</x:v>
      </x:c>
      <x:c r="C457" s="30" t="str">
        <x:f>IF(B457="","",IF(COUNTIFS(Equipment[组合编号],B457)&lt;&gt;1,"组合编号无效",INDEX(Equipment[PLC组],MATCH(B457,Equipment[组合编号],0))))</x:f>
        <x:v>汇川小型</x:v>
      </x:c>
      <x:c r="D457" s="30" t="str">
        <x:f>IF(B457="","",IF(COUNTIFS(Equipment[组合编号],B457)&lt;&gt;1,"组合编号无效",INDEX(Equipment[驱动品牌],MATCH(B457,Equipment[组合编号],0))))</x:f>
        <x:v>KEBA（可选）</x:v>
      </x:c>
      <x:c r="E457" s="20" t="str">
        <x:v>S06</x:v>
      </x:c>
      <x:c r="F457" s="20"/>
      <x:c r="G457" s="20"/>
      <x:c r="H457" s="20" t="str">
        <x:v>待判定</x:v>
      </x:c>
      <x:c r="I457" s="20"/>
      <x:c r="J457" s="20" t="str">
        <x:v>未测试</x:v>
      </x:c>
      <x:c r="K457" s="20"/>
      <x:c r="L457" s="20"/>
      <x:c r="M457" s="20"/>
      <x:c r="N457" s="20"/>
      <x:c r="O457" s="31"/>
      <x:c r="P457" s="20"/>
      <x:c r="Q457" s="20"/>
      <x:c r="R457" s="20" t="str">
        <x:v>待展开</x:v>
      </x:c>
      <x:c r="S457" s="20"/>
      <x:c r="T457" s="31"/>
      <x:c r="U457" s="30" t="str">
        <x:f>IF(A457="","缺记录编号",IF(COUNTIFS(PathRecords[记录编号],A457)&lt;&gt;1,"记录编号重复",IF(OR(B457="",E457=""),"缺组合/功能",IF(COUNTIFS(Equipment[组合编号],B457)&lt;&gt;1,"组合编号无效",IF(COUNTIFS(FunctionMatrix[编号],E457)=0,"功能编号无效",IF(H457="不适用",IF(J457="已实测","适用性冲突",IF(I457="","待补不适用依据","不适用（非实测）")),IF(J457="阻塞",IF(I457="","待补阻塞原因","阻塞（非实测）"),IF(J457&lt;&gt;"已实测",IF(F457="","待展开路径","未实测"),IF(H457&lt;&gt;"适用","待确认适用性",IF(INDEX(Equipment[登记状态（自动）],MATCH(B457,Equipment[组合编号],0))&lt;&gt;"已登记","待补设备组合",IF(AND(F457&lt;&gt;"",G457&lt;&gt;"",K457&lt;&gt;"",L457&lt;&gt;"",M457&lt;&gt;"",N457&lt;&gt;"",ISNUMBER(O457),O457&gt;0,P457&lt;&gt;""),"记录齐全","待补实测记录")))))))))))</x:f>
        <x:v>待展开路径</x:v>
      </x:c>
    </x:row>
    <x:row r="458" ht="43.5" customHeight="1">
      <x:c r="A458" s="20" t="str">
        <x:v>REC-00449</x:v>
      </x:c>
      <x:c r="B458" s="20" t="str">
        <x:v>P1-B5-01</x:v>
      </x:c>
      <x:c r="C458" s="30" t="str">
        <x:f>IF(B458="","",IF(COUNTIFS(Equipment[组合编号],B458)&lt;&gt;1,"组合编号无效",INDEX(Equipment[PLC组],MATCH(B458,Equipment[组合编号],0))))</x:f>
        <x:v>汇川小型</x:v>
      </x:c>
      <x:c r="D458" s="30" t="str">
        <x:f>IF(B458="","",IF(COUNTIFS(Equipment[组合编号],B458)&lt;&gt;1,"组合编号无效",INDEX(Equipment[驱动品牌],MATCH(B458,Equipment[组合编号],0))))</x:f>
        <x:v>KEBA（可选）</x:v>
      </x:c>
      <x:c r="E458" s="20" t="str">
        <x:v>S07</x:v>
      </x:c>
      <x:c r="F458" s="20"/>
      <x:c r="G458" s="20"/>
      <x:c r="H458" s="20" t="str">
        <x:v>待判定</x:v>
      </x:c>
      <x:c r="I458" s="20"/>
      <x:c r="J458" s="20" t="str">
        <x:v>未测试</x:v>
      </x:c>
      <x:c r="K458" s="20"/>
      <x:c r="L458" s="20"/>
      <x:c r="M458" s="20"/>
      <x:c r="N458" s="20"/>
      <x:c r="O458" s="31"/>
      <x:c r="P458" s="20"/>
      <x:c r="Q458" s="20"/>
      <x:c r="R458" s="20" t="str">
        <x:v>待展开</x:v>
      </x:c>
      <x:c r="S458" s="20"/>
      <x:c r="T458" s="31"/>
      <x:c r="U458" s="30" t="str">
        <x:f>IF(A458="","缺记录编号",IF(COUNTIFS(PathRecords[记录编号],A458)&lt;&gt;1,"记录编号重复",IF(OR(B458="",E458=""),"缺组合/功能",IF(COUNTIFS(Equipment[组合编号],B458)&lt;&gt;1,"组合编号无效",IF(COUNTIFS(FunctionMatrix[编号],E458)=0,"功能编号无效",IF(H458="不适用",IF(J458="已实测","适用性冲突",IF(I458="","待补不适用依据","不适用（非实测）")),IF(J458="阻塞",IF(I458="","待补阻塞原因","阻塞（非实测）"),IF(J458&lt;&gt;"已实测",IF(F458="","待展开路径","未实测"),IF(H458&lt;&gt;"适用","待确认适用性",IF(INDEX(Equipment[登记状态（自动）],MATCH(B458,Equipment[组合编号],0))&lt;&gt;"已登记","待补设备组合",IF(AND(F458&lt;&gt;"",G458&lt;&gt;"",K458&lt;&gt;"",L458&lt;&gt;"",M458&lt;&gt;"",N458&lt;&gt;"",ISNUMBER(O458),O458&gt;0,P458&lt;&gt;""),"记录齐全","待补实测记录")))))))))))</x:f>
        <x:v>待展开路径</x:v>
      </x:c>
    </x:row>
    <x:row r="459" ht="43.5" customHeight="1">
      <x:c r="A459" s="20" t="str">
        <x:v>REC-00450</x:v>
      </x:c>
      <x:c r="B459" s="20" t="str">
        <x:v>P1-B5-01</x:v>
      </x:c>
      <x:c r="C459" s="30" t="str">
        <x:f>IF(B459="","",IF(COUNTIFS(Equipment[组合编号],B459)&lt;&gt;1,"组合编号无效",INDEX(Equipment[PLC组],MATCH(B459,Equipment[组合编号],0))))</x:f>
        <x:v>汇川小型</x:v>
      </x:c>
      <x:c r="D459" s="30" t="str">
        <x:f>IF(B459="","",IF(COUNTIFS(Equipment[组合编号],B459)&lt;&gt;1,"组合编号无效",INDEX(Equipment[驱动品牌],MATCH(B459,Equipment[组合编号],0))))</x:f>
        <x:v>KEBA（可选）</x:v>
      </x:c>
      <x:c r="E459" s="20" t="str">
        <x:v>S08</x:v>
      </x:c>
      <x:c r="F459" s="20"/>
      <x:c r="G459" s="20"/>
      <x:c r="H459" s="20" t="str">
        <x:v>待判定</x:v>
      </x:c>
      <x:c r="I459" s="20"/>
      <x:c r="J459" s="20" t="str">
        <x:v>未测试</x:v>
      </x:c>
      <x:c r="K459" s="20"/>
      <x:c r="L459" s="20"/>
      <x:c r="M459" s="20"/>
      <x:c r="N459" s="20"/>
      <x:c r="O459" s="31"/>
      <x:c r="P459" s="20"/>
      <x:c r="Q459" s="20"/>
      <x:c r="R459" s="20" t="str">
        <x:v>待展开</x:v>
      </x:c>
      <x:c r="S459" s="20"/>
      <x:c r="T459" s="31"/>
      <x:c r="U459" s="30" t="str">
        <x:f>IF(A459="","缺记录编号",IF(COUNTIFS(PathRecords[记录编号],A459)&lt;&gt;1,"记录编号重复",IF(OR(B459="",E459=""),"缺组合/功能",IF(COUNTIFS(Equipment[组合编号],B459)&lt;&gt;1,"组合编号无效",IF(COUNTIFS(FunctionMatrix[编号],E459)=0,"功能编号无效",IF(H459="不适用",IF(J459="已实测","适用性冲突",IF(I459="","待补不适用依据","不适用（非实测）")),IF(J459="阻塞",IF(I459="","待补阻塞原因","阻塞（非实测）"),IF(J459&lt;&gt;"已实测",IF(F459="","待展开路径","未实测"),IF(H459&lt;&gt;"适用","待确认适用性",IF(INDEX(Equipment[登记状态（自动）],MATCH(B459,Equipment[组合编号],0))&lt;&gt;"已登记","待补设备组合",IF(AND(F459&lt;&gt;"",G459&lt;&gt;"",K459&lt;&gt;"",L459&lt;&gt;"",M459&lt;&gt;"",N459&lt;&gt;"",ISNUMBER(O459),O459&gt;0,P459&lt;&gt;""),"记录齐全","待补实测记录")))))))))))</x:f>
        <x:v>待展开路径</x:v>
      </x:c>
    </x:row>
    <x:row r="460" ht="43.5" customHeight="1">
      <x:c r="A460" s="20" t="str">
        <x:v>REC-00451</x:v>
      </x:c>
      <x:c r="B460" s="20" t="str">
        <x:v>P1-B5-01</x:v>
      </x:c>
      <x:c r="C460" s="30" t="str">
        <x:f>IF(B460="","",IF(COUNTIFS(Equipment[组合编号],B460)&lt;&gt;1,"组合编号无效",INDEX(Equipment[PLC组],MATCH(B460,Equipment[组合编号],0))))</x:f>
        <x:v>汇川小型</x:v>
      </x:c>
      <x:c r="D460" s="30" t="str">
        <x:f>IF(B460="","",IF(COUNTIFS(Equipment[组合编号],B460)&lt;&gt;1,"组合编号无效",INDEX(Equipment[驱动品牌],MATCH(B460,Equipment[组合编号],0))))</x:f>
        <x:v>KEBA（可选）</x:v>
      </x:c>
      <x:c r="E460" s="20" t="str">
        <x:v>S09</x:v>
      </x:c>
      <x:c r="F460" s="20"/>
      <x:c r="G460" s="20"/>
      <x:c r="H460" s="20" t="str">
        <x:v>待判定</x:v>
      </x:c>
      <x:c r="I460" s="20"/>
      <x:c r="J460" s="20" t="str">
        <x:v>未测试</x:v>
      </x:c>
      <x:c r="K460" s="20"/>
      <x:c r="L460" s="20"/>
      <x:c r="M460" s="20"/>
      <x:c r="N460" s="20"/>
      <x:c r="O460" s="31"/>
      <x:c r="P460" s="20"/>
      <x:c r="Q460" s="20"/>
      <x:c r="R460" s="20" t="str">
        <x:v>待展开</x:v>
      </x:c>
      <x:c r="S460" s="20"/>
      <x:c r="T460" s="31"/>
      <x:c r="U460" s="30" t="str">
        <x:f>IF(A460="","缺记录编号",IF(COUNTIFS(PathRecords[记录编号],A460)&lt;&gt;1,"记录编号重复",IF(OR(B460="",E460=""),"缺组合/功能",IF(COUNTIFS(Equipment[组合编号],B460)&lt;&gt;1,"组合编号无效",IF(COUNTIFS(FunctionMatrix[编号],E460)=0,"功能编号无效",IF(H460="不适用",IF(J460="已实测","适用性冲突",IF(I460="","待补不适用依据","不适用（非实测）")),IF(J460="阻塞",IF(I460="","待补阻塞原因","阻塞（非实测）"),IF(J460&lt;&gt;"已实测",IF(F460="","待展开路径","未实测"),IF(H460&lt;&gt;"适用","待确认适用性",IF(INDEX(Equipment[登记状态（自动）],MATCH(B460,Equipment[组合编号],0))&lt;&gt;"已登记","待补设备组合",IF(AND(F460&lt;&gt;"",G460&lt;&gt;"",K460&lt;&gt;"",L460&lt;&gt;"",M460&lt;&gt;"",N460&lt;&gt;"",ISNUMBER(O460),O460&gt;0,P460&lt;&gt;""),"记录齐全","待补实测记录")))))))))))</x:f>
        <x:v>待展开路径</x:v>
      </x:c>
    </x:row>
    <x:row r="461" ht="43.5" customHeight="1">
      <x:c r="A461" s="20" t="str">
        <x:v>REC-00452</x:v>
      </x:c>
      <x:c r="B461" s="20" t="str">
        <x:v>P1-B5-01</x:v>
      </x:c>
      <x:c r="C461" s="30" t="str">
        <x:f>IF(B461="","",IF(COUNTIFS(Equipment[组合编号],B461)&lt;&gt;1,"组合编号无效",INDEX(Equipment[PLC组],MATCH(B461,Equipment[组合编号],0))))</x:f>
        <x:v>汇川小型</x:v>
      </x:c>
      <x:c r="D461" s="30" t="str">
        <x:f>IF(B461="","",IF(COUNTIFS(Equipment[组合编号],B461)&lt;&gt;1,"组合编号无效",INDEX(Equipment[驱动品牌],MATCH(B461,Equipment[组合编号],0))))</x:f>
        <x:v>KEBA（可选）</x:v>
      </x:c>
      <x:c r="E461" s="20" t="str">
        <x:v>U01</x:v>
      </x:c>
      <x:c r="F461" s="20"/>
      <x:c r="G461" s="20"/>
      <x:c r="H461" s="20" t="str">
        <x:v>待判定</x:v>
      </x:c>
      <x:c r="I461" s="20"/>
      <x:c r="J461" s="20" t="str">
        <x:v>未测试</x:v>
      </x:c>
      <x:c r="K461" s="20"/>
      <x:c r="L461" s="20"/>
      <x:c r="M461" s="20"/>
      <x:c r="N461" s="20"/>
      <x:c r="O461" s="31"/>
      <x:c r="P461" s="20"/>
      <x:c r="Q461" s="20"/>
      <x:c r="R461" s="20" t="str">
        <x:v>待展开</x:v>
      </x:c>
      <x:c r="S461" s="20"/>
      <x:c r="T461" s="31"/>
      <x:c r="U461" s="30" t="str">
        <x:f>IF(A461="","缺记录编号",IF(COUNTIFS(PathRecords[记录编号],A461)&lt;&gt;1,"记录编号重复",IF(OR(B461="",E461=""),"缺组合/功能",IF(COUNTIFS(Equipment[组合编号],B461)&lt;&gt;1,"组合编号无效",IF(COUNTIFS(FunctionMatrix[编号],E461)=0,"功能编号无效",IF(H461="不适用",IF(J461="已实测","适用性冲突",IF(I461="","待补不适用依据","不适用（非实测）")),IF(J461="阻塞",IF(I461="","待补阻塞原因","阻塞（非实测）"),IF(J461&lt;&gt;"已实测",IF(F461="","待展开路径","未实测"),IF(H461&lt;&gt;"适用","待确认适用性",IF(INDEX(Equipment[登记状态（自动）],MATCH(B461,Equipment[组合编号],0))&lt;&gt;"已登记","待补设备组合",IF(AND(F461&lt;&gt;"",G461&lt;&gt;"",K461&lt;&gt;"",L461&lt;&gt;"",M461&lt;&gt;"",N461&lt;&gt;"",ISNUMBER(O461),O461&gt;0,P461&lt;&gt;""),"记录齐全","待补实测记录")))))))))))</x:f>
        <x:v>待展开路径</x:v>
      </x:c>
    </x:row>
    <x:row r="462" ht="43.5" customHeight="1">
      <x:c r="A462" s="20" t="str">
        <x:v>REC-00453</x:v>
      </x:c>
      <x:c r="B462" s="20" t="str">
        <x:v>P1-B5-01</x:v>
      </x:c>
      <x:c r="C462" s="30" t="str">
        <x:f>IF(B462="","",IF(COUNTIFS(Equipment[组合编号],B462)&lt;&gt;1,"组合编号无效",INDEX(Equipment[PLC组],MATCH(B462,Equipment[组合编号],0))))</x:f>
        <x:v>汇川小型</x:v>
      </x:c>
      <x:c r="D462" s="30" t="str">
        <x:f>IF(B462="","",IF(COUNTIFS(Equipment[组合编号],B462)&lt;&gt;1,"组合编号无效",INDEX(Equipment[驱动品牌],MATCH(B462,Equipment[组合编号],0))))</x:f>
        <x:v>KEBA（可选）</x:v>
      </x:c>
      <x:c r="E462" s="20" t="str">
        <x:v>U02</x:v>
      </x:c>
      <x:c r="F462" s="20"/>
      <x:c r="G462" s="20"/>
      <x:c r="H462" s="20" t="str">
        <x:v>待判定</x:v>
      </x:c>
      <x:c r="I462" s="20"/>
      <x:c r="J462" s="20" t="str">
        <x:v>未测试</x:v>
      </x:c>
      <x:c r="K462" s="20"/>
      <x:c r="L462" s="20"/>
      <x:c r="M462" s="20"/>
      <x:c r="N462" s="20"/>
      <x:c r="O462" s="31"/>
      <x:c r="P462" s="20"/>
      <x:c r="Q462" s="20"/>
      <x:c r="R462" s="20" t="str">
        <x:v>待展开</x:v>
      </x:c>
      <x:c r="S462" s="20"/>
      <x:c r="T462" s="31"/>
      <x:c r="U462" s="30" t="str">
        <x:f>IF(A462="","缺记录编号",IF(COUNTIFS(PathRecords[记录编号],A462)&lt;&gt;1,"记录编号重复",IF(OR(B462="",E462=""),"缺组合/功能",IF(COUNTIFS(Equipment[组合编号],B462)&lt;&gt;1,"组合编号无效",IF(COUNTIFS(FunctionMatrix[编号],E462)=0,"功能编号无效",IF(H462="不适用",IF(J462="已实测","适用性冲突",IF(I462="","待补不适用依据","不适用（非实测）")),IF(J462="阻塞",IF(I462="","待补阻塞原因","阻塞（非实测）"),IF(J462&lt;&gt;"已实测",IF(F462="","待展开路径","未实测"),IF(H462&lt;&gt;"适用","待确认适用性",IF(INDEX(Equipment[登记状态（自动）],MATCH(B462,Equipment[组合编号],0))&lt;&gt;"已登记","待补设备组合",IF(AND(F462&lt;&gt;"",G462&lt;&gt;"",K462&lt;&gt;"",L462&lt;&gt;"",M462&lt;&gt;"",N462&lt;&gt;"",ISNUMBER(O462),O462&gt;0,P462&lt;&gt;""),"记录齐全","待补实测记录")))))))))))</x:f>
        <x:v>待展开路径</x:v>
      </x:c>
    </x:row>
    <x:row r="463" ht="43.5" customHeight="1">
      <x:c r="A463" s="20" t="str">
        <x:v>REC-00454</x:v>
      </x:c>
      <x:c r="B463" s="20" t="str">
        <x:v>P1-B5-01</x:v>
      </x:c>
      <x:c r="C463" s="30" t="str">
        <x:f>IF(B463="","",IF(COUNTIFS(Equipment[组合编号],B463)&lt;&gt;1,"组合编号无效",INDEX(Equipment[PLC组],MATCH(B463,Equipment[组合编号],0))))</x:f>
        <x:v>汇川小型</x:v>
      </x:c>
      <x:c r="D463" s="30" t="str">
        <x:f>IF(B463="","",IF(COUNTIFS(Equipment[组合编号],B463)&lt;&gt;1,"组合编号无效",INDEX(Equipment[驱动品牌],MATCH(B463,Equipment[组合编号],0))))</x:f>
        <x:v>KEBA（可选）</x:v>
      </x:c>
      <x:c r="E463" s="20" t="str">
        <x:v>U03</x:v>
      </x:c>
      <x:c r="F463" s="20"/>
      <x:c r="G463" s="20"/>
      <x:c r="H463" s="20" t="str">
        <x:v>待判定</x:v>
      </x:c>
      <x:c r="I463" s="20"/>
      <x:c r="J463" s="20" t="str">
        <x:v>未测试</x:v>
      </x:c>
      <x:c r="K463" s="20"/>
      <x:c r="L463" s="20"/>
      <x:c r="M463" s="20"/>
      <x:c r="N463" s="20"/>
      <x:c r="O463" s="31"/>
      <x:c r="P463" s="20"/>
      <x:c r="Q463" s="20"/>
      <x:c r="R463" s="20" t="str">
        <x:v>待展开</x:v>
      </x:c>
      <x:c r="S463" s="20"/>
      <x:c r="T463" s="31"/>
      <x:c r="U463" s="30" t="str">
        <x:f>IF(A463="","缺记录编号",IF(COUNTIFS(PathRecords[记录编号],A463)&lt;&gt;1,"记录编号重复",IF(OR(B463="",E463=""),"缺组合/功能",IF(COUNTIFS(Equipment[组合编号],B463)&lt;&gt;1,"组合编号无效",IF(COUNTIFS(FunctionMatrix[编号],E463)=0,"功能编号无效",IF(H463="不适用",IF(J463="已实测","适用性冲突",IF(I463="","待补不适用依据","不适用（非实测）")),IF(J463="阻塞",IF(I463="","待补阻塞原因","阻塞（非实测）"),IF(J463&lt;&gt;"已实测",IF(F463="","待展开路径","未实测"),IF(H463&lt;&gt;"适用","待确认适用性",IF(INDEX(Equipment[登记状态（自动）],MATCH(B463,Equipment[组合编号],0))&lt;&gt;"已登记","待补设备组合",IF(AND(F463&lt;&gt;"",G463&lt;&gt;"",K463&lt;&gt;"",L463&lt;&gt;"",M463&lt;&gt;"",N463&lt;&gt;"",ISNUMBER(O463),O463&gt;0,P463&lt;&gt;""),"记录齐全","待补实测记录")))))))))))</x:f>
        <x:v>待展开路径</x:v>
      </x:c>
    </x:row>
    <x:row r="464" ht="43.5" customHeight="1">
      <x:c r="A464" s="20" t="str">
        <x:v>REC-00455</x:v>
      </x:c>
      <x:c r="B464" s="20" t="str">
        <x:v>P1-B5-01</x:v>
      </x:c>
      <x:c r="C464" s="30" t="str">
        <x:f>IF(B464="","",IF(COUNTIFS(Equipment[组合编号],B464)&lt;&gt;1,"组合编号无效",INDEX(Equipment[PLC组],MATCH(B464,Equipment[组合编号],0))))</x:f>
        <x:v>汇川小型</x:v>
      </x:c>
      <x:c r="D464" s="30" t="str">
        <x:f>IF(B464="","",IF(COUNTIFS(Equipment[组合编号],B464)&lt;&gt;1,"组合编号无效",INDEX(Equipment[驱动品牌],MATCH(B464,Equipment[组合编号],0))))</x:f>
        <x:v>KEBA（可选）</x:v>
      </x:c>
      <x:c r="E464" s="20" t="str">
        <x:v>U04</x:v>
      </x:c>
      <x:c r="F464" s="20"/>
      <x:c r="G464" s="20"/>
      <x:c r="H464" s="20" t="str">
        <x:v>待判定</x:v>
      </x:c>
      <x:c r="I464" s="20"/>
      <x:c r="J464" s="20" t="str">
        <x:v>未测试</x:v>
      </x:c>
      <x:c r="K464" s="20"/>
      <x:c r="L464" s="20"/>
      <x:c r="M464" s="20"/>
      <x:c r="N464" s="20"/>
      <x:c r="O464" s="31"/>
      <x:c r="P464" s="20"/>
      <x:c r="Q464" s="20"/>
      <x:c r="R464" s="20" t="str">
        <x:v>待展开</x:v>
      </x:c>
      <x:c r="S464" s="20"/>
      <x:c r="T464" s="31"/>
      <x:c r="U464" s="30" t="str">
        <x:f>IF(A464="","缺记录编号",IF(COUNTIFS(PathRecords[记录编号],A464)&lt;&gt;1,"记录编号重复",IF(OR(B464="",E464=""),"缺组合/功能",IF(COUNTIFS(Equipment[组合编号],B464)&lt;&gt;1,"组合编号无效",IF(COUNTIFS(FunctionMatrix[编号],E464)=0,"功能编号无效",IF(H464="不适用",IF(J464="已实测","适用性冲突",IF(I464="","待补不适用依据","不适用（非实测）")),IF(J464="阻塞",IF(I464="","待补阻塞原因","阻塞（非实测）"),IF(J464&lt;&gt;"已实测",IF(F464="","待展开路径","未实测"),IF(H464&lt;&gt;"适用","待确认适用性",IF(INDEX(Equipment[登记状态（自动）],MATCH(B464,Equipment[组合编号],0))&lt;&gt;"已登记","待补设备组合",IF(AND(F464&lt;&gt;"",G464&lt;&gt;"",K464&lt;&gt;"",L464&lt;&gt;"",M464&lt;&gt;"",N464&lt;&gt;"",ISNUMBER(O464),O464&gt;0,P464&lt;&gt;""),"记录齐全","待补实测记录")))))))))))</x:f>
        <x:v>待展开路径</x:v>
      </x:c>
    </x:row>
    <x:row r="465" ht="43.5" customHeight="1">
      <x:c r="A465" s="20" t="str">
        <x:v>REC-00456</x:v>
      </x:c>
      <x:c r="B465" s="20" t="str">
        <x:v>P1-B5-01</x:v>
      </x:c>
      <x:c r="C465" s="30" t="str">
        <x:f>IF(B465="","",IF(COUNTIFS(Equipment[组合编号],B465)&lt;&gt;1,"组合编号无效",INDEX(Equipment[PLC组],MATCH(B465,Equipment[组合编号],0))))</x:f>
        <x:v>汇川小型</x:v>
      </x:c>
      <x:c r="D465" s="30" t="str">
        <x:f>IF(B465="","",IF(COUNTIFS(Equipment[组合编号],B465)&lt;&gt;1,"组合编号无效",INDEX(Equipment[驱动品牌],MATCH(B465,Equipment[组合编号],0))))</x:f>
        <x:v>KEBA（可选）</x:v>
      </x:c>
      <x:c r="E465" s="20" t="str">
        <x:v>U05</x:v>
      </x:c>
      <x:c r="F465" s="20"/>
      <x:c r="G465" s="20"/>
      <x:c r="H465" s="20" t="str">
        <x:v>待判定</x:v>
      </x:c>
      <x:c r="I465" s="20"/>
      <x:c r="J465" s="20" t="str">
        <x:v>未测试</x:v>
      </x:c>
      <x:c r="K465" s="20"/>
      <x:c r="L465" s="20"/>
      <x:c r="M465" s="20"/>
      <x:c r="N465" s="20"/>
      <x:c r="O465" s="31"/>
      <x:c r="P465" s="20"/>
      <x:c r="Q465" s="20"/>
      <x:c r="R465" s="20" t="str">
        <x:v>待展开</x:v>
      </x:c>
      <x:c r="S465" s="20"/>
      <x:c r="T465" s="31"/>
      <x:c r="U465" s="30" t="str">
        <x:f>IF(A465="","缺记录编号",IF(COUNTIFS(PathRecords[记录编号],A465)&lt;&gt;1,"记录编号重复",IF(OR(B465="",E465=""),"缺组合/功能",IF(COUNTIFS(Equipment[组合编号],B465)&lt;&gt;1,"组合编号无效",IF(COUNTIFS(FunctionMatrix[编号],E465)=0,"功能编号无效",IF(H465="不适用",IF(J465="已实测","适用性冲突",IF(I465="","待补不适用依据","不适用（非实测）")),IF(J465="阻塞",IF(I465="","待补阻塞原因","阻塞（非实测）"),IF(J465&lt;&gt;"已实测",IF(F465="","待展开路径","未实测"),IF(H465&lt;&gt;"适用","待确认适用性",IF(INDEX(Equipment[登记状态（自动）],MATCH(B465,Equipment[组合编号],0))&lt;&gt;"已登记","待补设备组合",IF(AND(F465&lt;&gt;"",G465&lt;&gt;"",K465&lt;&gt;"",L465&lt;&gt;"",M465&lt;&gt;"",N465&lt;&gt;"",ISNUMBER(O465),O465&gt;0,P465&lt;&gt;""),"记录齐全","待补实测记录")))))))))))</x:f>
        <x:v>待展开路径</x:v>
      </x:c>
    </x:row>
    <x:row r="466" ht="43.5" customHeight="1">
      <x:c r="A466" s="20" t="str">
        <x:v>REC-00457</x:v>
      </x:c>
      <x:c r="B466" s="20" t="str">
        <x:v>P1-B5-01</x:v>
      </x:c>
      <x:c r="C466" s="30" t="str">
        <x:f>IF(B466="","",IF(COUNTIFS(Equipment[组合编号],B466)&lt;&gt;1,"组合编号无效",INDEX(Equipment[PLC组],MATCH(B466,Equipment[组合编号],0))))</x:f>
        <x:v>汇川小型</x:v>
      </x:c>
      <x:c r="D466" s="30" t="str">
        <x:f>IF(B466="","",IF(COUNTIFS(Equipment[组合编号],B466)&lt;&gt;1,"组合编号无效",INDEX(Equipment[驱动品牌],MATCH(B466,Equipment[组合编号],0))))</x:f>
        <x:v>KEBA（可选）</x:v>
      </x:c>
      <x:c r="E466" s="20" t="str">
        <x:v>U06</x:v>
      </x:c>
      <x:c r="F466" s="20"/>
      <x:c r="G466" s="20"/>
      <x:c r="H466" s="20" t="str">
        <x:v>待判定</x:v>
      </x:c>
      <x:c r="I466" s="20"/>
      <x:c r="J466" s="20" t="str">
        <x:v>未测试</x:v>
      </x:c>
      <x:c r="K466" s="20"/>
      <x:c r="L466" s="20"/>
      <x:c r="M466" s="20"/>
      <x:c r="N466" s="20"/>
      <x:c r="O466" s="31"/>
      <x:c r="P466" s="20"/>
      <x:c r="Q466" s="20"/>
      <x:c r="R466" s="20" t="str">
        <x:v>待展开</x:v>
      </x:c>
      <x:c r="S466" s="20"/>
      <x:c r="T466" s="31"/>
      <x:c r="U466" s="30" t="str">
        <x:f>IF(A466="","缺记录编号",IF(COUNTIFS(PathRecords[记录编号],A466)&lt;&gt;1,"记录编号重复",IF(OR(B466="",E466=""),"缺组合/功能",IF(COUNTIFS(Equipment[组合编号],B466)&lt;&gt;1,"组合编号无效",IF(COUNTIFS(FunctionMatrix[编号],E466)=0,"功能编号无效",IF(H466="不适用",IF(J466="已实测","适用性冲突",IF(I466="","待补不适用依据","不适用（非实测）")),IF(J466="阻塞",IF(I466="","待补阻塞原因","阻塞（非实测）"),IF(J466&lt;&gt;"已实测",IF(F466="","待展开路径","未实测"),IF(H466&lt;&gt;"适用","待确认适用性",IF(INDEX(Equipment[登记状态（自动）],MATCH(B466,Equipment[组合编号],0))&lt;&gt;"已登记","待补设备组合",IF(AND(F466&lt;&gt;"",G466&lt;&gt;"",K466&lt;&gt;"",L466&lt;&gt;"",M466&lt;&gt;"",N466&lt;&gt;"",ISNUMBER(O466),O466&gt;0,P466&lt;&gt;""),"记录齐全","待补实测记录")))))))))))</x:f>
        <x:v>待展开路径</x:v>
      </x:c>
    </x:row>
    <x:row r="467" ht="43.5" customHeight="1">
      <x:c r="A467" s="20" t="str">
        <x:v>REC-00458</x:v>
      </x:c>
      <x:c r="B467" s="20" t="str">
        <x:v>P1-B5-01</x:v>
      </x:c>
      <x:c r="C467" s="30" t="str">
        <x:f>IF(B467="","",IF(COUNTIFS(Equipment[组合编号],B467)&lt;&gt;1,"组合编号无效",INDEX(Equipment[PLC组],MATCH(B467,Equipment[组合编号],0))))</x:f>
        <x:v>汇川小型</x:v>
      </x:c>
      <x:c r="D467" s="30" t="str">
        <x:f>IF(B467="","",IF(COUNTIFS(Equipment[组合编号],B467)&lt;&gt;1,"组合编号无效",INDEX(Equipment[驱动品牌],MATCH(B467,Equipment[组合编号],0))))</x:f>
        <x:v>KEBA（可选）</x:v>
      </x:c>
      <x:c r="E467" s="20" t="str">
        <x:v>U07</x:v>
      </x:c>
      <x:c r="F467" s="20"/>
      <x:c r="G467" s="20"/>
      <x:c r="H467" s="20" t="str">
        <x:v>待判定</x:v>
      </x:c>
      <x:c r="I467" s="20"/>
      <x:c r="J467" s="20" t="str">
        <x:v>未测试</x:v>
      </x:c>
      <x:c r="K467" s="20"/>
      <x:c r="L467" s="20"/>
      <x:c r="M467" s="20"/>
      <x:c r="N467" s="20"/>
      <x:c r="O467" s="31"/>
      <x:c r="P467" s="20"/>
      <x:c r="Q467" s="20"/>
      <x:c r="R467" s="20" t="str">
        <x:v>待展开</x:v>
      </x:c>
      <x:c r="S467" s="20"/>
      <x:c r="T467" s="31"/>
      <x:c r="U467" s="30" t="str">
        <x:f>IF(A467="","缺记录编号",IF(COUNTIFS(PathRecords[记录编号],A467)&lt;&gt;1,"记录编号重复",IF(OR(B467="",E467=""),"缺组合/功能",IF(COUNTIFS(Equipment[组合编号],B467)&lt;&gt;1,"组合编号无效",IF(COUNTIFS(FunctionMatrix[编号],E467)=0,"功能编号无效",IF(H467="不适用",IF(J467="已实测","适用性冲突",IF(I467="","待补不适用依据","不适用（非实测）")),IF(J467="阻塞",IF(I467="","待补阻塞原因","阻塞（非实测）"),IF(J467&lt;&gt;"已实测",IF(F467="","待展开路径","未实测"),IF(H467&lt;&gt;"适用","待确认适用性",IF(INDEX(Equipment[登记状态（自动）],MATCH(B467,Equipment[组合编号],0))&lt;&gt;"已登记","待补设备组合",IF(AND(F467&lt;&gt;"",G467&lt;&gt;"",K467&lt;&gt;"",L467&lt;&gt;"",M467&lt;&gt;"",N467&lt;&gt;"",ISNUMBER(O467),O467&gt;0,P467&lt;&gt;""),"记录齐全","待补实测记录")))))))))))</x:f>
        <x:v>待展开路径</x:v>
      </x:c>
    </x:row>
    <x:row r="468" ht="43.5" customHeight="1">
      <x:c r="A468" s="20" t="str">
        <x:v>REC-00459</x:v>
      </x:c>
      <x:c r="B468" s="20" t="str">
        <x:v>P1-B5-01</x:v>
      </x:c>
      <x:c r="C468" s="30" t="str">
        <x:f>IF(B468="","",IF(COUNTIFS(Equipment[组合编号],B468)&lt;&gt;1,"组合编号无效",INDEX(Equipment[PLC组],MATCH(B468,Equipment[组合编号],0))))</x:f>
        <x:v>汇川小型</x:v>
      </x:c>
      <x:c r="D468" s="30" t="str">
        <x:f>IF(B468="","",IF(COUNTIFS(Equipment[组合编号],B468)&lt;&gt;1,"组合编号无效",INDEX(Equipment[驱动品牌],MATCH(B468,Equipment[组合编号],0))))</x:f>
        <x:v>KEBA（可选）</x:v>
      </x:c>
      <x:c r="E468" s="20" t="str">
        <x:v>U08</x:v>
      </x:c>
      <x:c r="F468" s="20"/>
      <x:c r="G468" s="20"/>
      <x:c r="H468" s="20" t="str">
        <x:v>待判定</x:v>
      </x:c>
      <x:c r="I468" s="20"/>
      <x:c r="J468" s="20" t="str">
        <x:v>未测试</x:v>
      </x:c>
      <x:c r="K468" s="20"/>
      <x:c r="L468" s="20"/>
      <x:c r="M468" s="20"/>
      <x:c r="N468" s="20"/>
      <x:c r="O468" s="31"/>
      <x:c r="P468" s="20"/>
      <x:c r="Q468" s="20"/>
      <x:c r="R468" s="20" t="str">
        <x:v>待展开</x:v>
      </x:c>
      <x:c r="S468" s="20"/>
      <x:c r="T468" s="31"/>
      <x:c r="U468" s="30" t="str">
        <x:f>IF(A468="","缺记录编号",IF(COUNTIFS(PathRecords[记录编号],A468)&lt;&gt;1,"记录编号重复",IF(OR(B468="",E468=""),"缺组合/功能",IF(COUNTIFS(Equipment[组合编号],B468)&lt;&gt;1,"组合编号无效",IF(COUNTIFS(FunctionMatrix[编号],E468)=0,"功能编号无效",IF(H468="不适用",IF(J468="已实测","适用性冲突",IF(I468="","待补不适用依据","不适用（非实测）")),IF(J468="阻塞",IF(I468="","待补阻塞原因","阻塞（非实测）"),IF(J468&lt;&gt;"已实测",IF(F468="","待展开路径","未实测"),IF(H468&lt;&gt;"适用","待确认适用性",IF(INDEX(Equipment[登记状态（自动）],MATCH(B468,Equipment[组合编号],0))&lt;&gt;"已登记","待补设备组合",IF(AND(F468&lt;&gt;"",G468&lt;&gt;"",K468&lt;&gt;"",L468&lt;&gt;"",M468&lt;&gt;"",N468&lt;&gt;"",ISNUMBER(O468),O468&gt;0,P468&lt;&gt;""),"记录齐全","待补实测记录")))))))))))</x:f>
        <x:v>待展开路径</x:v>
      </x:c>
    </x:row>
    <x:row r="469" ht="43.5" customHeight="1">
      <x:c r="A469" s="20" t="str">
        <x:v>REC-00460</x:v>
      </x:c>
      <x:c r="B469" s="20" t="str">
        <x:v>P1-B5-01</x:v>
      </x:c>
      <x:c r="C469" s="30" t="str">
        <x:f>IF(B469="","",IF(COUNTIFS(Equipment[组合编号],B469)&lt;&gt;1,"组合编号无效",INDEX(Equipment[PLC组],MATCH(B469,Equipment[组合编号],0))))</x:f>
        <x:v>汇川小型</x:v>
      </x:c>
      <x:c r="D469" s="30" t="str">
        <x:f>IF(B469="","",IF(COUNTIFS(Equipment[组合编号],B469)&lt;&gt;1,"组合编号无效",INDEX(Equipment[驱动品牌],MATCH(B469,Equipment[组合编号],0))))</x:f>
        <x:v>KEBA（可选）</x:v>
      </x:c>
      <x:c r="E469" s="20" t="str">
        <x:v>U09</x:v>
      </x:c>
      <x:c r="F469" s="20"/>
      <x:c r="G469" s="20"/>
      <x:c r="H469" s="20" t="str">
        <x:v>待判定</x:v>
      </x:c>
      <x:c r="I469" s="20"/>
      <x:c r="J469" s="20" t="str">
        <x:v>未测试</x:v>
      </x:c>
      <x:c r="K469" s="20"/>
      <x:c r="L469" s="20"/>
      <x:c r="M469" s="20"/>
      <x:c r="N469" s="20"/>
      <x:c r="O469" s="31"/>
      <x:c r="P469" s="20"/>
      <x:c r="Q469" s="20"/>
      <x:c r="R469" s="20" t="str">
        <x:v>待展开</x:v>
      </x:c>
      <x:c r="S469" s="20"/>
      <x:c r="T469" s="31"/>
      <x:c r="U469" s="30" t="str">
        <x:f>IF(A469="","缺记录编号",IF(COUNTIFS(PathRecords[记录编号],A469)&lt;&gt;1,"记录编号重复",IF(OR(B469="",E469=""),"缺组合/功能",IF(COUNTIFS(Equipment[组合编号],B469)&lt;&gt;1,"组合编号无效",IF(COUNTIFS(FunctionMatrix[编号],E469)=0,"功能编号无效",IF(H469="不适用",IF(J469="已实测","适用性冲突",IF(I469="","待补不适用依据","不适用（非实测）")),IF(J469="阻塞",IF(I469="","待补阻塞原因","阻塞（非实测）"),IF(J469&lt;&gt;"已实测",IF(F469="","待展开路径","未实测"),IF(H469&lt;&gt;"适用","待确认适用性",IF(INDEX(Equipment[登记状态（自动）],MATCH(B469,Equipment[组合编号],0))&lt;&gt;"已登记","待补设备组合",IF(AND(F469&lt;&gt;"",G469&lt;&gt;"",K469&lt;&gt;"",L469&lt;&gt;"",M469&lt;&gt;"",N469&lt;&gt;"",ISNUMBER(O469),O469&gt;0,P469&lt;&gt;""),"记录齐全","待补实测记录")))))))))))</x:f>
        <x:v>待展开路径</x:v>
      </x:c>
    </x:row>
    <x:row r="470" ht="43.5" customHeight="1">
      <x:c r="A470" s="20" t="str">
        <x:v>REC-00461</x:v>
      </x:c>
      <x:c r="B470" s="20" t="str">
        <x:v>P1-B5-01</x:v>
      </x:c>
      <x:c r="C470" s="30" t="str">
        <x:f>IF(B470="","",IF(COUNTIFS(Equipment[组合编号],B470)&lt;&gt;1,"组合编号无效",INDEX(Equipment[PLC组],MATCH(B470,Equipment[组合编号],0))))</x:f>
        <x:v>汇川小型</x:v>
      </x:c>
      <x:c r="D470" s="30" t="str">
        <x:f>IF(B470="","",IF(COUNTIFS(Equipment[组合编号],B470)&lt;&gt;1,"组合编号无效",INDEX(Equipment[驱动品牌],MATCH(B470,Equipment[组合编号],0))))</x:f>
        <x:v>KEBA（可选）</x:v>
      </x:c>
      <x:c r="E470" s="20" t="str">
        <x:v>U10</x:v>
      </x:c>
      <x:c r="F470" s="20"/>
      <x:c r="G470" s="20"/>
      <x:c r="H470" s="20" t="str">
        <x:v>待判定</x:v>
      </x:c>
      <x:c r="I470" s="20"/>
      <x:c r="J470" s="20" t="str">
        <x:v>未测试</x:v>
      </x:c>
      <x:c r="K470" s="20"/>
      <x:c r="L470" s="20"/>
      <x:c r="M470" s="20"/>
      <x:c r="N470" s="20"/>
      <x:c r="O470" s="31"/>
      <x:c r="P470" s="20"/>
      <x:c r="Q470" s="20"/>
      <x:c r="R470" s="20" t="str">
        <x:v>待展开</x:v>
      </x:c>
      <x:c r="S470" s="20"/>
      <x:c r="T470" s="31"/>
      <x:c r="U470" s="30" t="str">
        <x:f>IF(A470="","缺记录编号",IF(COUNTIFS(PathRecords[记录编号],A470)&lt;&gt;1,"记录编号重复",IF(OR(B470="",E470=""),"缺组合/功能",IF(COUNTIFS(Equipment[组合编号],B470)&lt;&gt;1,"组合编号无效",IF(COUNTIFS(FunctionMatrix[编号],E470)=0,"功能编号无效",IF(H470="不适用",IF(J470="已实测","适用性冲突",IF(I470="","待补不适用依据","不适用（非实测）")),IF(J470="阻塞",IF(I470="","待补阻塞原因","阻塞（非实测）"),IF(J470&lt;&gt;"已实测",IF(F470="","待展开路径","未实测"),IF(H470&lt;&gt;"适用","待确认适用性",IF(INDEX(Equipment[登记状态（自动）],MATCH(B470,Equipment[组合编号],0))&lt;&gt;"已登记","待补设备组合",IF(AND(F470&lt;&gt;"",G470&lt;&gt;"",K470&lt;&gt;"",L470&lt;&gt;"",M470&lt;&gt;"",N470&lt;&gt;"",ISNUMBER(O470),O470&gt;0,P470&lt;&gt;""),"记录齐全","待补实测记录")))))))))))</x:f>
        <x:v>待展开路径</x:v>
      </x:c>
    </x:row>
    <x:row r="471" ht="43.5" customHeight="1">
      <x:c r="A471" s="20" t="str">
        <x:v>REC-00462</x:v>
      </x:c>
      <x:c r="B471" s="20" t="str">
        <x:v>P1-B5-01</x:v>
      </x:c>
      <x:c r="C471" s="30" t="str">
        <x:f>IF(B471="","",IF(COUNTIFS(Equipment[组合编号],B471)&lt;&gt;1,"组合编号无效",INDEX(Equipment[PLC组],MATCH(B471,Equipment[组合编号],0))))</x:f>
        <x:v>汇川小型</x:v>
      </x:c>
      <x:c r="D471" s="30" t="str">
        <x:f>IF(B471="","",IF(COUNTIFS(Equipment[组合编号],B471)&lt;&gt;1,"组合编号无效",INDEX(Equipment[驱动品牌],MATCH(B471,Equipment[组合编号],0))))</x:f>
        <x:v>KEBA（可选）</x:v>
      </x:c>
      <x:c r="E471" s="20" t="str">
        <x:v>H01</x:v>
      </x:c>
      <x:c r="F471" s="20"/>
      <x:c r="G471" s="20"/>
      <x:c r="H471" s="20" t="str">
        <x:v>待判定</x:v>
      </x:c>
      <x:c r="I471" s="20"/>
      <x:c r="J471" s="20" t="str">
        <x:v>未测试</x:v>
      </x:c>
      <x:c r="K471" s="20"/>
      <x:c r="L471" s="20"/>
      <x:c r="M471" s="20"/>
      <x:c r="N471" s="20"/>
      <x:c r="O471" s="31"/>
      <x:c r="P471" s="20"/>
      <x:c r="Q471" s="20"/>
      <x:c r="R471" s="20" t="str">
        <x:v>待展开</x:v>
      </x:c>
      <x:c r="S471" s="20"/>
      <x:c r="T471" s="31"/>
      <x:c r="U471" s="30" t="str">
        <x:f>IF(A471="","缺记录编号",IF(COUNTIFS(PathRecords[记录编号],A471)&lt;&gt;1,"记录编号重复",IF(OR(B471="",E471=""),"缺组合/功能",IF(COUNTIFS(Equipment[组合编号],B471)&lt;&gt;1,"组合编号无效",IF(COUNTIFS(FunctionMatrix[编号],E471)=0,"功能编号无效",IF(H471="不适用",IF(J471="已实测","适用性冲突",IF(I471="","待补不适用依据","不适用（非实测）")),IF(J471="阻塞",IF(I471="","待补阻塞原因","阻塞（非实测）"),IF(J471&lt;&gt;"已实测",IF(F471="","待展开路径","未实测"),IF(H471&lt;&gt;"适用","待确认适用性",IF(INDEX(Equipment[登记状态（自动）],MATCH(B471,Equipment[组合编号],0))&lt;&gt;"已登记","待补设备组合",IF(AND(F471&lt;&gt;"",G471&lt;&gt;"",K471&lt;&gt;"",L471&lt;&gt;"",M471&lt;&gt;"",N471&lt;&gt;"",ISNUMBER(O471),O471&gt;0,P471&lt;&gt;""),"记录齐全","待补实测记录")))))))))))</x:f>
        <x:v>待展开路径</x:v>
      </x:c>
    </x:row>
    <x:row r="472" ht="43.5" customHeight="1">
      <x:c r="A472" s="20" t="str">
        <x:v>REC-00463</x:v>
      </x:c>
      <x:c r="B472" s="20" t="str">
        <x:v>P1-B5-01</x:v>
      </x:c>
      <x:c r="C472" s="30" t="str">
        <x:f>IF(B472="","",IF(COUNTIFS(Equipment[组合编号],B472)&lt;&gt;1,"组合编号无效",INDEX(Equipment[PLC组],MATCH(B472,Equipment[组合编号],0))))</x:f>
        <x:v>汇川小型</x:v>
      </x:c>
      <x:c r="D472" s="30" t="str">
        <x:f>IF(B472="","",IF(COUNTIFS(Equipment[组合编号],B472)&lt;&gt;1,"组合编号无效",INDEX(Equipment[驱动品牌],MATCH(B472,Equipment[组合编号],0))))</x:f>
        <x:v>KEBA（可选）</x:v>
      </x:c>
      <x:c r="E472" s="20" t="str">
        <x:v>H02</x:v>
      </x:c>
      <x:c r="F472" s="20"/>
      <x:c r="G472" s="20"/>
      <x:c r="H472" s="20" t="str">
        <x:v>待判定</x:v>
      </x:c>
      <x:c r="I472" s="20"/>
      <x:c r="J472" s="20" t="str">
        <x:v>未测试</x:v>
      </x:c>
      <x:c r="K472" s="20"/>
      <x:c r="L472" s="20"/>
      <x:c r="M472" s="20"/>
      <x:c r="N472" s="20"/>
      <x:c r="O472" s="31"/>
      <x:c r="P472" s="20"/>
      <x:c r="Q472" s="20"/>
      <x:c r="R472" s="20" t="str">
        <x:v>待展开</x:v>
      </x:c>
      <x:c r="S472" s="20"/>
      <x:c r="T472" s="31"/>
      <x:c r="U472" s="30" t="str">
        <x:f>IF(A472="","缺记录编号",IF(COUNTIFS(PathRecords[记录编号],A472)&lt;&gt;1,"记录编号重复",IF(OR(B472="",E472=""),"缺组合/功能",IF(COUNTIFS(Equipment[组合编号],B472)&lt;&gt;1,"组合编号无效",IF(COUNTIFS(FunctionMatrix[编号],E472)=0,"功能编号无效",IF(H472="不适用",IF(J472="已实测","适用性冲突",IF(I472="","待补不适用依据","不适用（非实测）")),IF(J472="阻塞",IF(I472="","待补阻塞原因","阻塞（非实测）"),IF(J472&lt;&gt;"已实测",IF(F472="","待展开路径","未实测"),IF(H472&lt;&gt;"适用","待确认适用性",IF(INDEX(Equipment[登记状态（自动）],MATCH(B472,Equipment[组合编号],0))&lt;&gt;"已登记","待补设备组合",IF(AND(F472&lt;&gt;"",G472&lt;&gt;"",K472&lt;&gt;"",L472&lt;&gt;"",M472&lt;&gt;"",N472&lt;&gt;"",ISNUMBER(O472),O472&gt;0,P472&lt;&gt;""),"记录齐全","待补实测记录")))))))))))</x:f>
        <x:v>待展开路径</x:v>
      </x:c>
    </x:row>
    <x:row r="473" ht="43.5" customHeight="1">
      <x:c r="A473" s="20" t="str">
        <x:v>REC-00464</x:v>
      </x:c>
      <x:c r="B473" s="20" t="str">
        <x:v>P1-B5-01</x:v>
      </x:c>
      <x:c r="C473" s="30" t="str">
        <x:f>IF(B473="","",IF(COUNTIFS(Equipment[组合编号],B473)&lt;&gt;1,"组合编号无效",INDEX(Equipment[PLC组],MATCH(B473,Equipment[组合编号],0))))</x:f>
        <x:v>汇川小型</x:v>
      </x:c>
      <x:c r="D473" s="30" t="str">
        <x:f>IF(B473="","",IF(COUNTIFS(Equipment[组合编号],B473)&lt;&gt;1,"组合编号无效",INDEX(Equipment[驱动品牌],MATCH(B473,Equipment[组合编号],0))))</x:f>
        <x:v>KEBA（可选）</x:v>
      </x:c>
      <x:c r="E473" s="20" t="str">
        <x:v>H03</x:v>
      </x:c>
      <x:c r="F473" s="20"/>
      <x:c r="G473" s="20"/>
      <x:c r="H473" s="20" t="str">
        <x:v>待判定</x:v>
      </x:c>
      <x:c r="I473" s="20"/>
      <x:c r="J473" s="20" t="str">
        <x:v>未测试</x:v>
      </x:c>
      <x:c r="K473" s="20"/>
      <x:c r="L473" s="20"/>
      <x:c r="M473" s="20"/>
      <x:c r="N473" s="20"/>
      <x:c r="O473" s="31"/>
      <x:c r="P473" s="20"/>
      <x:c r="Q473" s="20"/>
      <x:c r="R473" s="20" t="str">
        <x:v>待展开</x:v>
      </x:c>
      <x:c r="S473" s="20"/>
      <x:c r="T473" s="31"/>
      <x:c r="U473" s="30" t="str">
        <x:f>IF(A473="","缺记录编号",IF(COUNTIFS(PathRecords[记录编号],A473)&lt;&gt;1,"记录编号重复",IF(OR(B473="",E473=""),"缺组合/功能",IF(COUNTIFS(Equipment[组合编号],B473)&lt;&gt;1,"组合编号无效",IF(COUNTIFS(FunctionMatrix[编号],E473)=0,"功能编号无效",IF(H473="不适用",IF(J473="已实测","适用性冲突",IF(I473="","待补不适用依据","不适用（非实测）")),IF(J473="阻塞",IF(I473="","待补阻塞原因","阻塞（非实测）"),IF(J473&lt;&gt;"已实测",IF(F473="","待展开路径","未实测"),IF(H473&lt;&gt;"适用","待确认适用性",IF(INDEX(Equipment[登记状态（自动）],MATCH(B473,Equipment[组合编号],0))&lt;&gt;"已登记","待补设备组合",IF(AND(F473&lt;&gt;"",G473&lt;&gt;"",K473&lt;&gt;"",L473&lt;&gt;"",M473&lt;&gt;"",N473&lt;&gt;"",ISNUMBER(O473),O473&gt;0,P473&lt;&gt;""),"记录齐全","待补实测记录")))))))))))</x:f>
        <x:v>待展开路径</x:v>
      </x:c>
    </x:row>
    <x:row r="474" ht="43.5" customHeight="1">
      <x:c r="A474" s="20" t="str">
        <x:v>REC-00465</x:v>
      </x:c>
      <x:c r="B474" s="20" t="str">
        <x:v>P1-B5-01</x:v>
      </x:c>
      <x:c r="C474" s="30" t="str">
        <x:f>IF(B474="","",IF(COUNTIFS(Equipment[组合编号],B474)&lt;&gt;1,"组合编号无效",INDEX(Equipment[PLC组],MATCH(B474,Equipment[组合编号],0))))</x:f>
        <x:v>汇川小型</x:v>
      </x:c>
      <x:c r="D474" s="30" t="str">
        <x:f>IF(B474="","",IF(COUNTIFS(Equipment[组合编号],B474)&lt;&gt;1,"组合编号无效",INDEX(Equipment[驱动品牌],MATCH(B474,Equipment[组合编号],0))))</x:f>
        <x:v>KEBA（可选）</x:v>
      </x:c>
      <x:c r="E474" s="20" t="str">
        <x:v>H04</x:v>
      </x:c>
      <x:c r="F474" s="20"/>
      <x:c r="G474" s="20"/>
      <x:c r="H474" s="20" t="str">
        <x:v>待判定</x:v>
      </x:c>
      <x:c r="I474" s="20"/>
      <x:c r="J474" s="20" t="str">
        <x:v>未测试</x:v>
      </x:c>
      <x:c r="K474" s="20"/>
      <x:c r="L474" s="20"/>
      <x:c r="M474" s="20"/>
      <x:c r="N474" s="20"/>
      <x:c r="O474" s="31"/>
      <x:c r="P474" s="20"/>
      <x:c r="Q474" s="20"/>
      <x:c r="R474" s="20" t="str">
        <x:v>待展开</x:v>
      </x:c>
      <x:c r="S474" s="20"/>
      <x:c r="T474" s="31"/>
      <x:c r="U474" s="30" t="str">
        <x:f>IF(A474="","缺记录编号",IF(COUNTIFS(PathRecords[记录编号],A474)&lt;&gt;1,"记录编号重复",IF(OR(B474="",E474=""),"缺组合/功能",IF(COUNTIFS(Equipment[组合编号],B474)&lt;&gt;1,"组合编号无效",IF(COUNTIFS(FunctionMatrix[编号],E474)=0,"功能编号无效",IF(H474="不适用",IF(J474="已实测","适用性冲突",IF(I474="","待补不适用依据","不适用（非实测）")),IF(J474="阻塞",IF(I474="","待补阻塞原因","阻塞（非实测）"),IF(J474&lt;&gt;"已实测",IF(F474="","待展开路径","未实测"),IF(H474&lt;&gt;"适用","待确认适用性",IF(INDEX(Equipment[登记状态（自动）],MATCH(B474,Equipment[组合编号],0))&lt;&gt;"已登记","待补设备组合",IF(AND(F474&lt;&gt;"",G474&lt;&gt;"",K474&lt;&gt;"",L474&lt;&gt;"",M474&lt;&gt;"",N474&lt;&gt;"",ISNUMBER(O474),O474&gt;0,P474&lt;&gt;""),"记录齐全","待补实测记录")))))))))))</x:f>
        <x:v>待展开路径</x:v>
      </x:c>
    </x:row>
    <x:row r="475" ht="43.5" customHeight="1">
      <x:c r="A475" s="20" t="str">
        <x:v>REC-00466</x:v>
      </x:c>
      <x:c r="B475" s="20" t="str">
        <x:v>P1-B5-01</x:v>
      </x:c>
      <x:c r="C475" s="30" t="str">
        <x:f>IF(B475="","",IF(COUNTIFS(Equipment[组合编号],B475)&lt;&gt;1,"组合编号无效",INDEX(Equipment[PLC组],MATCH(B475,Equipment[组合编号],0))))</x:f>
        <x:v>汇川小型</x:v>
      </x:c>
      <x:c r="D475" s="30" t="str">
        <x:f>IF(B475="","",IF(COUNTIFS(Equipment[组合编号],B475)&lt;&gt;1,"组合编号无效",INDEX(Equipment[驱动品牌],MATCH(B475,Equipment[组合编号],0))))</x:f>
        <x:v>KEBA（可选）</x:v>
      </x:c>
      <x:c r="E475" s="20" t="str">
        <x:v>H05</x:v>
      </x:c>
      <x:c r="F475" s="20"/>
      <x:c r="G475" s="20"/>
      <x:c r="H475" s="20" t="str">
        <x:v>待判定</x:v>
      </x:c>
      <x:c r="I475" s="20"/>
      <x:c r="J475" s="20" t="str">
        <x:v>未测试</x:v>
      </x:c>
      <x:c r="K475" s="20"/>
      <x:c r="L475" s="20"/>
      <x:c r="M475" s="20"/>
      <x:c r="N475" s="20"/>
      <x:c r="O475" s="31"/>
      <x:c r="P475" s="20"/>
      <x:c r="Q475" s="20"/>
      <x:c r="R475" s="20" t="str">
        <x:v>待展开</x:v>
      </x:c>
      <x:c r="S475" s="20"/>
      <x:c r="T475" s="31"/>
      <x:c r="U475" s="30" t="str">
        <x:f>IF(A475="","缺记录编号",IF(COUNTIFS(PathRecords[记录编号],A475)&lt;&gt;1,"记录编号重复",IF(OR(B475="",E475=""),"缺组合/功能",IF(COUNTIFS(Equipment[组合编号],B475)&lt;&gt;1,"组合编号无效",IF(COUNTIFS(FunctionMatrix[编号],E475)=0,"功能编号无效",IF(H475="不适用",IF(J475="已实测","适用性冲突",IF(I475="","待补不适用依据","不适用（非实测）")),IF(J475="阻塞",IF(I475="","待补阻塞原因","阻塞（非实测）"),IF(J475&lt;&gt;"已实测",IF(F475="","待展开路径","未实测"),IF(H475&lt;&gt;"适用","待确认适用性",IF(INDEX(Equipment[登记状态（自动）],MATCH(B475,Equipment[组合编号],0))&lt;&gt;"已登记","待补设备组合",IF(AND(F475&lt;&gt;"",G475&lt;&gt;"",K475&lt;&gt;"",L475&lt;&gt;"",M475&lt;&gt;"",N475&lt;&gt;"",ISNUMBER(O475),O475&gt;0,P475&lt;&gt;""),"记录齐全","待补实测记录")))))))))))</x:f>
        <x:v>待展开路径</x:v>
      </x:c>
    </x:row>
    <x:row r="476" ht="43.5" customHeight="1">
      <x:c r="A476" s="20" t="str">
        <x:v>REC-00467</x:v>
      </x:c>
      <x:c r="B476" s="20" t="str">
        <x:v>P1-B5-01</x:v>
      </x:c>
      <x:c r="C476" s="30" t="str">
        <x:f>IF(B476="","",IF(COUNTIFS(Equipment[组合编号],B476)&lt;&gt;1,"组合编号无效",INDEX(Equipment[PLC组],MATCH(B476,Equipment[组合编号],0))))</x:f>
        <x:v>汇川小型</x:v>
      </x:c>
      <x:c r="D476" s="30" t="str">
        <x:f>IF(B476="","",IF(COUNTIFS(Equipment[组合编号],B476)&lt;&gt;1,"组合编号无效",INDEX(Equipment[驱动品牌],MATCH(B476,Equipment[组合编号],0))))</x:f>
        <x:v>KEBA（可选）</x:v>
      </x:c>
      <x:c r="E476" s="20" t="str">
        <x:v>H06</x:v>
      </x:c>
      <x:c r="F476" s="20"/>
      <x:c r="G476" s="20"/>
      <x:c r="H476" s="20" t="str">
        <x:v>待判定</x:v>
      </x:c>
      <x:c r="I476" s="20"/>
      <x:c r="J476" s="20" t="str">
        <x:v>未测试</x:v>
      </x:c>
      <x:c r="K476" s="20"/>
      <x:c r="L476" s="20"/>
      <x:c r="M476" s="20"/>
      <x:c r="N476" s="20"/>
      <x:c r="O476" s="31"/>
      <x:c r="P476" s="20"/>
      <x:c r="Q476" s="20"/>
      <x:c r="R476" s="20" t="str">
        <x:v>待展开</x:v>
      </x:c>
      <x:c r="S476" s="20"/>
      <x:c r="T476" s="31"/>
      <x:c r="U476" s="30" t="str">
        <x:f>IF(A476="","缺记录编号",IF(COUNTIFS(PathRecords[记录编号],A476)&lt;&gt;1,"记录编号重复",IF(OR(B476="",E476=""),"缺组合/功能",IF(COUNTIFS(Equipment[组合编号],B476)&lt;&gt;1,"组合编号无效",IF(COUNTIFS(FunctionMatrix[编号],E476)=0,"功能编号无效",IF(H476="不适用",IF(J476="已实测","适用性冲突",IF(I476="","待补不适用依据","不适用（非实测）")),IF(J476="阻塞",IF(I476="","待补阻塞原因","阻塞（非实测）"),IF(J476&lt;&gt;"已实测",IF(F476="","待展开路径","未实测"),IF(H476&lt;&gt;"适用","待确认适用性",IF(INDEX(Equipment[登记状态（自动）],MATCH(B476,Equipment[组合编号],0))&lt;&gt;"已登记","待补设备组合",IF(AND(F476&lt;&gt;"",G476&lt;&gt;"",K476&lt;&gt;"",L476&lt;&gt;"",M476&lt;&gt;"",N476&lt;&gt;"",ISNUMBER(O476),O476&gt;0,P476&lt;&gt;""),"记录齐全","待补实测记录")))))))))))</x:f>
        <x:v>待展开路径</x:v>
      </x:c>
    </x:row>
    <x:row r="477" ht="43.5" customHeight="1">
      <x:c r="A477" s="20" t="str">
        <x:v>REC-00468</x:v>
      </x:c>
      <x:c r="B477" s="20" t="str">
        <x:v>P1-B5-01</x:v>
      </x:c>
      <x:c r="C477" s="30" t="str">
        <x:f>IF(B477="","",IF(COUNTIFS(Equipment[组合编号],B477)&lt;&gt;1,"组合编号无效",INDEX(Equipment[PLC组],MATCH(B477,Equipment[组合编号],0))))</x:f>
        <x:v>汇川小型</x:v>
      </x:c>
      <x:c r="D477" s="30" t="str">
        <x:f>IF(B477="","",IF(COUNTIFS(Equipment[组合编号],B477)&lt;&gt;1,"组合编号无效",INDEX(Equipment[驱动品牌],MATCH(B477,Equipment[组合编号],0))))</x:f>
        <x:v>KEBA（可选）</x:v>
      </x:c>
      <x:c r="E477" s="20" t="str">
        <x:v>H07</x:v>
      </x:c>
      <x:c r="F477" s="20"/>
      <x:c r="G477" s="20"/>
      <x:c r="H477" s="20" t="str">
        <x:v>待判定</x:v>
      </x:c>
      <x:c r="I477" s="20"/>
      <x:c r="J477" s="20" t="str">
        <x:v>未测试</x:v>
      </x:c>
      <x:c r="K477" s="20"/>
      <x:c r="L477" s="20"/>
      <x:c r="M477" s="20"/>
      <x:c r="N477" s="20"/>
      <x:c r="O477" s="31"/>
      <x:c r="P477" s="20"/>
      <x:c r="Q477" s="20"/>
      <x:c r="R477" s="20" t="str">
        <x:v>待展开</x:v>
      </x:c>
      <x:c r="S477" s="20"/>
      <x:c r="T477" s="31"/>
      <x:c r="U477" s="30" t="str">
        <x:f>IF(A477="","缺记录编号",IF(COUNTIFS(PathRecords[记录编号],A477)&lt;&gt;1,"记录编号重复",IF(OR(B477="",E477=""),"缺组合/功能",IF(COUNTIFS(Equipment[组合编号],B477)&lt;&gt;1,"组合编号无效",IF(COUNTIFS(FunctionMatrix[编号],E477)=0,"功能编号无效",IF(H477="不适用",IF(J477="已实测","适用性冲突",IF(I477="","待补不适用依据","不适用（非实测）")),IF(J477="阻塞",IF(I477="","待补阻塞原因","阻塞（非实测）"),IF(J477&lt;&gt;"已实测",IF(F477="","待展开路径","未实测"),IF(H477&lt;&gt;"适用","待确认适用性",IF(INDEX(Equipment[登记状态（自动）],MATCH(B477,Equipment[组合编号],0))&lt;&gt;"已登记","待补设备组合",IF(AND(F477&lt;&gt;"",G477&lt;&gt;"",K477&lt;&gt;"",L477&lt;&gt;"",M477&lt;&gt;"",N477&lt;&gt;"",ISNUMBER(O477),O477&gt;0,P477&lt;&gt;""),"记录齐全","待补实测记录")))))))))))</x:f>
        <x:v>待展开路径</x:v>
      </x:c>
    </x:row>
    <x:row r="478" ht="43.5" customHeight="1">
      <x:c r="A478" s="20" t="str">
        <x:v>REC-00469</x:v>
      </x:c>
      <x:c r="B478" s="20" t="str">
        <x:v>P1-B5-01</x:v>
      </x:c>
      <x:c r="C478" s="30" t="str">
        <x:f>IF(B478="","",IF(COUNTIFS(Equipment[组合编号],B478)&lt;&gt;1,"组合编号无效",INDEX(Equipment[PLC组],MATCH(B478,Equipment[组合编号],0))))</x:f>
        <x:v>汇川小型</x:v>
      </x:c>
      <x:c r="D478" s="30" t="str">
        <x:f>IF(B478="","",IF(COUNTIFS(Equipment[组合编号],B478)&lt;&gt;1,"组合编号无效",INDEX(Equipment[驱动品牌],MATCH(B478,Equipment[组合编号],0))))</x:f>
        <x:v>KEBA（可选）</x:v>
      </x:c>
      <x:c r="E478" s="20" t="str">
        <x:v>H08</x:v>
      </x:c>
      <x:c r="F478" s="20"/>
      <x:c r="G478" s="20"/>
      <x:c r="H478" s="20" t="str">
        <x:v>待判定</x:v>
      </x:c>
      <x:c r="I478" s="20"/>
      <x:c r="J478" s="20" t="str">
        <x:v>未测试</x:v>
      </x:c>
      <x:c r="K478" s="20"/>
      <x:c r="L478" s="20"/>
      <x:c r="M478" s="20"/>
      <x:c r="N478" s="20"/>
      <x:c r="O478" s="31"/>
      <x:c r="P478" s="20"/>
      <x:c r="Q478" s="20"/>
      <x:c r="R478" s="20" t="str">
        <x:v>待展开</x:v>
      </x:c>
      <x:c r="S478" s="20"/>
      <x:c r="T478" s="31"/>
      <x:c r="U478" s="30" t="str">
        <x:f>IF(A478="","缺记录编号",IF(COUNTIFS(PathRecords[记录编号],A478)&lt;&gt;1,"记录编号重复",IF(OR(B478="",E478=""),"缺组合/功能",IF(COUNTIFS(Equipment[组合编号],B478)&lt;&gt;1,"组合编号无效",IF(COUNTIFS(FunctionMatrix[编号],E478)=0,"功能编号无效",IF(H478="不适用",IF(J478="已实测","适用性冲突",IF(I478="","待补不适用依据","不适用（非实测）")),IF(J478="阻塞",IF(I478="","待补阻塞原因","阻塞（非实测）"),IF(J478&lt;&gt;"已实测",IF(F478="","待展开路径","未实测"),IF(H478&lt;&gt;"适用","待确认适用性",IF(INDEX(Equipment[登记状态（自动）],MATCH(B478,Equipment[组合编号],0))&lt;&gt;"已登记","待补设备组合",IF(AND(F478&lt;&gt;"",G478&lt;&gt;"",K478&lt;&gt;"",L478&lt;&gt;"",M478&lt;&gt;"",N478&lt;&gt;"",ISNUMBER(O478),O478&gt;0,P478&lt;&gt;""),"记录齐全","待补实测记录")))))))))))</x:f>
        <x:v>待展开路径</x:v>
      </x:c>
    </x:row>
    <x:row r="479" ht="43.5" customHeight="1">
      <x:c r="A479" s="20" t="str">
        <x:v>REC-00470</x:v>
      </x:c>
      <x:c r="B479" s="20" t="str">
        <x:v>P1-B5-01</x:v>
      </x:c>
      <x:c r="C479" s="30" t="str">
        <x:f>IF(B479="","",IF(COUNTIFS(Equipment[组合编号],B479)&lt;&gt;1,"组合编号无效",INDEX(Equipment[PLC组],MATCH(B479,Equipment[组合编号],0))))</x:f>
        <x:v>汇川小型</x:v>
      </x:c>
      <x:c r="D479" s="30" t="str">
        <x:f>IF(B479="","",IF(COUNTIFS(Equipment[组合编号],B479)&lt;&gt;1,"组合编号无效",INDEX(Equipment[驱动品牌],MATCH(B479,Equipment[组合编号],0))))</x:f>
        <x:v>KEBA（可选）</x:v>
      </x:c>
      <x:c r="E479" s="20" t="str">
        <x:v>H09</x:v>
      </x:c>
      <x:c r="F479" s="20"/>
      <x:c r="G479" s="20"/>
      <x:c r="H479" s="20" t="str">
        <x:v>待判定</x:v>
      </x:c>
      <x:c r="I479" s="20"/>
      <x:c r="J479" s="20" t="str">
        <x:v>未测试</x:v>
      </x:c>
      <x:c r="K479" s="20"/>
      <x:c r="L479" s="20"/>
      <x:c r="M479" s="20"/>
      <x:c r="N479" s="20"/>
      <x:c r="O479" s="31"/>
      <x:c r="P479" s="20"/>
      <x:c r="Q479" s="20"/>
      <x:c r="R479" s="20" t="str">
        <x:v>待展开</x:v>
      </x:c>
      <x:c r="S479" s="20"/>
      <x:c r="T479" s="31"/>
      <x:c r="U479" s="30" t="str">
        <x:f>IF(A479="","缺记录编号",IF(COUNTIFS(PathRecords[记录编号],A479)&lt;&gt;1,"记录编号重复",IF(OR(B479="",E479=""),"缺组合/功能",IF(COUNTIFS(Equipment[组合编号],B479)&lt;&gt;1,"组合编号无效",IF(COUNTIFS(FunctionMatrix[编号],E479)=0,"功能编号无效",IF(H479="不适用",IF(J479="已实测","适用性冲突",IF(I479="","待补不适用依据","不适用（非实测）")),IF(J479="阻塞",IF(I479="","待补阻塞原因","阻塞（非实测）"),IF(J479&lt;&gt;"已实测",IF(F479="","待展开路径","未实测"),IF(H479&lt;&gt;"适用","待确认适用性",IF(INDEX(Equipment[登记状态（自动）],MATCH(B479,Equipment[组合编号],0))&lt;&gt;"已登记","待补设备组合",IF(AND(F479&lt;&gt;"",G479&lt;&gt;"",K479&lt;&gt;"",L479&lt;&gt;"",M479&lt;&gt;"",N479&lt;&gt;"",ISNUMBER(O479),O479&gt;0,P479&lt;&gt;""),"记录齐全","待补实测记录")))))))))))</x:f>
        <x:v>待展开路径</x:v>
      </x:c>
    </x:row>
    <x:row r="480" ht="43.5" customHeight="1">
      <x:c r="A480" s="20" t="str">
        <x:v>REC-00471</x:v>
      </x:c>
      <x:c r="B480" s="20" t="str">
        <x:v>P1-B5-01</x:v>
      </x:c>
      <x:c r="C480" s="30" t="str">
        <x:f>IF(B480="","",IF(COUNTIFS(Equipment[组合编号],B480)&lt;&gt;1,"组合编号无效",INDEX(Equipment[PLC组],MATCH(B480,Equipment[组合编号],0))))</x:f>
        <x:v>汇川小型</x:v>
      </x:c>
      <x:c r="D480" s="30" t="str">
        <x:f>IF(B480="","",IF(COUNTIFS(Equipment[组合编号],B480)&lt;&gt;1,"组合编号无效",INDEX(Equipment[驱动品牌],MATCH(B480,Equipment[组合编号],0))))</x:f>
        <x:v>KEBA（可选）</x:v>
      </x:c>
      <x:c r="E480" s="20" t="str">
        <x:v>H10</x:v>
      </x:c>
      <x:c r="F480" s="20"/>
      <x:c r="G480" s="20"/>
      <x:c r="H480" s="20" t="str">
        <x:v>待判定</x:v>
      </x:c>
      <x:c r="I480" s="20"/>
      <x:c r="J480" s="20" t="str">
        <x:v>未测试</x:v>
      </x:c>
      <x:c r="K480" s="20"/>
      <x:c r="L480" s="20"/>
      <x:c r="M480" s="20"/>
      <x:c r="N480" s="20"/>
      <x:c r="O480" s="31"/>
      <x:c r="P480" s="20"/>
      <x:c r="Q480" s="20"/>
      <x:c r="R480" s="20" t="str">
        <x:v>待展开</x:v>
      </x:c>
      <x:c r="S480" s="20"/>
      <x:c r="T480" s="31"/>
      <x:c r="U480" s="30" t="str">
        <x:f>IF(A480="","缺记录编号",IF(COUNTIFS(PathRecords[记录编号],A480)&lt;&gt;1,"记录编号重复",IF(OR(B480="",E480=""),"缺组合/功能",IF(COUNTIFS(Equipment[组合编号],B480)&lt;&gt;1,"组合编号无效",IF(COUNTIFS(FunctionMatrix[编号],E480)=0,"功能编号无效",IF(H480="不适用",IF(J480="已实测","适用性冲突",IF(I480="","待补不适用依据","不适用（非实测）")),IF(J480="阻塞",IF(I480="","待补阻塞原因","阻塞（非实测）"),IF(J480&lt;&gt;"已实测",IF(F480="","待展开路径","未实测"),IF(H480&lt;&gt;"适用","待确认适用性",IF(INDEX(Equipment[登记状态（自动）],MATCH(B480,Equipment[组合编号],0))&lt;&gt;"已登记","待补设备组合",IF(AND(F480&lt;&gt;"",G480&lt;&gt;"",K480&lt;&gt;"",L480&lt;&gt;"",M480&lt;&gt;"",N480&lt;&gt;"",ISNUMBER(O480),O480&gt;0,P480&lt;&gt;""),"记录齐全","待补实测记录")))))))))))</x:f>
        <x:v>待展开路径</x:v>
      </x:c>
    </x:row>
    <x:row r="481" ht="43.5" customHeight="1">
      <x:c r="A481" s="20" t="str">
        <x:v>REC-00472</x:v>
      </x:c>
      <x:c r="B481" s="20" t="str">
        <x:v>P1-B5-01</x:v>
      </x:c>
      <x:c r="C481" s="30" t="str">
        <x:f>IF(B481="","",IF(COUNTIFS(Equipment[组合编号],B481)&lt;&gt;1,"组合编号无效",INDEX(Equipment[PLC组],MATCH(B481,Equipment[组合编号],0))))</x:f>
        <x:v>汇川小型</x:v>
      </x:c>
      <x:c r="D481" s="30" t="str">
        <x:f>IF(B481="","",IF(COUNTIFS(Equipment[组合编号],B481)&lt;&gt;1,"组合编号无效",INDEX(Equipment[驱动品牌],MATCH(B481,Equipment[组合编号],0))))</x:f>
        <x:v>KEBA（可选）</x:v>
      </x:c>
      <x:c r="E481" s="20" t="str">
        <x:v>H11</x:v>
      </x:c>
      <x:c r="F481" s="20"/>
      <x:c r="G481" s="20"/>
      <x:c r="H481" s="20" t="str">
        <x:v>待判定</x:v>
      </x:c>
      <x:c r="I481" s="20"/>
      <x:c r="J481" s="20" t="str">
        <x:v>未测试</x:v>
      </x:c>
      <x:c r="K481" s="20"/>
      <x:c r="L481" s="20"/>
      <x:c r="M481" s="20"/>
      <x:c r="N481" s="20"/>
      <x:c r="O481" s="31"/>
      <x:c r="P481" s="20"/>
      <x:c r="Q481" s="20"/>
      <x:c r="R481" s="20" t="str">
        <x:v>待展开</x:v>
      </x:c>
      <x:c r="S481" s="20"/>
      <x:c r="T481" s="31"/>
      <x:c r="U481" s="30" t="str">
        <x:f>IF(A481="","缺记录编号",IF(COUNTIFS(PathRecords[记录编号],A481)&lt;&gt;1,"记录编号重复",IF(OR(B481="",E481=""),"缺组合/功能",IF(COUNTIFS(Equipment[组合编号],B481)&lt;&gt;1,"组合编号无效",IF(COUNTIFS(FunctionMatrix[编号],E481)=0,"功能编号无效",IF(H481="不适用",IF(J481="已实测","适用性冲突",IF(I481="","待补不适用依据","不适用（非实测）")),IF(J481="阻塞",IF(I481="","待补阻塞原因","阻塞（非实测）"),IF(J481&lt;&gt;"已实测",IF(F481="","待展开路径","未实测"),IF(H481&lt;&gt;"适用","待确认适用性",IF(INDEX(Equipment[登记状态（自动）],MATCH(B481,Equipment[组合编号],0))&lt;&gt;"已登记","待补设备组合",IF(AND(F481&lt;&gt;"",G481&lt;&gt;"",K481&lt;&gt;"",L481&lt;&gt;"",M481&lt;&gt;"",N481&lt;&gt;"",ISNUMBER(O481),O481&gt;0,P481&lt;&gt;""),"记录齐全","待补实测记录")))))))))))</x:f>
        <x:v>待展开路径</x:v>
      </x:c>
    </x:row>
    <x:row r="482" ht="43.5" customHeight="1">
      <x:c r="A482" s="20" t="str">
        <x:v>REC-00473</x:v>
      </x:c>
      <x:c r="B482" s="20" t="str">
        <x:v>P1-B5-01</x:v>
      </x:c>
      <x:c r="C482" s="30" t="str">
        <x:f>IF(B482="","",IF(COUNTIFS(Equipment[组合编号],B482)&lt;&gt;1,"组合编号无效",INDEX(Equipment[PLC组],MATCH(B482,Equipment[组合编号],0))))</x:f>
        <x:v>汇川小型</x:v>
      </x:c>
      <x:c r="D482" s="30" t="str">
        <x:f>IF(B482="","",IF(COUNTIFS(Equipment[组合编号],B482)&lt;&gt;1,"组合编号无效",INDEX(Equipment[驱动品牌],MATCH(B482,Equipment[组合编号],0))))</x:f>
        <x:v>KEBA（可选）</x:v>
      </x:c>
      <x:c r="E482" s="20" t="str">
        <x:v>N01</x:v>
      </x:c>
      <x:c r="F482" s="20"/>
      <x:c r="G482" s="20"/>
      <x:c r="H482" s="20" t="str">
        <x:v>待判定</x:v>
      </x:c>
      <x:c r="I482" s="20"/>
      <x:c r="J482" s="20" t="str">
        <x:v>未测试</x:v>
      </x:c>
      <x:c r="K482" s="20"/>
      <x:c r="L482" s="20"/>
      <x:c r="M482" s="20"/>
      <x:c r="N482" s="20"/>
      <x:c r="O482" s="31"/>
      <x:c r="P482" s="20"/>
      <x:c r="Q482" s="20"/>
      <x:c r="R482" s="20" t="str">
        <x:v>待展开</x:v>
      </x:c>
      <x:c r="S482" s="20"/>
      <x:c r="T482" s="31"/>
      <x:c r="U482" s="30" t="str">
        <x:f>IF(A482="","缺记录编号",IF(COUNTIFS(PathRecords[记录编号],A482)&lt;&gt;1,"记录编号重复",IF(OR(B482="",E482=""),"缺组合/功能",IF(COUNTIFS(Equipment[组合编号],B482)&lt;&gt;1,"组合编号无效",IF(COUNTIFS(FunctionMatrix[编号],E482)=0,"功能编号无效",IF(H482="不适用",IF(J482="已实测","适用性冲突",IF(I482="","待补不适用依据","不适用（非实测）")),IF(J482="阻塞",IF(I482="","待补阻塞原因","阻塞（非实测）"),IF(J482&lt;&gt;"已实测",IF(F482="","待展开路径","未实测"),IF(H482&lt;&gt;"适用","待确认适用性",IF(INDEX(Equipment[登记状态（自动）],MATCH(B482,Equipment[组合编号],0))&lt;&gt;"已登记","待补设备组合",IF(AND(F482&lt;&gt;"",G482&lt;&gt;"",K482&lt;&gt;"",L482&lt;&gt;"",M482&lt;&gt;"",N482&lt;&gt;"",ISNUMBER(O482),O482&gt;0,P482&lt;&gt;""),"记录齐全","待补实测记录")))))))))))</x:f>
        <x:v>待展开路径</x:v>
      </x:c>
    </x:row>
    <x:row r="483" ht="43.5" customHeight="1">
      <x:c r="A483" s="20" t="str">
        <x:v>REC-00474</x:v>
      </x:c>
      <x:c r="B483" s="20" t="str">
        <x:v>P1-B5-01</x:v>
      </x:c>
      <x:c r="C483" s="30" t="str">
        <x:f>IF(B483="","",IF(COUNTIFS(Equipment[组合编号],B483)&lt;&gt;1,"组合编号无效",INDEX(Equipment[PLC组],MATCH(B483,Equipment[组合编号],0))))</x:f>
        <x:v>汇川小型</x:v>
      </x:c>
      <x:c r="D483" s="30" t="str">
        <x:f>IF(B483="","",IF(COUNTIFS(Equipment[组合编号],B483)&lt;&gt;1,"组合编号无效",INDEX(Equipment[驱动品牌],MATCH(B483,Equipment[组合编号],0))))</x:f>
        <x:v>KEBA（可选）</x:v>
      </x:c>
      <x:c r="E483" s="20" t="str">
        <x:v>N02</x:v>
      </x:c>
      <x:c r="F483" s="20"/>
      <x:c r="G483" s="20"/>
      <x:c r="H483" s="20" t="str">
        <x:v>待判定</x:v>
      </x:c>
      <x:c r="I483" s="20"/>
      <x:c r="J483" s="20" t="str">
        <x:v>未测试</x:v>
      </x:c>
      <x:c r="K483" s="20"/>
      <x:c r="L483" s="20"/>
      <x:c r="M483" s="20"/>
      <x:c r="N483" s="20"/>
      <x:c r="O483" s="31"/>
      <x:c r="P483" s="20"/>
      <x:c r="Q483" s="20"/>
      <x:c r="R483" s="20" t="str">
        <x:v>待展开</x:v>
      </x:c>
      <x:c r="S483" s="20"/>
      <x:c r="T483" s="31"/>
      <x:c r="U483" s="30" t="str">
        <x:f>IF(A483="","缺记录编号",IF(COUNTIFS(PathRecords[记录编号],A483)&lt;&gt;1,"记录编号重复",IF(OR(B483="",E483=""),"缺组合/功能",IF(COUNTIFS(Equipment[组合编号],B483)&lt;&gt;1,"组合编号无效",IF(COUNTIFS(FunctionMatrix[编号],E483)=0,"功能编号无效",IF(H483="不适用",IF(J483="已实测","适用性冲突",IF(I483="","待补不适用依据","不适用（非实测）")),IF(J483="阻塞",IF(I483="","待补阻塞原因","阻塞（非实测）"),IF(J483&lt;&gt;"已实测",IF(F483="","待展开路径","未实测"),IF(H483&lt;&gt;"适用","待确认适用性",IF(INDEX(Equipment[登记状态（自动）],MATCH(B483,Equipment[组合编号],0))&lt;&gt;"已登记","待补设备组合",IF(AND(F483&lt;&gt;"",G483&lt;&gt;"",K483&lt;&gt;"",L483&lt;&gt;"",M483&lt;&gt;"",N483&lt;&gt;"",ISNUMBER(O483),O483&gt;0,P483&lt;&gt;""),"记录齐全","待补实测记录")))))))))))</x:f>
        <x:v>待展开路径</x:v>
      </x:c>
    </x:row>
    <x:row r="484" ht="43.5" customHeight="1">
      <x:c r="A484" s="20" t="str">
        <x:v>REC-00475</x:v>
      </x:c>
      <x:c r="B484" s="20" t="str">
        <x:v>P1-B5-01</x:v>
      </x:c>
      <x:c r="C484" s="30" t="str">
        <x:f>IF(B484="","",IF(COUNTIFS(Equipment[组合编号],B484)&lt;&gt;1,"组合编号无效",INDEX(Equipment[PLC组],MATCH(B484,Equipment[组合编号],0))))</x:f>
        <x:v>汇川小型</x:v>
      </x:c>
      <x:c r="D484" s="30" t="str">
        <x:f>IF(B484="","",IF(COUNTIFS(Equipment[组合编号],B484)&lt;&gt;1,"组合编号无效",INDEX(Equipment[驱动品牌],MATCH(B484,Equipment[组合编号],0))))</x:f>
        <x:v>KEBA（可选）</x:v>
      </x:c>
      <x:c r="E484" s="20" t="str">
        <x:v>N03</x:v>
      </x:c>
      <x:c r="F484" s="20"/>
      <x:c r="G484" s="20"/>
      <x:c r="H484" s="20" t="str">
        <x:v>待判定</x:v>
      </x:c>
      <x:c r="I484" s="20"/>
      <x:c r="J484" s="20" t="str">
        <x:v>未测试</x:v>
      </x:c>
      <x:c r="K484" s="20"/>
      <x:c r="L484" s="20"/>
      <x:c r="M484" s="20"/>
      <x:c r="N484" s="20"/>
      <x:c r="O484" s="31"/>
      <x:c r="P484" s="20"/>
      <x:c r="Q484" s="20"/>
      <x:c r="R484" s="20" t="str">
        <x:v>待展开</x:v>
      </x:c>
      <x:c r="S484" s="20"/>
      <x:c r="T484" s="31"/>
      <x:c r="U484" s="30" t="str">
        <x:f>IF(A484="","缺记录编号",IF(COUNTIFS(PathRecords[记录编号],A484)&lt;&gt;1,"记录编号重复",IF(OR(B484="",E484=""),"缺组合/功能",IF(COUNTIFS(Equipment[组合编号],B484)&lt;&gt;1,"组合编号无效",IF(COUNTIFS(FunctionMatrix[编号],E484)=0,"功能编号无效",IF(H484="不适用",IF(J484="已实测","适用性冲突",IF(I484="","待补不适用依据","不适用（非实测）")),IF(J484="阻塞",IF(I484="","待补阻塞原因","阻塞（非实测）"),IF(J484&lt;&gt;"已实测",IF(F484="","待展开路径","未实测"),IF(H484&lt;&gt;"适用","待确认适用性",IF(INDEX(Equipment[登记状态（自动）],MATCH(B484,Equipment[组合编号],0))&lt;&gt;"已登记","待补设备组合",IF(AND(F484&lt;&gt;"",G484&lt;&gt;"",K484&lt;&gt;"",L484&lt;&gt;"",M484&lt;&gt;"",N484&lt;&gt;"",ISNUMBER(O484),O484&gt;0,P484&lt;&gt;""),"记录齐全","待补实测记录")))))))))))</x:f>
        <x:v>待展开路径</x:v>
      </x:c>
    </x:row>
    <x:row r="485" ht="43.5" customHeight="1">
      <x:c r="A485" s="20" t="str">
        <x:v>REC-00476</x:v>
      </x:c>
      <x:c r="B485" s="20" t="str">
        <x:v>P1-B5-01</x:v>
      </x:c>
      <x:c r="C485" s="30" t="str">
        <x:f>IF(B485="","",IF(COUNTIFS(Equipment[组合编号],B485)&lt;&gt;1,"组合编号无效",INDEX(Equipment[PLC组],MATCH(B485,Equipment[组合编号],0))))</x:f>
        <x:v>汇川小型</x:v>
      </x:c>
      <x:c r="D485" s="30" t="str">
        <x:f>IF(B485="","",IF(COUNTIFS(Equipment[组合编号],B485)&lt;&gt;1,"组合编号无效",INDEX(Equipment[驱动品牌],MATCH(B485,Equipment[组合编号],0))))</x:f>
        <x:v>KEBA（可选）</x:v>
      </x:c>
      <x:c r="E485" s="20" t="str">
        <x:v>N04</x:v>
      </x:c>
      <x:c r="F485" s="20"/>
      <x:c r="G485" s="20"/>
      <x:c r="H485" s="20" t="str">
        <x:v>待判定</x:v>
      </x:c>
      <x:c r="I485" s="20"/>
      <x:c r="J485" s="20" t="str">
        <x:v>未测试</x:v>
      </x:c>
      <x:c r="K485" s="20"/>
      <x:c r="L485" s="20"/>
      <x:c r="M485" s="20"/>
      <x:c r="N485" s="20"/>
      <x:c r="O485" s="31"/>
      <x:c r="P485" s="20"/>
      <x:c r="Q485" s="20"/>
      <x:c r="R485" s="20" t="str">
        <x:v>待展开</x:v>
      </x:c>
      <x:c r="S485" s="20"/>
      <x:c r="T485" s="31"/>
      <x:c r="U485" s="30" t="str">
        <x:f>IF(A485="","缺记录编号",IF(COUNTIFS(PathRecords[记录编号],A485)&lt;&gt;1,"记录编号重复",IF(OR(B485="",E485=""),"缺组合/功能",IF(COUNTIFS(Equipment[组合编号],B485)&lt;&gt;1,"组合编号无效",IF(COUNTIFS(FunctionMatrix[编号],E485)=0,"功能编号无效",IF(H485="不适用",IF(J485="已实测","适用性冲突",IF(I485="","待补不适用依据","不适用（非实测）")),IF(J485="阻塞",IF(I485="","待补阻塞原因","阻塞（非实测）"),IF(J485&lt;&gt;"已实测",IF(F485="","待展开路径","未实测"),IF(H485&lt;&gt;"适用","待确认适用性",IF(INDEX(Equipment[登记状态（自动）],MATCH(B485,Equipment[组合编号],0))&lt;&gt;"已登记","待补设备组合",IF(AND(F485&lt;&gt;"",G485&lt;&gt;"",K485&lt;&gt;"",L485&lt;&gt;"",M485&lt;&gt;"",N485&lt;&gt;"",ISNUMBER(O485),O485&gt;0,P485&lt;&gt;""),"记录齐全","待补实测记录")))))))))))</x:f>
        <x:v>待展开路径</x:v>
      </x:c>
    </x:row>
    <x:row r="486" ht="43.5" customHeight="1">
      <x:c r="A486" s="20" t="str">
        <x:v>REC-00477</x:v>
      </x:c>
      <x:c r="B486" s="20" t="str">
        <x:v>P1-B5-01</x:v>
      </x:c>
      <x:c r="C486" s="30" t="str">
        <x:f>IF(B486="","",IF(COUNTIFS(Equipment[组合编号],B486)&lt;&gt;1,"组合编号无效",INDEX(Equipment[PLC组],MATCH(B486,Equipment[组合编号],0))))</x:f>
        <x:v>汇川小型</x:v>
      </x:c>
      <x:c r="D486" s="30" t="str">
        <x:f>IF(B486="","",IF(COUNTIFS(Equipment[组合编号],B486)&lt;&gt;1,"组合编号无效",INDEX(Equipment[驱动品牌],MATCH(B486,Equipment[组合编号],0))))</x:f>
        <x:v>KEBA（可选）</x:v>
      </x:c>
      <x:c r="E486" s="20" t="str">
        <x:v>N05</x:v>
      </x:c>
      <x:c r="F486" s="20"/>
      <x:c r="G486" s="20"/>
      <x:c r="H486" s="20" t="str">
        <x:v>待判定</x:v>
      </x:c>
      <x:c r="I486" s="20"/>
      <x:c r="J486" s="20" t="str">
        <x:v>未测试</x:v>
      </x:c>
      <x:c r="K486" s="20"/>
      <x:c r="L486" s="20"/>
      <x:c r="M486" s="20"/>
      <x:c r="N486" s="20"/>
      <x:c r="O486" s="31"/>
      <x:c r="P486" s="20"/>
      <x:c r="Q486" s="20"/>
      <x:c r="R486" s="20" t="str">
        <x:v>待展开</x:v>
      </x:c>
      <x:c r="S486" s="20"/>
      <x:c r="T486" s="31"/>
      <x:c r="U486" s="30" t="str">
        <x:f>IF(A486="","缺记录编号",IF(COUNTIFS(PathRecords[记录编号],A486)&lt;&gt;1,"记录编号重复",IF(OR(B486="",E486=""),"缺组合/功能",IF(COUNTIFS(Equipment[组合编号],B486)&lt;&gt;1,"组合编号无效",IF(COUNTIFS(FunctionMatrix[编号],E486)=0,"功能编号无效",IF(H486="不适用",IF(J486="已实测","适用性冲突",IF(I486="","待补不适用依据","不适用（非实测）")),IF(J486="阻塞",IF(I486="","待补阻塞原因","阻塞（非实测）"),IF(J486&lt;&gt;"已实测",IF(F486="","待展开路径","未实测"),IF(H486&lt;&gt;"适用","待确认适用性",IF(INDEX(Equipment[登记状态（自动）],MATCH(B486,Equipment[组合编号],0))&lt;&gt;"已登记","待补设备组合",IF(AND(F486&lt;&gt;"",G486&lt;&gt;"",K486&lt;&gt;"",L486&lt;&gt;"",M486&lt;&gt;"",N486&lt;&gt;"",ISNUMBER(O486),O486&gt;0,P486&lt;&gt;""),"记录齐全","待补实测记录")))))))))))</x:f>
        <x:v>待展开路径</x:v>
      </x:c>
    </x:row>
    <x:row r="487" ht="43.5" customHeight="1">
      <x:c r="A487" s="20" t="str">
        <x:v>REC-00478</x:v>
      </x:c>
      <x:c r="B487" s="20" t="str">
        <x:v>P1-B5-01</x:v>
      </x:c>
      <x:c r="C487" s="30" t="str">
        <x:f>IF(B487="","",IF(COUNTIFS(Equipment[组合编号],B487)&lt;&gt;1,"组合编号无效",INDEX(Equipment[PLC组],MATCH(B487,Equipment[组合编号],0))))</x:f>
        <x:v>汇川小型</x:v>
      </x:c>
      <x:c r="D487" s="30" t="str">
        <x:f>IF(B487="","",IF(COUNTIFS(Equipment[组合编号],B487)&lt;&gt;1,"组合编号无效",INDEX(Equipment[驱动品牌],MATCH(B487,Equipment[组合编号],0))))</x:f>
        <x:v>KEBA（可选）</x:v>
      </x:c>
      <x:c r="E487" s="20" t="str">
        <x:v>N06</x:v>
      </x:c>
      <x:c r="F487" s="20"/>
      <x:c r="G487" s="20"/>
      <x:c r="H487" s="20" t="str">
        <x:v>待判定</x:v>
      </x:c>
      <x:c r="I487" s="20"/>
      <x:c r="J487" s="20" t="str">
        <x:v>未测试</x:v>
      </x:c>
      <x:c r="K487" s="20"/>
      <x:c r="L487" s="20"/>
      <x:c r="M487" s="20"/>
      <x:c r="N487" s="20"/>
      <x:c r="O487" s="31"/>
      <x:c r="P487" s="20"/>
      <x:c r="Q487" s="20"/>
      <x:c r="R487" s="20" t="str">
        <x:v>待展开</x:v>
      </x:c>
      <x:c r="S487" s="20"/>
      <x:c r="T487" s="31"/>
      <x:c r="U487" s="30" t="str">
        <x:f>IF(A487="","缺记录编号",IF(COUNTIFS(PathRecords[记录编号],A487)&lt;&gt;1,"记录编号重复",IF(OR(B487="",E487=""),"缺组合/功能",IF(COUNTIFS(Equipment[组合编号],B487)&lt;&gt;1,"组合编号无效",IF(COUNTIFS(FunctionMatrix[编号],E487)=0,"功能编号无效",IF(H487="不适用",IF(J487="已实测","适用性冲突",IF(I487="","待补不适用依据","不适用（非实测）")),IF(J487="阻塞",IF(I487="","待补阻塞原因","阻塞（非实测）"),IF(J487&lt;&gt;"已实测",IF(F487="","待展开路径","未实测"),IF(H487&lt;&gt;"适用","待确认适用性",IF(INDEX(Equipment[登记状态（自动）],MATCH(B487,Equipment[组合编号],0))&lt;&gt;"已登记","待补设备组合",IF(AND(F487&lt;&gt;"",G487&lt;&gt;"",K487&lt;&gt;"",L487&lt;&gt;"",M487&lt;&gt;"",N487&lt;&gt;"",ISNUMBER(O487),O487&gt;0,P487&lt;&gt;""),"记录齐全","待补实测记录")))))))))))</x:f>
        <x:v>待展开路径</x:v>
      </x:c>
    </x:row>
    <x:row r="488" ht="43.5" customHeight="1">
      <x:c r="A488" s="20" t="str">
        <x:v>REC-00479</x:v>
      </x:c>
      <x:c r="B488" s="20" t="str">
        <x:v>P1-B5-01</x:v>
      </x:c>
      <x:c r="C488" s="30" t="str">
        <x:f>IF(B488="","",IF(COUNTIFS(Equipment[组合编号],B488)&lt;&gt;1,"组合编号无效",INDEX(Equipment[PLC组],MATCH(B488,Equipment[组合编号],0))))</x:f>
        <x:v>汇川小型</x:v>
      </x:c>
      <x:c r="D488" s="30" t="str">
        <x:f>IF(B488="","",IF(COUNTIFS(Equipment[组合编号],B488)&lt;&gt;1,"组合编号无效",INDEX(Equipment[驱动品牌],MATCH(B488,Equipment[组合编号],0))))</x:f>
        <x:v>KEBA（可选）</x:v>
      </x:c>
      <x:c r="E488" s="20" t="str">
        <x:v>N07</x:v>
      </x:c>
      <x:c r="F488" s="20"/>
      <x:c r="G488" s="20"/>
      <x:c r="H488" s="20" t="str">
        <x:v>待判定</x:v>
      </x:c>
      <x:c r="I488" s="20"/>
      <x:c r="J488" s="20" t="str">
        <x:v>未测试</x:v>
      </x:c>
      <x:c r="K488" s="20"/>
      <x:c r="L488" s="20"/>
      <x:c r="M488" s="20"/>
      <x:c r="N488" s="20"/>
      <x:c r="O488" s="31"/>
      <x:c r="P488" s="20"/>
      <x:c r="Q488" s="20"/>
      <x:c r="R488" s="20" t="str">
        <x:v>待展开</x:v>
      </x:c>
      <x:c r="S488" s="20"/>
      <x:c r="T488" s="31"/>
      <x:c r="U488" s="30" t="str">
        <x:f>IF(A488="","缺记录编号",IF(COUNTIFS(PathRecords[记录编号],A488)&lt;&gt;1,"记录编号重复",IF(OR(B488="",E488=""),"缺组合/功能",IF(COUNTIFS(Equipment[组合编号],B488)&lt;&gt;1,"组合编号无效",IF(COUNTIFS(FunctionMatrix[编号],E488)=0,"功能编号无效",IF(H488="不适用",IF(J488="已实测","适用性冲突",IF(I488="","待补不适用依据","不适用（非实测）")),IF(J488="阻塞",IF(I488="","待补阻塞原因","阻塞（非实测）"),IF(J488&lt;&gt;"已实测",IF(F488="","待展开路径","未实测"),IF(H488&lt;&gt;"适用","待确认适用性",IF(INDEX(Equipment[登记状态（自动）],MATCH(B488,Equipment[组合编号],0))&lt;&gt;"已登记","待补设备组合",IF(AND(F488&lt;&gt;"",G488&lt;&gt;"",K488&lt;&gt;"",L488&lt;&gt;"",M488&lt;&gt;"",N488&lt;&gt;"",ISNUMBER(O488),O488&gt;0,P488&lt;&gt;""),"记录齐全","待补实测记录")))))))))))</x:f>
        <x:v>待展开路径</x:v>
      </x:c>
    </x:row>
    <x:row r="489" ht="43.5" customHeight="1">
      <x:c r="A489" s="20" t="str">
        <x:v>REC-00480</x:v>
      </x:c>
      <x:c r="B489" s="20" t="str">
        <x:v>P1-B5-01</x:v>
      </x:c>
      <x:c r="C489" s="30" t="str">
        <x:f>IF(B489="","",IF(COUNTIFS(Equipment[组合编号],B489)&lt;&gt;1,"组合编号无效",INDEX(Equipment[PLC组],MATCH(B489,Equipment[组合编号],0))))</x:f>
        <x:v>汇川小型</x:v>
      </x:c>
      <x:c r="D489" s="30" t="str">
        <x:f>IF(B489="","",IF(COUNTIFS(Equipment[组合编号],B489)&lt;&gt;1,"组合编号无效",INDEX(Equipment[驱动品牌],MATCH(B489,Equipment[组合编号],0))))</x:f>
        <x:v>KEBA（可选）</x:v>
      </x:c>
      <x:c r="E489" s="20" t="str">
        <x:v>N08</x:v>
      </x:c>
      <x:c r="F489" s="20"/>
      <x:c r="G489" s="20"/>
      <x:c r="H489" s="20" t="str">
        <x:v>待判定</x:v>
      </x:c>
      <x:c r="I489" s="20"/>
      <x:c r="J489" s="20" t="str">
        <x:v>未测试</x:v>
      </x:c>
      <x:c r="K489" s="20"/>
      <x:c r="L489" s="20"/>
      <x:c r="M489" s="20"/>
      <x:c r="N489" s="20"/>
      <x:c r="O489" s="31"/>
      <x:c r="P489" s="20"/>
      <x:c r="Q489" s="20"/>
      <x:c r="R489" s="20" t="str">
        <x:v>待展开</x:v>
      </x:c>
      <x:c r="S489" s="20"/>
      <x:c r="T489" s="31"/>
      <x:c r="U489" s="30" t="str">
        <x:f>IF(A489="","缺记录编号",IF(COUNTIFS(PathRecords[记录编号],A489)&lt;&gt;1,"记录编号重复",IF(OR(B489="",E489=""),"缺组合/功能",IF(COUNTIFS(Equipment[组合编号],B489)&lt;&gt;1,"组合编号无效",IF(COUNTIFS(FunctionMatrix[编号],E489)=0,"功能编号无效",IF(H489="不适用",IF(J489="已实测","适用性冲突",IF(I489="","待补不适用依据","不适用（非实测）")),IF(J489="阻塞",IF(I489="","待补阻塞原因","阻塞（非实测）"),IF(J489&lt;&gt;"已实测",IF(F489="","待展开路径","未实测"),IF(H489&lt;&gt;"适用","待确认适用性",IF(INDEX(Equipment[登记状态（自动）],MATCH(B489,Equipment[组合编号],0))&lt;&gt;"已登记","待补设备组合",IF(AND(F489&lt;&gt;"",G489&lt;&gt;"",K489&lt;&gt;"",L489&lt;&gt;"",M489&lt;&gt;"",N489&lt;&gt;"",ISNUMBER(O489),O489&gt;0,P489&lt;&gt;""),"记录齐全","待补实测记录")))))))))))</x:f>
        <x:v>待展开路径</x:v>
      </x:c>
    </x:row>
    <x:row r="490" ht="43.5" customHeight="1">
      <x:c r="A490" s="20" t="str">
        <x:v>REC-00481</x:v>
      </x:c>
      <x:c r="B490" s="20" t="str">
        <x:v>P1-B5-01</x:v>
      </x:c>
      <x:c r="C490" s="30" t="str">
        <x:f>IF(B490="","",IF(COUNTIFS(Equipment[组合编号],B490)&lt;&gt;1,"组合编号无效",INDEX(Equipment[PLC组],MATCH(B490,Equipment[组合编号],0))))</x:f>
        <x:v>汇川小型</x:v>
      </x:c>
      <x:c r="D490" s="30" t="str">
        <x:f>IF(B490="","",IF(COUNTIFS(Equipment[组合编号],B490)&lt;&gt;1,"组合编号无效",INDEX(Equipment[驱动品牌],MATCH(B490,Equipment[组合编号],0))))</x:f>
        <x:v>KEBA（可选）</x:v>
      </x:c>
      <x:c r="E490" s="20" t="str">
        <x:v>N09</x:v>
      </x:c>
      <x:c r="F490" s="20"/>
      <x:c r="G490" s="20"/>
      <x:c r="H490" s="20" t="str">
        <x:v>待判定</x:v>
      </x:c>
      <x:c r="I490" s="20"/>
      <x:c r="J490" s="20" t="str">
        <x:v>未测试</x:v>
      </x:c>
      <x:c r="K490" s="20"/>
      <x:c r="L490" s="20"/>
      <x:c r="M490" s="20"/>
      <x:c r="N490" s="20"/>
      <x:c r="O490" s="31"/>
      <x:c r="P490" s="20"/>
      <x:c r="Q490" s="20"/>
      <x:c r="R490" s="20" t="str">
        <x:v>待展开</x:v>
      </x:c>
      <x:c r="S490" s="20"/>
      <x:c r="T490" s="31"/>
      <x:c r="U490" s="30" t="str">
        <x:f>IF(A490="","缺记录编号",IF(COUNTIFS(PathRecords[记录编号],A490)&lt;&gt;1,"记录编号重复",IF(OR(B490="",E490=""),"缺组合/功能",IF(COUNTIFS(Equipment[组合编号],B490)&lt;&gt;1,"组合编号无效",IF(COUNTIFS(FunctionMatrix[编号],E490)=0,"功能编号无效",IF(H490="不适用",IF(J490="已实测","适用性冲突",IF(I490="","待补不适用依据","不适用（非实测）")),IF(J490="阻塞",IF(I490="","待补阻塞原因","阻塞（非实测）"),IF(J490&lt;&gt;"已实测",IF(F490="","待展开路径","未实测"),IF(H490&lt;&gt;"适用","待确认适用性",IF(INDEX(Equipment[登记状态（自动）],MATCH(B490,Equipment[组合编号],0))&lt;&gt;"已登记","待补设备组合",IF(AND(F490&lt;&gt;"",G490&lt;&gt;"",K490&lt;&gt;"",L490&lt;&gt;"",M490&lt;&gt;"",N490&lt;&gt;"",ISNUMBER(O490),O490&gt;0,P490&lt;&gt;""),"记录齐全","待补实测记录")))))))))))</x:f>
        <x:v>待展开路径</x:v>
      </x:c>
    </x:row>
    <x:row r="491" ht="43.5" customHeight="1">
      <x:c r="A491" s="20" t="str">
        <x:v>REC-00482</x:v>
      </x:c>
      <x:c r="B491" s="20" t="str">
        <x:v>P1-B5-01</x:v>
      </x:c>
      <x:c r="C491" s="30" t="str">
        <x:f>IF(B491="","",IF(COUNTIFS(Equipment[组合编号],B491)&lt;&gt;1,"组合编号无效",INDEX(Equipment[PLC组],MATCH(B491,Equipment[组合编号],0))))</x:f>
        <x:v>汇川小型</x:v>
      </x:c>
      <x:c r="D491" s="30" t="str">
        <x:f>IF(B491="","",IF(COUNTIFS(Equipment[组合编号],B491)&lt;&gt;1,"组合编号无效",INDEX(Equipment[驱动品牌],MATCH(B491,Equipment[组合编号],0))))</x:f>
        <x:v>KEBA（可选）</x:v>
      </x:c>
      <x:c r="E491" s="20" t="str">
        <x:v>N10</x:v>
      </x:c>
      <x:c r="F491" s="20"/>
      <x:c r="G491" s="20"/>
      <x:c r="H491" s="20" t="str">
        <x:v>待判定</x:v>
      </x:c>
      <x:c r="I491" s="20"/>
      <x:c r="J491" s="20" t="str">
        <x:v>未测试</x:v>
      </x:c>
      <x:c r="K491" s="20"/>
      <x:c r="L491" s="20"/>
      <x:c r="M491" s="20"/>
      <x:c r="N491" s="20"/>
      <x:c r="O491" s="31"/>
      <x:c r="P491" s="20"/>
      <x:c r="Q491" s="20"/>
      <x:c r="R491" s="20" t="str">
        <x:v>待展开</x:v>
      </x:c>
      <x:c r="S491" s="20"/>
      <x:c r="T491" s="31"/>
      <x:c r="U491" s="30" t="str">
        <x:f>IF(A491="","缺记录编号",IF(COUNTIFS(PathRecords[记录编号],A491)&lt;&gt;1,"记录编号重复",IF(OR(B491="",E491=""),"缺组合/功能",IF(COUNTIFS(Equipment[组合编号],B491)&lt;&gt;1,"组合编号无效",IF(COUNTIFS(FunctionMatrix[编号],E491)=0,"功能编号无效",IF(H491="不适用",IF(J491="已实测","适用性冲突",IF(I491="","待补不适用依据","不适用（非实测）")),IF(J491="阻塞",IF(I491="","待补阻塞原因","阻塞（非实测）"),IF(J491&lt;&gt;"已实测",IF(F491="","待展开路径","未实测"),IF(H491&lt;&gt;"适用","待确认适用性",IF(INDEX(Equipment[登记状态（自动）],MATCH(B491,Equipment[组合编号],0))&lt;&gt;"已登记","待补设备组合",IF(AND(F491&lt;&gt;"",G491&lt;&gt;"",K491&lt;&gt;"",L491&lt;&gt;"",M491&lt;&gt;"",N491&lt;&gt;"",ISNUMBER(O491),O491&gt;0,P491&lt;&gt;""),"记录齐全","待补实测记录")))))))))))</x:f>
        <x:v>待展开路径</x:v>
      </x:c>
    </x:row>
    <x:row r="492" ht="43.5" customHeight="1">
      <x:c r="A492" s="20" t="str">
        <x:v>REC-00483</x:v>
      </x:c>
      <x:c r="B492" s="20" t="str">
        <x:v>P1-B5-01</x:v>
      </x:c>
      <x:c r="C492" s="30" t="str">
        <x:f>IF(B492="","",IF(COUNTIFS(Equipment[组合编号],B492)&lt;&gt;1,"组合编号无效",INDEX(Equipment[PLC组],MATCH(B492,Equipment[组合编号],0))))</x:f>
        <x:v>汇川小型</x:v>
      </x:c>
      <x:c r="D492" s="30" t="str">
        <x:f>IF(B492="","",IF(COUNTIFS(Equipment[组合编号],B492)&lt;&gt;1,"组合编号无效",INDEX(Equipment[驱动品牌],MATCH(B492,Equipment[组合编号],0))))</x:f>
        <x:v>KEBA（可选）</x:v>
      </x:c>
      <x:c r="E492" s="20" t="str">
        <x:v>N11</x:v>
      </x:c>
      <x:c r="F492" s="20"/>
      <x:c r="G492" s="20"/>
      <x:c r="H492" s="20" t="str">
        <x:v>待判定</x:v>
      </x:c>
      <x:c r="I492" s="20"/>
      <x:c r="J492" s="20" t="str">
        <x:v>未测试</x:v>
      </x:c>
      <x:c r="K492" s="20"/>
      <x:c r="L492" s="20"/>
      <x:c r="M492" s="20"/>
      <x:c r="N492" s="20"/>
      <x:c r="O492" s="31"/>
      <x:c r="P492" s="20"/>
      <x:c r="Q492" s="20"/>
      <x:c r="R492" s="20" t="str">
        <x:v>待展开</x:v>
      </x:c>
      <x:c r="S492" s="20"/>
      <x:c r="T492" s="31"/>
      <x:c r="U492" s="30" t="str">
        <x:f>IF(A492="","缺记录编号",IF(COUNTIFS(PathRecords[记录编号],A492)&lt;&gt;1,"记录编号重复",IF(OR(B492="",E492=""),"缺组合/功能",IF(COUNTIFS(Equipment[组合编号],B492)&lt;&gt;1,"组合编号无效",IF(COUNTIFS(FunctionMatrix[编号],E492)=0,"功能编号无效",IF(H492="不适用",IF(J492="已实测","适用性冲突",IF(I492="","待补不适用依据","不适用（非实测）")),IF(J492="阻塞",IF(I492="","待补阻塞原因","阻塞（非实测）"),IF(J492&lt;&gt;"已实测",IF(F492="","待展开路径","未实测"),IF(H492&lt;&gt;"适用","待确认适用性",IF(INDEX(Equipment[登记状态（自动）],MATCH(B492,Equipment[组合编号],0))&lt;&gt;"已登记","待补设备组合",IF(AND(F492&lt;&gt;"",G492&lt;&gt;"",K492&lt;&gt;"",L492&lt;&gt;"",M492&lt;&gt;"",N492&lt;&gt;"",ISNUMBER(O492),O492&gt;0,P492&lt;&gt;""),"记录齐全","待补实测记录")))))))))))</x:f>
        <x:v>待展开路径</x:v>
      </x:c>
    </x:row>
    <x:row r="493" ht="43.5" customHeight="1">
      <x:c r="A493" s="20" t="str">
        <x:v>REC-00484</x:v>
      </x:c>
      <x:c r="B493" s="20" t="str">
        <x:v>P1-B5-01</x:v>
      </x:c>
      <x:c r="C493" s="30" t="str">
        <x:f>IF(B493="","",IF(COUNTIFS(Equipment[组合编号],B493)&lt;&gt;1,"组合编号无效",INDEX(Equipment[PLC组],MATCH(B493,Equipment[组合编号],0))))</x:f>
        <x:v>汇川小型</x:v>
      </x:c>
      <x:c r="D493" s="30" t="str">
        <x:f>IF(B493="","",IF(COUNTIFS(Equipment[组合编号],B493)&lt;&gt;1,"组合编号无效",INDEX(Equipment[驱动品牌],MATCH(B493,Equipment[组合编号],0))))</x:f>
        <x:v>KEBA（可选）</x:v>
      </x:c>
      <x:c r="E493" s="20" t="str">
        <x:v>N12</x:v>
      </x:c>
      <x:c r="F493" s="20"/>
      <x:c r="G493" s="20"/>
      <x:c r="H493" s="20" t="str">
        <x:v>待判定</x:v>
      </x:c>
      <x:c r="I493" s="20"/>
      <x:c r="J493" s="20" t="str">
        <x:v>未测试</x:v>
      </x:c>
      <x:c r="K493" s="20"/>
      <x:c r="L493" s="20"/>
      <x:c r="M493" s="20"/>
      <x:c r="N493" s="20"/>
      <x:c r="O493" s="31"/>
      <x:c r="P493" s="20"/>
      <x:c r="Q493" s="20"/>
      <x:c r="R493" s="20" t="str">
        <x:v>待展开</x:v>
      </x:c>
      <x:c r="S493" s="20"/>
      <x:c r="T493" s="31"/>
      <x:c r="U493" s="30" t="str">
        <x:f>IF(A493="","缺记录编号",IF(COUNTIFS(PathRecords[记录编号],A493)&lt;&gt;1,"记录编号重复",IF(OR(B493="",E493=""),"缺组合/功能",IF(COUNTIFS(Equipment[组合编号],B493)&lt;&gt;1,"组合编号无效",IF(COUNTIFS(FunctionMatrix[编号],E493)=0,"功能编号无效",IF(H493="不适用",IF(J493="已实测","适用性冲突",IF(I493="","待补不适用依据","不适用（非实测）")),IF(J493="阻塞",IF(I493="","待补阻塞原因","阻塞（非实测）"),IF(J493&lt;&gt;"已实测",IF(F493="","待展开路径","未实测"),IF(H493&lt;&gt;"适用","待确认适用性",IF(INDEX(Equipment[登记状态（自动）],MATCH(B493,Equipment[组合编号],0))&lt;&gt;"已登记","待补设备组合",IF(AND(F493&lt;&gt;"",G493&lt;&gt;"",K493&lt;&gt;"",L493&lt;&gt;"",M493&lt;&gt;"",N493&lt;&gt;"",ISNUMBER(O493),O493&gt;0,P493&lt;&gt;""),"记录齐全","待补实测记录")))))))))))</x:f>
        <x:v>待展开路径</x:v>
      </x:c>
    </x:row>
    <x:row r="494" ht="43.5" customHeight="1">
      <x:c r="A494" s="20" t="str">
        <x:v>REC-00485</x:v>
      </x:c>
      <x:c r="B494" s="20" t="str">
        <x:v>P1-B5-01</x:v>
      </x:c>
      <x:c r="C494" s="30" t="str">
        <x:f>IF(B494="","",IF(COUNTIFS(Equipment[组合编号],B494)&lt;&gt;1,"组合编号无效",INDEX(Equipment[PLC组],MATCH(B494,Equipment[组合编号],0))))</x:f>
        <x:v>汇川小型</x:v>
      </x:c>
      <x:c r="D494" s="30" t="str">
        <x:f>IF(B494="","",IF(COUNTIFS(Equipment[组合编号],B494)&lt;&gt;1,"组合编号无效",INDEX(Equipment[驱动品牌],MATCH(B494,Equipment[组合编号],0))))</x:f>
        <x:v>KEBA（可选）</x:v>
      </x:c>
      <x:c r="E494" s="20" t="str">
        <x:v>P01</x:v>
      </x:c>
      <x:c r="F494" s="20"/>
      <x:c r="G494" s="20"/>
      <x:c r="H494" s="20" t="str">
        <x:v>待判定</x:v>
      </x:c>
      <x:c r="I494" s="20"/>
      <x:c r="J494" s="20" t="str">
        <x:v>未测试</x:v>
      </x:c>
      <x:c r="K494" s="20"/>
      <x:c r="L494" s="20"/>
      <x:c r="M494" s="20"/>
      <x:c r="N494" s="20"/>
      <x:c r="O494" s="31"/>
      <x:c r="P494" s="20"/>
      <x:c r="Q494" s="20"/>
      <x:c r="R494" s="20" t="str">
        <x:v>待展开</x:v>
      </x:c>
      <x:c r="S494" s="20"/>
      <x:c r="T494" s="31"/>
      <x:c r="U494" s="30" t="str">
        <x:f>IF(A494="","缺记录编号",IF(COUNTIFS(PathRecords[记录编号],A494)&lt;&gt;1,"记录编号重复",IF(OR(B494="",E494=""),"缺组合/功能",IF(COUNTIFS(Equipment[组合编号],B494)&lt;&gt;1,"组合编号无效",IF(COUNTIFS(FunctionMatrix[编号],E494)=0,"功能编号无效",IF(H494="不适用",IF(J494="已实测","适用性冲突",IF(I494="","待补不适用依据","不适用（非实测）")),IF(J494="阻塞",IF(I494="","待补阻塞原因","阻塞（非实测）"),IF(J494&lt;&gt;"已实测",IF(F494="","待展开路径","未实测"),IF(H494&lt;&gt;"适用","待确认适用性",IF(INDEX(Equipment[登记状态（自动）],MATCH(B494,Equipment[组合编号],0))&lt;&gt;"已登记","待补设备组合",IF(AND(F494&lt;&gt;"",G494&lt;&gt;"",K494&lt;&gt;"",L494&lt;&gt;"",M494&lt;&gt;"",N494&lt;&gt;"",ISNUMBER(O494),O494&gt;0,P494&lt;&gt;""),"记录齐全","待补实测记录")))))))))))</x:f>
        <x:v>待展开路径</x:v>
      </x:c>
    </x:row>
    <x:row r="495" ht="43.5" customHeight="1">
      <x:c r="A495" s="20" t="str">
        <x:v>REC-00486</x:v>
      </x:c>
      <x:c r="B495" s="20" t="str">
        <x:v>P1-B5-01</x:v>
      </x:c>
      <x:c r="C495" s="30" t="str">
        <x:f>IF(B495="","",IF(COUNTIFS(Equipment[组合编号],B495)&lt;&gt;1,"组合编号无效",INDEX(Equipment[PLC组],MATCH(B495,Equipment[组合编号],0))))</x:f>
        <x:v>汇川小型</x:v>
      </x:c>
      <x:c r="D495" s="30" t="str">
        <x:f>IF(B495="","",IF(COUNTIFS(Equipment[组合编号],B495)&lt;&gt;1,"组合编号无效",INDEX(Equipment[驱动品牌],MATCH(B495,Equipment[组合编号],0))))</x:f>
        <x:v>KEBA（可选）</x:v>
      </x:c>
      <x:c r="E495" s="20" t="str">
        <x:v>P02</x:v>
      </x:c>
      <x:c r="F495" s="20"/>
      <x:c r="G495" s="20"/>
      <x:c r="H495" s="20" t="str">
        <x:v>待判定</x:v>
      </x:c>
      <x:c r="I495" s="20"/>
      <x:c r="J495" s="20" t="str">
        <x:v>未测试</x:v>
      </x:c>
      <x:c r="K495" s="20"/>
      <x:c r="L495" s="20"/>
      <x:c r="M495" s="20"/>
      <x:c r="N495" s="20"/>
      <x:c r="O495" s="31"/>
      <x:c r="P495" s="20"/>
      <x:c r="Q495" s="20"/>
      <x:c r="R495" s="20" t="str">
        <x:v>待展开</x:v>
      </x:c>
      <x:c r="S495" s="20"/>
      <x:c r="T495" s="31"/>
      <x:c r="U495" s="30" t="str">
        <x:f>IF(A495="","缺记录编号",IF(COUNTIFS(PathRecords[记录编号],A495)&lt;&gt;1,"记录编号重复",IF(OR(B495="",E495=""),"缺组合/功能",IF(COUNTIFS(Equipment[组合编号],B495)&lt;&gt;1,"组合编号无效",IF(COUNTIFS(FunctionMatrix[编号],E495)=0,"功能编号无效",IF(H495="不适用",IF(J495="已实测","适用性冲突",IF(I495="","待补不适用依据","不适用（非实测）")),IF(J495="阻塞",IF(I495="","待补阻塞原因","阻塞（非实测）"),IF(J495&lt;&gt;"已实测",IF(F495="","待展开路径","未实测"),IF(H495&lt;&gt;"适用","待确认适用性",IF(INDEX(Equipment[登记状态（自动）],MATCH(B495,Equipment[组合编号],0))&lt;&gt;"已登记","待补设备组合",IF(AND(F495&lt;&gt;"",G495&lt;&gt;"",K495&lt;&gt;"",L495&lt;&gt;"",M495&lt;&gt;"",N495&lt;&gt;"",ISNUMBER(O495),O495&gt;0,P495&lt;&gt;""),"记录齐全","待补实测记录")))))))))))</x:f>
        <x:v>待展开路径</x:v>
      </x:c>
    </x:row>
    <x:row r="496" ht="43.5" customHeight="1">
      <x:c r="A496" s="20" t="str">
        <x:v>REC-00487</x:v>
      </x:c>
      <x:c r="B496" s="20" t="str">
        <x:v>P1-B5-01</x:v>
      </x:c>
      <x:c r="C496" s="30" t="str">
        <x:f>IF(B496="","",IF(COUNTIFS(Equipment[组合编号],B496)&lt;&gt;1,"组合编号无效",INDEX(Equipment[PLC组],MATCH(B496,Equipment[组合编号],0))))</x:f>
        <x:v>汇川小型</x:v>
      </x:c>
      <x:c r="D496" s="30" t="str">
        <x:f>IF(B496="","",IF(COUNTIFS(Equipment[组合编号],B496)&lt;&gt;1,"组合编号无效",INDEX(Equipment[驱动品牌],MATCH(B496,Equipment[组合编号],0))))</x:f>
        <x:v>KEBA（可选）</x:v>
      </x:c>
      <x:c r="E496" s="20" t="str">
        <x:v>P03</x:v>
      </x:c>
      <x:c r="F496" s="20"/>
      <x:c r="G496" s="20"/>
      <x:c r="H496" s="20" t="str">
        <x:v>待判定</x:v>
      </x:c>
      <x:c r="I496" s="20"/>
      <x:c r="J496" s="20" t="str">
        <x:v>未测试</x:v>
      </x:c>
      <x:c r="K496" s="20"/>
      <x:c r="L496" s="20"/>
      <x:c r="M496" s="20"/>
      <x:c r="N496" s="20"/>
      <x:c r="O496" s="31"/>
      <x:c r="P496" s="20"/>
      <x:c r="Q496" s="20"/>
      <x:c r="R496" s="20" t="str">
        <x:v>待展开</x:v>
      </x:c>
      <x:c r="S496" s="20"/>
      <x:c r="T496" s="31"/>
      <x:c r="U496" s="30" t="str">
        <x:f>IF(A496="","缺记录编号",IF(COUNTIFS(PathRecords[记录编号],A496)&lt;&gt;1,"记录编号重复",IF(OR(B496="",E496=""),"缺组合/功能",IF(COUNTIFS(Equipment[组合编号],B496)&lt;&gt;1,"组合编号无效",IF(COUNTIFS(FunctionMatrix[编号],E496)=0,"功能编号无效",IF(H496="不适用",IF(J496="已实测","适用性冲突",IF(I496="","待补不适用依据","不适用（非实测）")),IF(J496="阻塞",IF(I496="","待补阻塞原因","阻塞（非实测）"),IF(J496&lt;&gt;"已实测",IF(F496="","待展开路径","未实测"),IF(H496&lt;&gt;"适用","待确认适用性",IF(INDEX(Equipment[登记状态（自动）],MATCH(B496,Equipment[组合编号],0))&lt;&gt;"已登记","待补设备组合",IF(AND(F496&lt;&gt;"",G496&lt;&gt;"",K496&lt;&gt;"",L496&lt;&gt;"",M496&lt;&gt;"",N496&lt;&gt;"",ISNUMBER(O496),O496&gt;0,P496&lt;&gt;""),"记录齐全","待补实测记录")))))))))))</x:f>
        <x:v>待展开路径</x:v>
      </x:c>
    </x:row>
    <x:row r="497" ht="43.5" customHeight="1">
      <x:c r="A497" s="20" t="str">
        <x:v>REC-00488</x:v>
      </x:c>
      <x:c r="B497" s="20" t="str">
        <x:v>P1-B5-01</x:v>
      </x:c>
      <x:c r="C497" s="30" t="str">
        <x:f>IF(B497="","",IF(COUNTIFS(Equipment[组合编号],B497)&lt;&gt;1,"组合编号无效",INDEX(Equipment[PLC组],MATCH(B497,Equipment[组合编号],0))))</x:f>
        <x:v>汇川小型</x:v>
      </x:c>
      <x:c r="D497" s="30" t="str">
        <x:f>IF(B497="","",IF(COUNTIFS(Equipment[组合编号],B497)&lt;&gt;1,"组合编号无效",INDEX(Equipment[驱动品牌],MATCH(B497,Equipment[组合编号],0))))</x:f>
        <x:v>KEBA（可选）</x:v>
      </x:c>
      <x:c r="E497" s="20" t="str">
        <x:v>P04</x:v>
      </x:c>
      <x:c r="F497" s="20"/>
      <x:c r="G497" s="20"/>
      <x:c r="H497" s="20" t="str">
        <x:v>待判定</x:v>
      </x:c>
      <x:c r="I497" s="20"/>
      <x:c r="J497" s="20" t="str">
        <x:v>未测试</x:v>
      </x:c>
      <x:c r="K497" s="20"/>
      <x:c r="L497" s="20"/>
      <x:c r="M497" s="20"/>
      <x:c r="N497" s="20"/>
      <x:c r="O497" s="31"/>
      <x:c r="P497" s="20"/>
      <x:c r="Q497" s="20"/>
      <x:c r="R497" s="20" t="str">
        <x:v>待展开</x:v>
      </x:c>
      <x:c r="S497" s="20"/>
      <x:c r="T497" s="31"/>
      <x:c r="U497" s="30" t="str">
        <x:f>IF(A497="","缺记录编号",IF(COUNTIFS(PathRecords[记录编号],A497)&lt;&gt;1,"记录编号重复",IF(OR(B497="",E497=""),"缺组合/功能",IF(COUNTIFS(Equipment[组合编号],B497)&lt;&gt;1,"组合编号无效",IF(COUNTIFS(FunctionMatrix[编号],E497)=0,"功能编号无效",IF(H497="不适用",IF(J497="已实测","适用性冲突",IF(I497="","待补不适用依据","不适用（非实测）")),IF(J497="阻塞",IF(I497="","待补阻塞原因","阻塞（非实测）"),IF(J497&lt;&gt;"已实测",IF(F497="","待展开路径","未实测"),IF(H497&lt;&gt;"适用","待确认适用性",IF(INDEX(Equipment[登记状态（自动）],MATCH(B497,Equipment[组合编号],0))&lt;&gt;"已登记","待补设备组合",IF(AND(F497&lt;&gt;"",G497&lt;&gt;"",K497&lt;&gt;"",L497&lt;&gt;"",M497&lt;&gt;"",N497&lt;&gt;"",ISNUMBER(O497),O497&gt;0,P497&lt;&gt;""),"记录齐全","待补实测记录")))))))))))</x:f>
        <x:v>待展开路径</x:v>
      </x:c>
    </x:row>
    <x:row r="498" ht="43.5" customHeight="1">
      <x:c r="A498" s="20" t="str">
        <x:v>REC-00489</x:v>
      </x:c>
      <x:c r="B498" s="20" t="str">
        <x:v>P1-B5-01</x:v>
      </x:c>
      <x:c r="C498" s="30" t="str">
        <x:f>IF(B498="","",IF(COUNTIFS(Equipment[组合编号],B498)&lt;&gt;1,"组合编号无效",INDEX(Equipment[PLC组],MATCH(B498,Equipment[组合编号],0))))</x:f>
        <x:v>汇川小型</x:v>
      </x:c>
      <x:c r="D498" s="30" t="str">
        <x:f>IF(B498="","",IF(COUNTIFS(Equipment[组合编号],B498)&lt;&gt;1,"组合编号无效",INDEX(Equipment[驱动品牌],MATCH(B498,Equipment[组合编号],0))))</x:f>
        <x:v>KEBA（可选）</x:v>
      </x:c>
      <x:c r="E498" s="20" t="str">
        <x:v>P05</x:v>
      </x:c>
      <x:c r="F498" s="20"/>
      <x:c r="G498" s="20"/>
      <x:c r="H498" s="20" t="str">
        <x:v>待判定</x:v>
      </x:c>
      <x:c r="I498" s="20"/>
      <x:c r="J498" s="20" t="str">
        <x:v>未测试</x:v>
      </x:c>
      <x:c r="K498" s="20"/>
      <x:c r="L498" s="20"/>
      <x:c r="M498" s="20"/>
      <x:c r="N498" s="20"/>
      <x:c r="O498" s="31"/>
      <x:c r="P498" s="20"/>
      <x:c r="Q498" s="20"/>
      <x:c r="R498" s="20" t="str">
        <x:v>待展开</x:v>
      </x:c>
      <x:c r="S498" s="20"/>
      <x:c r="T498" s="31"/>
      <x:c r="U498" s="30" t="str">
        <x:f>IF(A498="","缺记录编号",IF(COUNTIFS(PathRecords[记录编号],A498)&lt;&gt;1,"记录编号重复",IF(OR(B498="",E498=""),"缺组合/功能",IF(COUNTIFS(Equipment[组合编号],B498)&lt;&gt;1,"组合编号无效",IF(COUNTIFS(FunctionMatrix[编号],E498)=0,"功能编号无效",IF(H498="不适用",IF(J498="已实测","适用性冲突",IF(I498="","待补不适用依据","不适用（非实测）")),IF(J498="阻塞",IF(I498="","待补阻塞原因","阻塞（非实测）"),IF(J498&lt;&gt;"已实测",IF(F498="","待展开路径","未实测"),IF(H498&lt;&gt;"适用","待确认适用性",IF(INDEX(Equipment[登记状态（自动）],MATCH(B498,Equipment[组合编号],0))&lt;&gt;"已登记","待补设备组合",IF(AND(F498&lt;&gt;"",G498&lt;&gt;"",K498&lt;&gt;"",L498&lt;&gt;"",M498&lt;&gt;"",N498&lt;&gt;"",ISNUMBER(O498),O498&gt;0,P498&lt;&gt;""),"记录齐全","待补实测记录")))))))))))</x:f>
        <x:v>待展开路径</x:v>
      </x:c>
    </x:row>
    <x:row r="499" ht="43.5" customHeight="1">
      <x:c r="A499" s="20" t="str">
        <x:v>REC-00490</x:v>
      </x:c>
      <x:c r="B499" s="20" t="str">
        <x:v>P1-B5-01</x:v>
      </x:c>
      <x:c r="C499" s="30" t="str">
        <x:f>IF(B499="","",IF(COUNTIFS(Equipment[组合编号],B499)&lt;&gt;1,"组合编号无效",INDEX(Equipment[PLC组],MATCH(B499,Equipment[组合编号],0))))</x:f>
        <x:v>汇川小型</x:v>
      </x:c>
      <x:c r="D499" s="30" t="str">
        <x:f>IF(B499="","",IF(COUNTIFS(Equipment[组合编号],B499)&lt;&gt;1,"组合编号无效",INDEX(Equipment[驱动品牌],MATCH(B499,Equipment[组合编号],0))))</x:f>
        <x:v>KEBA（可选）</x:v>
      </x:c>
      <x:c r="E499" s="20" t="str">
        <x:v>P06</x:v>
      </x:c>
      <x:c r="F499" s="20"/>
      <x:c r="G499" s="20"/>
      <x:c r="H499" s="20" t="str">
        <x:v>待判定</x:v>
      </x:c>
      <x:c r="I499" s="20"/>
      <x:c r="J499" s="20" t="str">
        <x:v>未测试</x:v>
      </x:c>
      <x:c r="K499" s="20"/>
      <x:c r="L499" s="20"/>
      <x:c r="M499" s="20"/>
      <x:c r="N499" s="20"/>
      <x:c r="O499" s="31"/>
      <x:c r="P499" s="20"/>
      <x:c r="Q499" s="20"/>
      <x:c r="R499" s="20" t="str">
        <x:v>待展开</x:v>
      </x:c>
      <x:c r="S499" s="20"/>
      <x:c r="T499" s="31"/>
      <x:c r="U499" s="30" t="str">
        <x:f>IF(A499="","缺记录编号",IF(COUNTIFS(PathRecords[记录编号],A499)&lt;&gt;1,"记录编号重复",IF(OR(B499="",E499=""),"缺组合/功能",IF(COUNTIFS(Equipment[组合编号],B499)&lt;&gt;1,"组合编号无效",IF(COUNTIFS(FunctionMatrix[编号],E499)=0,"功能编号无效",IF(H499="不适用",IF(J499="已实测","适用性冲突",IF(I499="","待补不适用依据","不适用（非实测）")),IF(J499="阻塞",IF(I499="","待补阻塞原因","阻塞（非实测）"),IF(J499&lt;&gt;"已实测",IF(F499="","待展开路径","未实测"),IF(H499&lt;&gt;"适用","待确认适用性",IF(INDEX(Equipment[登记状态（自动）],MATCH(B499,Equipment[组合编号],0))&lt;&gt;"已登记","待补设备组合",IF(AND(F499&lt;&gt;"",G499&lt;&gt;"",K499&lt;&gt;"",L499&lt;&gt;"",M499&lt;&gt;"",N499&lt;&gt;"",ISNUMBER(O499),O499&gt;0,P499&lt;&gt;""),"记录齐全","待补实测记录")))))))))))</x:f>
        <x:v>待展开路径</x:v>
      </x:c>
    </x:row>
    <x:row r="500" ht="43.5" customHeight="1">
      <x:c r="A500" s="20" t="str">
        <x:v>REC-00491</x:v>
      </x:c>
      <x:c r="B500" s="20" t="str">
        <x:v>P1-B5-01</x:v>
      </x:c>
      <x:c r="C500" s="30" t="str">
        <x:f>IF(B500="","",IF(COUNTIFS(Equipment[组合编号],B500)&lt;&gt;1,"组合编号无效",INDEX(Equipment[PLC组],MATCH(B500,Equipment[组合编号],0))))</x:f>
        <x:v>汇川小型</x:v>
      </x:c>
      <x:c r="D500" s="30" t="str">
        <x:f>IF(B500="","",IF(COUNTIFS(Equipment[组合编号],B500)&lt;&gt;1,"组合编号无效",INDEX(Equipment[驱动品牌],MATCH(B500,Equipment[组合编号],0))))</x:f>
        <x:v>KEBA（可选）</x:v>
      </x:c>
      <x:c r="E500" s="20" t="str">
        <x:v>P07</x:v>
      </x:c>
      <x:c r="F500" s="20"/>
      <x:c r="G500" s="20"/>
      <x:c r="H500" s="20" t="str">
        <x:v>待判定</x:v>
      </x:c>
      <x:c r="I500" s="20"/>
      <x:c r="J500" s="20" t="str">
        <x:v>未测试</x:v>
      </x:c>
      <x:c r="K500" s="20"/>
      <x:c r="L500" s="20"/>
      <x:c r="M500" s="20"/>
      <x:c r="N500" s="20"/>
      <x:c r="O500" s="31"/>
      <x:c r="P500" s="20"/>
      <x:c r="Q500" s="20"/>
      <x:c r="R500" s="20" t="str">
        <x:v>待展开</x:v>
      </x:c>
      <x:c r="S500" s="20"/>
      <x:c r="T500" s="31"/>
      <x:c r="U500" s="30" t="str">
        <x:f>IF(A500="","缺记录编号",IF(COUNTIFS(PathRecords[记录编号],A500)&lt;&gt;1,"记录编号重复",IF(OR(B500="",E500=""),"缺组合/功能",IF(COUNTIFS(Equipment[组合编号],B500)&lt;&gt;1,"组合编号无效",IF(COUNTIFS(FunctionMatrix[编号],E500)=0,"功能编号无效",IF(H500="不适用",IF(J500="已实测","适用性冲突",IF(I500="","待补不适用依据","不适用（非实测）")),IF(J500="阻塞",IF(I500="","待补阻塞原因","阻塞（非实测）"),IF(J500&lt;&gt;"已实测",IF(F500="","待展开路径","未实测"),IF(H500&lt;&gt;"适用","待确认适用性",IF(INDEX(Equipment[登记状态（自动）],MATCH(B500,Equipment[组合编号],0))&lt;&gt;"已登记","待补设备组合",IF(AND(F500&lt;&gt;"",G500&lt;&gt;"",K500&lt;&gt;"",L500&lt;&gt;"",M500&lt;&gt;"",N500&lt;&gt;"",ISNUMBER(O500),O500&gt;0,P500&lt;&gt;""),"记录齐全","待补实测记录")))))))))))</x:f>
        <x:v>待展开路径</x:v>
      </x:c>
    </x:row>
    <x:row r="501" ht="43.5" customHeight="1">
      <x:c r="A501" s="20" t="str">
        <x:v>REC-00492</x:v>
      </x:c>
      <x:c r="B501" s="20" t="str">
        <x:v>P1-B5-01</x:v>
      </x:c>
      <x:c r="C501" s="30" t="str">
        <x:f>IF(B501="","",IF(COUNTIFS(Equipment[组合编号],B501)&lt;&gt;1,"组合编号无效",INDEX(Equipment[PLC组],MATCH(B501,Equipment[组合编号],0))))</x:f>
        <x:v>汇川小型</x:v>
      </x:c>
      <x:c r="D501" s="30" t="str">
        <x:f>IF(B501="","",IF(COUNTIFS(Equipment[组合编号],B501)&lt;&gt;1,"组合编号无效",INDEX(Equipment[驱动品牌],MATCH(B501,Equipment[组合编号],0))))</x:f>
        <x:v>KEBA（可选）</x:v>
      </x:c>
      <x:c r="E501" s="20" t="str">
        <x:v>P08</x:v>
      </x:c>
      <x:c r="F501" s="20"/>
      <x:c r="G501" s="20"/>
      <x:c r="H501" s="20" t="str">
        <x:v>待判定</x:v>
      </x:c>
      <x:c r="I501" s="20"/>
      <x:c r="J501" s="20" t="str">
        <x:v>未测试</x:v>
      </x:c>
      <x:c r="K501" s="20"/>
      <x:c r="L501" s="20"/>
      <x:c r="M501" s="20"/>
      <x:c r="N501" s="20"/>
      <x:c r="O501" s="31"/>
      <x:c r="P501" s="20"/>
      <x:c r="Q501" s="20"/>
      <x:c r="R501" s="20" t="str">
        <x:v>待展开</x:v>
      </x:c>
      <x:c r="S501" s="20"/>
      <x:c r="T501" s="31"/>
      <x:c r="U501" s="30" t="str">
        <x:f>IF(A501="","缺记录编号",IF(COUNTIFS(PathRecords[记录编号],A501)&lt;&gt;1,"记录编号重复",IF(OR(B501="",E501=""),"缺组合/功能",IF(COUNTIFS(Equipment[组合编号],B501)&lt;&gt;1,"组合编号无效",IF(COUNTIFS(FunctionMatrix[编号],E501)=0,"功能编号无效",IF(H501="不适用",IF(J501="已实测","适用性冲突",IF(I501="","待补不适用依据","不适用（非实测）")),IF(J501="阻塞",IF(I501="","待补阻塞原因","阻塞（非实测）"),IF(J501&lt;&gt;"已实测",IF(F501="","待展开路径","未实测"),IF(H501&lt;&gt;"适用","待确认适用性",IF(INDEX(Equipment[登记状态（自动）],MATCH(B501,Equipment[组合编号],0))&lt;&gt;"已登记","待补设备组合",IF(AND(F501&lt;&gt;"",G501&lt;&gt;"",K501&lt;&gt;"",L501&lt;&gt;"",M501&lt;&gt;"",N501&lt;&gt;"",ISNUMBER(O501),O501&gt;0,P501&lt;&gt;""),"记录齐全","待补实测记录")))))))))))</x:f>
        <x:v>待展开路径</x:v>
      </x:c>
    </x:row>
    <x:row r="502" ht="43.5" customHeight="1">
      <x:c r="A502" s="20" t="str">
        <x:v>REC-00493</x:v>
      </x:c>
      <x:c r="B502" s="20" t="str">
        <x:v>P1-B5-01</x:v>
      </x:c>
      <x:c r="C502" s="30" t="str">
        <x:f>IF(B502="","",IF(COUNTIFS(Equipment[组合编号],B502)&lt;&gt;1,"组合编号无效",INDEX(Equipment[PLC组],MATCH(B502,Equipment[组合编号],0))))</x:f>
        <x:v>汇川小型</x:v>
      </x:c>
      <x:c r="D502" s="30" t="str">
        <x:f>IF(B502="","",IF(COUNTIFS(Equipment[组合编号],B502)&lt;&gt;1,"组合编号无效",INDEX(Equipment[驱动品牌],MATCH(B502,Equipment[组合编号],0))))</x:f>
        <x:v>KEBA（可选）</x:v>
      </x:c>
      <x:c r="E502" s="20" t="str">
        <x:v>P09</x:v>
      </x:c>
      <x:c r="F502" s="20"/>
      <x:c r="G502" s="20"/>
      <x:c r="H502" s="20" t="str">
        <x:v>待判定</x:v>
      </x:c>
      <x:c r="I502" s="20"/>
      <x:c r="J502" s="20" t="str">
        <x:v>未测试</x:v>
      </x:c>
      <x:c r="K502" s="20"/>
      <x:c r="L502" s="20"/>
      <x:c r="M502" s="20"/>
      <x:c r="N502" s="20"/>
      <x:c r="O502" s="31"/>
      <x:c r="P502" s="20"/>
      <x:c r="Q502" s="20"/>
      <x:c r="R502" s="20" t="str">
        <x:v>待展开</x:v>
      </x:c>
      <x:c r="S502" s="20"/>
      <x:c r="T502" s="31"/>
      <x:c r="U502" s="30" t="str">
        <x:f>IF(A502="","缺记录编号",IF(COUNTIFS(PathRecords[记录编号],A502)&lt;&gt;1,"记录编号重复",IF(OR(B502="",E502=""),"缺组合/功能",IF(COUNTIFS(Equipment[组合编号],B502)&lt;&gt;1,"组合编号无效",IF(COUNTIFS(FunctionMatrix[编号],E502)=0,"功能编号无效",IF(H502="不适用",IF(J502="已实测","适用性冲突",IF(I502="","待补不适用依据","不适用（非实测）")),IF(J502="阻塞",IF(I502="","待补阻塞原因","阻塞（非实测）"),IF(J502&lt;&gt;"已实测",IF(F502="","待展开路径","未实测"),IF(H502&lt;&gt;"适用","待确认适用性",IF(INDEX(Equipment[登记状态（自动）],MATCH(B502,Equipment[组合编号],0))&lt;&gt;"已登记","待补设备组合",IF(AND(F502&lt;&gt;"",G502&lt;&gt;"",K502&lt;&gt;"",L502&lt;&gt;"",M502&lt;&gt;"",N502&lt;&gt;"",ISNUMBER(O502),O502&gt;0,P502&lt;&gt;""),"记录齐全","待补实测记录")))))))))))</x:f>
        <x:v>待展开路径</x:v>
      </x:c>
    </x:row>
    <x:row r="503" ht="43.5" customHeight="1">
      <x:c r="A503" s="20" t="str">
        <x:v>REC-00494</x:v>
      </x:c>
      <x:c r="B503" s="20" t="str">
        <x:v>P1-B5-01</x:v>
      </x:c>
      <x:c r="C503" s="30" t="str">
        <x:f>IF(B503="","",IF(COUNTIFS(Equipment[组合编号],B503)&lt;&gt;1,"组合编号无效",INDEX(Equipment[PLC组],MATCH(B503,Equipment[组合编号],0))))</x:f>
        <x:v>汇川小型</x:v>
      </x:c>
      <x:c r="D503" s="30" t="str">
        <x:f>IF(B503="","",IF(COUNTIFS(Equipment[组合编号],B503)&lt;&gt;1,"组合编号无效",INDEX(Equipment[驱动品牌],MATCH(B503,Equipment[组合编号],0))))</x:f>
        <x:v>KEBA（可选）</x:v>
      </x:c>
      <x:c r="E503" s="20" t="str">
        <x:v>P10</x:v>
      </x:c>
      <x:c r="F503" s="20"/>
      <x:c r="G503" s="20"/>
      <x:c r="H503" s="20" t="str">
        <x:v>待判定</x:v>
      </x:c>
      <x:c r="I503" s="20"/>
      <x:c r="J503" s="20" t="str">
        <x:v>未测试</x:v>
      </x:c>
      <x:c r="K503" s="20"/>
      <x:c r="L503" s="20"/>
      <x:c r="M503" s="20"/>
      <x:c r="N503" s="20"/>
      <x:c r="O503" s="31"/>
      <x:c r="P503" s="20"/>
      <x:c r="Q503" s="20"/>
      <x:c r="R503" s="20" t="str">
        <x:v>待展开</x:v>
      </x:c>
      <x:c r="S503" s="20"/>
      <x:c r="T503" s="31"/>
      <x:c r="U503" s="30" t="str">
        <x:f>IF(A503="","缺记录编号",IF(COUNTIFS(PathRecords[记录编号],A503)&lt;&gt;1,"记录编号重复",IF(OR(B503="",E503=""),"缺组合/功能",IF(COUNTIFS(Equipment[组合编号],B503)&lt;&gt;1,"组合编号无效",IF(COUNTIFS(FunctionMatrix[编号],E503)=0,"功能编号无效",IF(H503="不适用",IF(J503="已实测","适用性冲突",IF(I503="","待补不适用依据","不适用（非实测）")),IF(J503="阻塞",IF(I503="","待补阻塞原因","阻塞（非实测）"),IF(J503&lt;&gt;"已实测",IF(F503="","待展开路径","未实测"),IF(H503&lt;&gt;"适用","待确认适用性",IF(INDEX(Equipment[登记状态（自动）],MATCH(B503,Equipment[组合编号],0))&lt;&gt;"已登记","待补设备组合",IF(AND(F503&lt;&gt;"",G503&lt;&gt;"",K503&lt;&gt;"",L503&lt;&gt;"",M503&lt;&gt;"",N503&lt;&gt;"",ISNUMBER(O503),O503&gt;0,P503&lt;&gt;""),"记录齐全","待补实测记录")))))))))))</x:f>
        <x:v>待展开路径</x:v>
      </x:c>
    </x:row>
    <x:row r="504" ht="43.5" customHeight="1">
      <x:c r="A504" s="20" t="str">
        <x:v>REC-00495</x:v>
      </x:c>
      <x:c r="B504" s="20" t="str">
        <x:v>P1-B5-01</x:v>
      </x:c>
      <x:c r="C504" s="30" t="str">
        <x:f>IF(B504="","",IF(COUNTIFS(Equipment[组合编号],B504)&lt;&gt;1,"组合编号无效",INDEX(Equipment[PLC组],MATCH(B504,Equipment[组合编号],0))))</x:f>
        <x:v>汇川小型</x:v>
      </x:c>
      <x:c r="D504" s="30" t="str">
        <x:f>IF(B504="","",IF(COUNTIFS(Equipment[组合编号],B504)&lt;&gt;1,"组合编号无效",INDEX(Equipment[驱动品牌],MATCH(B504,Equipment[组合编号],0))))</x:f>
        <x:v>KEBA（可选）</x:v>
      </x:c>
      <x:c r="E504" s="20" t="str">
        <x:v>A01</x:v>
      </x:c>
      <x:c r="F504" s="20"/>
      <x:c r="G504" s="20"/>
      <x:c r="H504" s="20" t="str">
        <x:v>待判定</x:v>
      </x:c>
      <x:c r="I504" s="20"/>
      <x:c r="J504" s="20" t="str">
        <x:v>未测试</x:v>
      </x:c>
      <x:c r="K504" s="20"/>
      <x:c r="L504" s="20"/>
      <x:c r="M504" s="20"/>
      <x:c r="N504" s="20"/>
      <x:c r="O504" s="31"/>
      <x:c r="P504" s="20"/>
      <x:c r="Q504" s="20"/>
      <x:c r="R504" s="20" t="str">
        <x:v>待展开</x:v>
      </x:c>
      <x:c r="S504" s="20"/>
      <x:c r="T504" s="31"/>
      <x:c r="U504" s="30" t="str">
        <x:f>IF(A504="","缺记录编号",IF(COUNTIFS(PathRecords[记录编号],A504)&lt;&gt;1,"记录编号重复",IF(OR(B504="",E504=""),"缺组合/功能",IF(COUNTIFS(Equipment[组合编号],B504)&lt;&gt;1,"组合编号无效",IF(COUNTIFS(FunctionMatrix[编号],E504)=0,"功能编号无效",IF(H504="不适用",IF(J504="已实测","适用性冲突",IF(I504="","待补不适用依据","不适用（非实测）")),IF(J504="阻塞",IF(I504="","待补阻塞原因","阻塞（非实测）"),IF(J504&lt;&gt;"已实测",IF(F504="","待展开路径","未实测"),IF(H504&lt;&gt;"适用","待确认适用性",IF(INDEX(Equipment[登记状态（自动）],MATCH(B504,Equipment[组合编号],0))&lt;&gt;"已登记","待补设备组合",IF(AND(F504&lt;&gt;"",G504&lt;&gt;"",K504&lt;&gt;"",L504&lt;&gt;"",M504&lt;&gt;"",N504&lt;&gt;"",ISNUMBER(O504),O504&gt;0,P504&lt;&gt;""),"记录齐全","待补实测记录")))))))))))</x:f>
        <x:v>待展开路径</x:v>
      </x:c>
    </x:row>
    <x:row r="505" ht="43.5" customHeight="1">
      <x:c r="A505" s="20" t="str">
        <x:v>REC-00496</x:v>
      </x:c>
      <x:c r="B505" s="20" t="str">
        <x:v>P1-B5-01</x:v>
      </x:c>
      <x:c r="C505" s="30" t="str">
        <x:f>IF(B505="","",IF(COUNTIFS(Equipment[组合编号],B505)&lt;&gt;1,"组合编号无效",INDEX(Equipment[PLC组],MATCH(B505,Equipment[组合编号],0))))</x:f>
        <x:v>汇川小型</x:v>
      </x:c>
      <x:c r="D505" s="30" t="str">
        <x:f>IF(B505="","",IF(COUNTIFS(Equipment[组合编号],B505)&lt;&gt;1,"组合编号无效",INDEX(Equipment[驱动品牌],MATCH(B505,Equipment[组合编号],0))))</x:f>
        <x:v>KEBA（可选）</x:v>
      </x:c>
      <x:c r="E505" s="20" t="str">
        <x:v>A02</x:v>
      </x:c>
      <x:c r="F505" s="20"/>
      <x:c r="G505" s="20"/>
      <x:c r="H505" s="20" t="str">
        <x:v>待判定</x:v>
      </x:c>
      <x:c r="I505" s="20"/>
      <x:c r="J505" s="20" t="str">
        <x:v>未测试</x:v>
      </x:c>
      <x:c r="K505" s="20"/>
      <x:c r="L505" s="20"/>
      <x:c r="M505" s="20"/>
      <x:c r="N505" s="20"/>
      <x:c r="O505" s="31"/>
      <x:c r="P505" s="20"/>
      <x:c r="Q505" s="20"/>
      <x:c r="R505" s="20" t="str">
        <x:v>待展开</x:v>
      </x:c>
      <x:c r="S505" s="20"/>
      <x:c r="T505" s="31"/>
      <x:c r="U505" s="30" t="str">
        <x:f>IF(A505="","缺记录编号",IF(COUNTIFS(PathRecords[记录编号],A505)&lt;&gt;1,"记录编号重复",IF(OR(B505="",E505=""),"缺组合/功能",IF(COUNTIFS(Equipment[组合编号],B505)&lt;&gt;1,"组合编号无效",IF(COUNTIFS(FunctionMatrix[编号],E505)=0,"功能编号无效",IF(H505="不适用",IF(J505="已实测","适用性冲突",IF(I505="","待补不适用依据","不适用（非实测）")),IF(J505="阻塞",IF(I505="","待补阻塞原因","阻塞（非实测）"),IF(J505&lt;&gt;"已实测",IF(F505="","待展开路径","未实测"),IF(H505&lt;&gt;"适用","待确认适用性",IF(INDEX(Equipment[登记状态（自动）],MATCH(B505,Equipment[组合编号],0))&lt;&gt;"已登记","待补设备组合",IF(AND(F505&lt;&gt;"",G505&lt;&gt;"",K505&lt;&gt;"",L505&lt;&gt;"",M505&lt;&gt;"",N505&lt;&gt;"",ISNUMBER(O505),O505&gt;0,P505&lt;&gt;""),"记录齐全","待补实测记录")))))))))))</x:f>
        <x:v>待展开路径</x:v>
      </x:c>
    </x:row>
    <x:row r="506" ht="43.5" customHeight="1">
      <x:c r="A506" s="20" t="str">
        <x:v>REC-00497</x:v>
      </x:c>
      <x:c r="B506" s="20" t="str">
        <x:v>P1-B5-01</x:v>
      </x:c>
      <x:c r="C506" s="30" t="str">
        <x:f>IF(B506="","",IF(COUNTIFS(Equipment[组合编号],B506)&lt;&gt;1,"组合编号无效",INDEX(Equipment[PLC组],MATCH(B506,Equipment[组合编号],0))))</x:f>
        <x:v>汇川小型</x:v>
      </x:c>
      <x:c r="D506" s="30" t="str">
        <x:f>IF(B506="","",IF(COUNTIFS(Equipment[组合编号],B506)&lt;&gt;1,"组合编号无效",INDEX(Equipment[驱动品牌],MATCH(B506,Equipment[组合编号],0))))</x:f>
        <x:v>KEBA（可选）</x:v>
      </x:c>
      <x:c r="E506" s="20" t="str">
        <x:v>A03</x:v>
      </x:c>
      <x:c r="F506" s="20"/>
      <x:c r="G506" s="20"/>
      <x:c r="H506" s="20" t="str">
        <x:v>待判定</x:v>
      </x:c>
      <x:c r="I506" s="20"/>
      <x:c r="J506" s="20" t="str">
        <x:v>未测试</x:v>
      </x:c>
      <x:c r="K506" s="20"/>
      <x:c r="L506" s="20"/>
      <x:c r="M506" s="20"/>
      <x:c r="N506" s="20"/>
      <x:c r="O506" s="31"/>
      <x:c r="P506" s="20"/>
      <x:c r="Q506" s="20"/>
      <x:c r="R506" s="20" t="str">
        <x:v>待展开</x:v>
      </x:c>
      <x:c r="S506" s="20"/>
      <x:c r="T506" s="31"/>
      <x:c r="U506" s="30" t="str">
        <x:f>IF(A506="","缺记录编号",IF(COUNTIFS(PathRecords[记录编号],A506)&lt;&gt;1,"记录编号重复",IF(OR(B506="",E506=""),"缺组合/功能",IF(COUNTIFS(Equipment[组合编号],B506)&lt;&gt;1,"组合编号无效",IF(COUNTIFS(FunctionMatrix[编号],E506)=0,"功能编号无效",IF(H506="不适用",IF(J506="已实测","适用性冲突",IF(I506="","待补不适用依据","不适用（非实测）")),IF(J506="阻塞",IF(I506="","待补阻塞原因","阻塞（非实测）"),IF(J506&lt;&gt;"已实测",IF(F506="","待展开路径","未实测"),IF(H506&lt;&gt;"适用","待确认适用性",IF(INDEX(Equipment[登记状态（自动）],MATCH(B506,Equipment[组合编号],0))&lt;&gt;"已登记","待补设备组合",IF(AND(F506&lt;&gt;"",G506&lt;&gt;"",K506&lt;&gt;"",L506&lt;&gt;"",M506&lt;&gt;"",N506&lt;&gt;"",ISNUMBER(O506),O506&gt;0,P506&lt;&gt;""),"记录齐全","待补实测记录")))))))))))</x:f>
        <x:v>待展开路径</x:v>
      </x:c>
    </x:row>
    <x:row r="507" ht="43.5" customHeight="1">
      <x:c r="A507" s="20" t="str">
        <x:v>REC-00498</x:v>
      </x:c>
      <x:c r="B507" s="20" t="str">
        <x:v>P1-B5-01</x:v>
      </x:c>
      <x:c r="C507" s="30" t="str">
        <x:f>IF(B507="","",IF(COUNTIFS(Equipment[组合编号],B507)&lt;&gt;1,"组合编号无效",INDEX(Equipment[PLC组],MATCH(B507,Equipment[组合编号],0))))</x:f>
        <x:v>汇川小型</x:v>
      </x:c>
      <x:c r="D507" s="30" t="str">
        <x:f>IF(B507="","",IF(COUNTIFS(Equipment[组合编号],B507)&lt;&gt;1,"组合编号无效",INDEX(Equipment[驱动品牌],MATCH(B507,Equipment[组合编号],0))))</x:f>
        <x:v>KEBA（可选）</x:v>
      </x:c>
      <x:c r="E507" s="20" t="str">
        <x:v>A04</x:v>
      </x:c>
      <x:c r="F507" s="20"/>
      <x:c r="G507" s="20"/>
      <x:c r="H507" s="20" t="str">
        <x:v>待判定</x:v>
      </x:c>
      <x:c r="I507" s="20"/>
      <x:c r="J507" s="20" t="str">
        <x:v>未测试</x:v>
      </x:c>
      <x:c r="K507" s="20"/>
      <x:c r="L507" s="20"/>
      <x:c r="M507" s="20"/>
      <x:c r="N507" s="20"/>
      <x:c r="O507" s="31"/>
      <x:c r="P507" s="20"/>
      <x:c r="Q507" s="20"/>
      <x:c r="R507" s="20" t="str">
        <x:v>待展开</x:v>
      </x:c>
      <x:c r="S507" s="20"/>
      <x:c r="T507" s="31"/>
      <x:c r="U507" s="30" t="str">
        <x:f>IF(A507="","缺记录编号",IF(COUNTIFS(PathRecords[记录编号],A507)&lt;&gt;1,"记录编号重复",IF(OR(B507="",E507=""),"缺组合/功能",IF(COUNTIFS(Equipment[组合编号],B507)&lt;&gt;1,"组合编号无效",IF(COUNTIFS(FunctionMatrix[编号],E507)=0,"功能编号无效",IF(H507="不适用",IF(J507="已实测","适用性冲突",IF(I507="","待补不适用依据","不适用（非实测）")),IF(J507="阻塞",IF(I507="","待补阻塞原因","阻塞（非实测）"),IF(J507&lt;&gt;"已实测",IF(F507="","待展开路径","未实测"),IF(H507&lt;&gt;"适用","待确认适用性",IF(INDEX(Equipment[登记状态（自动）],MATCH(B507,Equipment[组合编号],0))&lt;&gt;"已登记","待补设备组合",IF(AND(F507&lt;&gt;"",G507&lt;&gt;"",K507&lt;&gt;"",L507&lt;&gt;"",M507&lt;&gt;"",N507&lt;&gt;"",ISNUMBER(O507),O507&gt;0,P507&lt;&gt;""),"记录齐全","待补实测记录")))))))))))</x:f>
        <x:v>待展开路径</x:v>
      </x:c>
    </x:row>
    <x:row r="508" ht="43.5" customHeight="1">
      <x:c r="A508" s="20" t="str">
        <x:v>REC-00499</x:v>
      </x:c>
      <x:c r="B508" s="20" t="str">
        <x:v>P1-B5-01</x:v>
      </x:c>
      <x:c r="C508" s="30" t="str">
        <x:f>IF(B508="","",IF(COUNTIFS(Equipment[组合编号],B508)&lt;&gt;1,"组合编号无效",INDEX(Equipment[PLC组],MATCH(B508,Equipment[组合编号],0))))</x:f>
        <x:v>汇川小型</x:v>
      </x:c>
      <x:c r="D508" s="30" t="str">
        <x:f>IF(B508="","",IF(COUNTIFS(Equipment[组合编号],B508)&lt;&gt;1,"组合编号无效",INDEX(Equipment[驱动品牌],MATCH(B508,Equipment[组合编号],0))))</x:f>
        <x:v>KEBA（可选）</x:v>
      </x:c>
      <x:c r="E508" s="20" t="str">
        <x:v>A05</x:v>
      </x:c>
      <x:c r="F508" s="20"/>
      <x:c r="G508" s="20"/>
      <x:c r="H508" s="20" t="str">
        <x:v>待判定</x:v>
      </x:c>
      <x:c r="I508" s="20"/>
      <x:c r="J508" s="20" t="str">
        <x:v>未测试</x:v>
      </x:c>
      <x:c r="K508" s="20"/>
      <x:c r="L508" s="20"/>
      <x:c r="M508" s="20"/>
      <x:c r="N508" s="20"/>
      <x:c r="O508" s="31"/>
      <x:c r="P508" s="20"/>
      <x:c r="Q508" s="20"/>
      <x:c r="R508" s="20" t="str">
        <x:v>待展开</x:v>
      </x:c>
      <x:c r="S508" s="20"/>
      <x:c r="T508" s="31"/>
      <x:c r="U508" s="30" t="str">
        <x:f>IF(A508="","缺记录编号",IF(COUNTIFS(PathRecords[记录编号],A508)&lt;&gt;1,"记录编号重复",IF(OR(B508="",E508=""),"缺组合/功能",IF(COUNTIFS(Equipment[组合编号],B508)&lt;&gt;1,"组合编号无效",IF(COUNTIFS(FunctionMatrix[编号],E508)=0,"功能编号无效",IF(H508="不适用",IF(J508="已实测","适用性冲突",IF(I508="","待补不适用依据","不适用（非实测）")),IF(J508="阻塞",IF(I508="","待补阻塞原因","阻塞（非实测）"),IF(J508&lt;&gt;"已实测",IF(F508="","待展开路径","未实测"),IF(H508&lt;&gt;"适用","待确认适用性",IF(INDEX(Equipment[登记状态（自动）],MATCH(B508,Equipment[组合编号],0))&lt;&gt;"已登记","待补设备组合",IF(AND(F508&lt;&gt;"",G508&lt;&gt;"",K508&lt;&gt;"",L508&lt;&gt;"",M508&lt;&gt;"",N508&lt;&gt;"",ISNUMBER(O508),O508&gt;0,P508&lt;&gt;""),"记录齐全","待补实测记录")))))))))))</x:f>
        <x:v>待展开路径</x:v>
      </x:c>
    </x:row>
    <x:row r="509" ht="43.5" customHeight="1">
      <x:c r="A509" s="20" t="str">
        <x:v>REC-00500</x:v>
      </x:c>
      <x:c r="B509" s="20" t="str">
        <x:v>P1-B5-01</x:v>
      </x:c>
      <x:c r="C509" s="30" t="str">
        <x:f>IF(B509="","",IF(COUNTIFS(Equipment[组合编号],B509)&lt;&gt;1,"组合编号无效",INDEX(Equipment[PLC组],MATCH(B509,Equipment[组合编号],0))))</x:f>
        <x:v>汇川小型</x:v>
      </x:c>
      <x:c r="D509" s="30" t="str">
        <x:f>IF(B509="","",IF(COUNTIFS(Equipment[组合编号],B509)&lt;&gt;1,"组合编号无效",INDEX(Equipment[驱动品牌],MATCH(B509,Equipment[组合编号],0))))</x:f>
        <x:v>KEBA（可选）</x:v>
      </x:c>
      <x:c r="E509" s="20" t="str">
        <x:v>A06</x:v>
      </x:c>
      <x:c r="F509" s="20"/>
      <x:c r="G509" s="20"/>
      <x:c r="H509" s="20" t="str">
        <x:v>待判定</x:v>
      </x:c>
      <x:c r="I509" s="20"/>
      <x:c r="J509" s="20" t="str">
        <x:v>未测试</x:v>
      </x:c>
      <x:c r="K509" s="20"/>
      <x:c r="L509" s="20"/>
      <x:c r="M509" s="20"/>
      <x:c r="N509" s="20"/>
      <x:c r="O509" s="31"/>
      <x:c r="P509" s="20"/>
      <x:c r="Q509" s="20"/>
      <x:c r="R509" s="20" t="str">
        <x:v>待展开</x:v>
      </x:c>
      <x:c r="S509" s="20"/>
      <x:c r="T509" s="31"/>
      <x:c r="U509" s="30" t="str">
        <x:f>IF(A509="","缺记录编号",IF(COUNTIFS(PathRecords[记录编号],A509)&lt;&gt;1,"记录编号重复",IF(OR(B509="",E509=""),"缺组合/功能",IF(COUNTIFS(Equipment[组合编号],B509)&lt;&gt;1,"组合编号无效",IF(COUNTIFS(FunctionMatrix[编号],E509)=0,"功能编号无效",IF(H509="不适用",IF(J509="已实测","适用性冲突",IF(I509="","待补不适用依据","不适用（非实测）")),IF(J509="阻塞",IF(I509="","待补阻塞原因","阻塞（非实测）"),IF(J509&lt;&gt;"已实测",IF(F509="","待展开路径","未实测"),IF(H509&lt;&gt;"适用","待确认适用性",IF(INDEX(Equipment[登记状态（自动）],MATCH(B509,Equipment[组合编号],0))&lt;&gt;"已登记","待补设备组合",IF(AND(F509&lt;&gt;"",G509&lt;&gt;"",K509&lt;&gt;"",L509&lt;&gt;"",M509&lt;&gt;"",N509&lt;&gt;"",ISNUMBER(O509),O509&gt;0,P509&lt;&gt;""),"记录齐全","待补实测记录")))))))))))</x:f>
        <x:v>待展开路径</x:v>
      </x:c>
    </x:row>
    <x:row r="510" ht="43.5" customHeight="1">
      <x:c r="A510" s="20" t="str">
        <x:v>REC-00501</x:v>
      </x:c>
      <x:c r="B510" s="20" t="str">
        <x:v>P1-B5-01</x:v>
      </x:c>
      <x:c r="C510" s="30" t="str">
        <x:f>IF(B510="","",IF(COUNTIFS(Equipment[组合编号],B510)&lt;&gt;1,"组合编号无效",INDEX(Equipment[PLC组],MATCH(B510,Equipment[组合编号],0))))</x:f>
        <x:v>汇川小型</x:v>
      </x:c>
      <x:c r="D510" s="30" t="str">
        <x:f>IF(B510="","",IF(COUNTIFS(Equipment[组合编号],B510)&lt;&gt;1,"组合编号无效",INDEX(Equipment[驱动品牌],MATCH(B510,Equipment[组合编号],0))))</x:f>
        <x:v>KEBA（可选）</x:v>
      </x:c>
      <x:c r="E510" s="20" t="str">
        <x:v>A07</x:v>
      </x:c>
      <x:c r="F510" s="20"/>
      <x:c r="G510" s="20"/>
      <x:c r="H510" s="20" t="str">
        <x:v>待判定</x:v>
      </x:c>
      <x:c r="I510" s="20"/>
      <x:c r="J510" s="20" t="str">
        <x:v>未测试</x:v>
      </x:c>
      <x:c r="K510" s="20"/>
      <x:c r="L510" s="20"/>
      <x:c r="M510" s="20"/>
      <x:c r="N510" s="20"/>
      <x:c r="O510" s="31"/>
      <x:c r="P510" s="20"/>
      <x:c r="Q510" s="20"/>
      <x:c r="R510" s="20" t="str">
        <x:v>待展开</x:v>
      </x:c>
      <x:c r="S510" s="20"/>
      <x:c r="T510" s="31"/>
      <x:c r="U510" s="30" t="str">
        <x:f>IF(A510="","缺记录编号",IF(COUNTIFS(PathRecords[记录编号],A510)&lt;&gt;1,"记录编号重复",IF(OR(B510="",E510=""),"缺组合/功能",IF(COUNTIFS(Equipment[组合编号],B510)&lt;&gt;1,"组合编号无效",IF(COUNTIFS(FunctionMatrix[编号],E510)=0,"功能编号无效",IF(H510="不适用",IF(J510="已实测","适用性冲突",IF(I510="","待补不适用依据","不适用（非实测）")),IF(J510="阻塞",IF(I510="","待补阻塞原因","阻塞（非实测）"),IF(J510&lt;&gt;"已实测",IF(F510="","待展开路径","未实测"),IF(H510&lt;&gt;"适用","待确认适用性",IF(INDEX(Equipment[登记状态（自动）],MATCH(B510,Equipment[组合编号],0))&lt;&gt;"已登记","待补设备组合",IF(AND(F510&lt;&gt;"",G510&lt;&gt;"",K510&lt;&gt;"",L510&lt;&gt;"",M510&lt;&gt;"",N510&lt;&gt;"",ISNUMBER(O510),O510&gt;0,P510&lt;&gt;""),"记录齐全","待补实测记录")))))))))))</x:f>
        <x:v>待展开路径</x:v>
      </x:c>
    </x:row>
    <x:row r="511" ht="43.5" customHeight="1">
      <x:c r="A511" s="20" t="str">
        <x:v>REC-00502</x:v>
      </x:c>
      <x:c r="B511" s="20" t="str">
        <x:v>P1-B5-01</x:v>
      </x:c>
      <x:c r="C511" s="30" t="str">
        <x:f>IF(B511="","",IF(COUNTIFS(Equipment[组合编号],B511)&lt;&gt;1,"组合编号无效",INDEX(Equipment[PLC组],MATCH(B511,Equipment[组合编号],0))))</x:f>
        <x:v>汇川小型</x:v>
      </x:c>
      <x:c r="D511" s="30" t="str">
        <x:f>IF(B511="","",IF(COUNTIFS(Equipment[组合编号],B511)&lt;&gt;1,"组合编号无效",INDEX(Equipment[驱动品牌],MATCH(B511,Equipment[组合编号],0))))</x:f>
        <x:v>KEBA（可选）</x:v>
      </x:c>
      <x:c r="E511" s="20" t="str">
        <x:v>A08</x:v>
      </x:c>
      <x:c r="F511" s="20"/>
      <x:c r="G511" s="20"/>
      <x:c r="H511" s="20" t="str">
        <x:v>待判定</x:v>
      </x:c>
      <x:c r="I511" s="20"/>
      <x:c r="J511" s="20" t="str">
        <x:v>未测试</x:v>
      </x:c>
      <x:c r="K511" s="20"/>
      <x:c r="L511" s="20"/>
      <x:c r="M511" s="20"/>
      <x:c r="N511" s="20"/>
      <x:c r="O511" s="31"/>
      <x:c r="P511" s="20"/>
      <x:c r="Q511" s="20"/>
      <x:c r="R511" s="20" t="str">
        <x:v>待展开</x:v>
      </x:c>
      <x:c r="S511" s="20"/>
      <x:c r="T511" s="31"/>
      <x:c r="U511" s="30" t="str">
        <x:f>IF(A511="","缺记录编号",IF(COUNTIFS(PathRecords[记录编号],A511)&lt;&gt;1,"记录编号重复",IF(OR(B511="",E511=""),"缺组合/功能",IF(COUNTIFS(Equipment[组合编号],B511)&lt;&gt;1,"组合编号无效",IF(COUNTIFS(FunctionMatrix[编号],E511)=0,"功能编号无效",IF(H511="不适用",IF(J511="已实测","适用性冲突",IF(I511="","待补不适用依据","不适用（非实测）")),IF(J511="阻塞",IF(I511="","待补阻塞原因","阻塞（非实测）"),IF(J511&lt;&gt;"已实测",IF(F511="","待展开路径","未实测"),IF(H511&lt;&gt;"适用","待确认适用性",IF(INDEX(Equipment[登记状态（自动）],MATCH(B511,Equipment[组合编号],0))&lt;&gt;"已登记","待补设备组合",IF(AND(F511&lt;&gt;"",G511&lt;&gt;"",K511&lt;&gt;"",L511&lt;&gt;"",M511&lt;&gt;"",N511&lt;&gt;"",ISNUMBER(O511),O511&gt;0,P511&lt;&gt;""),"记录齐全","待补实测记录")))))))))))</x:f>
        <x:v>待展开路径</x:v>
      </x:c>
    </x:row>
    <x:row r="512" ht="43.5" customHeight="1">
      <x:c r="A512" s="20" t="str">
        <x:v>REC-00503</x:v>
      </x:c>
      <x:c r="B512" s="20" t="str">
        <x:v>P1-B5-01</x:v>
      </x:c>
      <x:c r="C512" s="30" t="str">
        <x:f>IF(B512="","",IF(COUNTIFS(Equipment[组合编号],B512)&lt;&gt;1,"组合编号无效",INDEX(Equipment[PLC组],MATCH(B512,Equipment[组合编号],0))))</x:f>
        <x:v>汇川小型</x:v>
      </x:c>
      <x:c r="D512" s="30" t="str">
        <x:f>IF(B512="","",IF(COUNTIFS(Equipment[组合编号],B512)&lt;&gt;1,"组合编号无效",INDEX(Equipment[驱动品牌],MATCH(B512,Equipment[组合编号],0))))</x:f>
        <x:v>KEBA（可选）</x:v>
      </x:c>
      <x:c r="E512" s="20" t="str">
        <x:v>A09</x:v>
      </x:c>
      <x:c r="F512" s="20"/>
      <x:c r="G512" s="20"/>
      <x:c r="H512" s="20" t="str">
        <x:v>待判定</x:v>
      </x:c>
      <x:c r="I512" s="20"/>
      <x:c r="J512" s="20" t="str">
        <x:v>未测试</x:v>
      </x:c>
      <x:c r="K512" s="20"/>
      <x:c r="L512" s="20"/>
      <x:c r="M512" s="20"/>
      <x:c r="N512" s="20"/>
      <x:c r="O512" s="31"/>
      <x:c r="P512" s="20"/>
      <x:c r="Q512" s="20"/>
      <x:c r="R512" s="20" t="str">
        <x:v>待展开</x:v>
      </x:c>
      <x:c r="S512" s="20"/>
      <x:c r="T512" s="31"/>
      <x:c r="U512" s="30" t="str">
        <x:f>IF(A512="","缺记录编号",IF(COUNTIFS(PathRecords[记录编号],A512)&lt;&gt;1,"记录编号重复",IF(OR(B512="",E512=""),"缺组合/功能",IF(COUNTIFS(Equipment[组合编号],B512)&lt;&gt;1,"组合编号无效",IF(COUNTIFS(FunctionMatrix[编号],E512)=0,"功能编号无效",IF(H512="不适用",IF(J512="已实测","适用性冲突",IF(I512="","待补不适用依据","不适用（非实测）")),IF(J512="阻塞",IF(I512="","待补阻塞原因","阻塞（非实测）"),IF(J512&lt;&gt;"已实测",IF(F512="","待展开路径","未实测"),IF(H512&lt;&gt;"适用","待确认适用性",IF(INDEX(Equipment[登记状态（自动）],MATCH(B512,Equipment[组合编号],0))&lt;&gt;"已登记","待补设备组合",IF(AND(F512&lt;&gt;"",G512&lt;&gt;"",K512&lt;&gt;"",L512&lt;&gt;"",M512&lt;&gt;"",N512&lt;&gt;"",ISNUMBER(O512),O512&gt;0,P512&lt;&gt;""),"记录齐全","待补实测记录")))))))))))</x:f>
        <x:v>待展开路径</x:v>
      </x:c>
    </x:row>
    <x:row r="513" ht="43.5" customHeight="1">
      <x:c r="A513" s="20" t="str">
        <x:v>REC-00504</x:v>
      </x:c>
      <x:c r="B513" s="20" t="str">
        <x:v>P1-B5-01</x:v>
      </x:c>
      <x:c r="C513" s="30" t="str">
        <x:f>IF(B513="","",IF(COUNTIFS(Equipment[组合编号],B513)&lt;&gt;1,"组合编号无效",INDEX(Equipment[PLC组],MATCH(B513,Equipment[组合编号],0))))</x:f>
        <x:v>汇川小型</x:v>
      </x:c>
      <x:c r="D513" s="30" t="str">
        <x:f>IF(B513="","",IF(COUNTIFS(Equipment[组合编号],B513)&lt;&gt;1,"组合编号无效",INDEX(Equipment[驱动品牌],MATCH(B513,Equipment[组合编号],0))))</x:f>
        <x:v>KEBA（可选）</x:v>
      </x:c>
      <x:c r="E513" s="20" t="str">
        <x:v>C01</x:v>
      </x:c>
      <x:c r="F513" s="20"/>
      <x:c r="G513" s="20"/>
      <x:c r="H513" s="20" t="str">
        <x:v>待判定</x:v>
      </x:c>
      <x:c r="I513" s="20"/>
      <x:c r="J513" s="20" t="str">
        <x:v>未测试</x:v>
      </x:c>
      <x:c r="K513" s="20"/>
      <x:c r="L513" s="20"/>
      <x:c r="M513" s="20"/>
      <x:c r="N513" s="20"/>
      <x:c r="O513" s="31"/>
      <x:c r="P513" s="20"/>
      <x:c r="Q513" s="20"/>
      <x:c r="R513" s="20" t="str">
        <x:v>待展开</x:v>
      </x:c>
      <x:c r="S513" s="20"/>
      <x:c r="T513" s="31"/>
      <x:c r="U513" s="30" t="str">
        <x:f>IF(A513="","缺记录编号",IF(COUNTIFS(PathRecords[记录编号],A513)&lt;&gt;1,"记录编号重复",IF(OR(B513="",E513=""),"缺组合/功能",IF(COUNTIFS(Equipment[组合编号],B513)&lt;&gt;1,"组合编号无效",IF(COUNTIFS(FunctionMatrix[编号],E513)=0,"功能编号无效",IF(H513="不适用",IF(J513="已实测","适用性冲突",IF(I513="","待补不适用依据","不适用（非实测）")),IF(J513="阻塞",IF(I513="","待补阻塞原因","阻塞（非实测）"),IF(J513&lt;&gt;"已实测",IF(F513="","待展开路径","未实测"),IF(H513&lt;&gt;"适用","待确认适用性",IF(INDEX(Equipment[登记状态（自动）],MATCH(B513,Equipment[组合编号],0))&lt;&gt;"已登记","待补设备组合",IF(AND(F513&lt;&gt;"",G513&lt;&gt;"",K513&lt;&gt;"",L513&lt;&gt;"",M513&lt;&gt;"",N513&lt;&gt;"",ISNUMBER(O513),O513&gt;0,P513&lt;&gt;""),"记录齐全","待补实测记录")))))))))))</x:f>
        <x:v>待展开路径</x:v>
      </x:c>
    </x:row>
    <x:row r="514" ht="43.5" customHeight="1">
      <x:c r="A514" s="20" t="str">
        <x:v>REC-00505</x:v>
      </x:c>
      <x:c r="B514" s="20" t="str">
        <x:v>P1-B5-01</x:v>
      </x:c>
      <x:c r="C514" s="30" t="str">
        <x:f>IF(B514="","",IF(COUNTIFS(Equipment[组合编号],B514)&lt;&gt;1,"组合编号无效",INDEX(Equipment[PLC组],MATCH(B514,Equipment[组合编号],0))))</x:f>
        <x:v>汇川小型</x:v>
      </x:c>
      <x:c r="D514" s="30" t="str">
        <x:f>IF(B514="","",IF(COUNTIFS(Equipment[组合编号],B514)&lt;&gt;1,"组合编号无效",INDEX(Equipment[驱动品牌],MATCH(B514,Equipment[组合编号],0))))</x:f>
        <x:v>KEBA（可选）</x:v>
      </x:c>
      <x:c r="E514" s="20" t="str">
        <x:v>C02</x:v>
      </x:c>
      <x:c r="F514" s="20"/>
      <x:c r="G514" s="20"/>
      <x:c r="H514" s="20" t="str">
        <x:v>待判定</x:v>
      </x:c>
      <x:c r="I514" s="20"/>
      <x:c r="J514" s="20" t="str">
        <x:v>未测试</x:v>
      </x:c>
      <x:c r="K514" s="20"/>
      <x:c r="L514" s="20"/>
      <x:c r="M514" s="20"/>
      <x:c r="N514" s="20"/>
      <x:c r="O514" s="31"/>
      <x:c r="P514" s="20"/>
      <x:c r="Q514" s="20"/>
      <x:c r="R514" s="20" t="str">
        <x:v>待展开</x:v>
      </x:c>
      <x:c r="S514" s="20"/>
      <x:c r="T514" s="31"/>
      <x:c r="U514" s="30" t="str">
        <x:f>IF(A514="","缺记录编号",IF(COUNTIFS(PathRecords[记录编号],A514)&lt;&gt;1,"记录编号重复",IF(OR(B514="",E514=""),"缺组合/功能",IF(COUNTIFS(Equipment[组合编号],B514)&lt;&gt;1,"组合编号无效",IF(COUNTIFS(FunctionMatrix[编号],E514)=0,"功能编号无效",IF(H514="不适用",IF(J514="已实测","适用性冲突",IF(I514="","待补不适用依据","不适用（非实测）")),IF(J514="阻塞",IF(I514="","待补阻塞原因","阻塞（非实测）"),IF(J514&lt;&gt;"已实测",IF(F514="","待展开路径","未实测"),IF(H514&lt;&gt;"适用","待确认适用性",IF(INDEX(Equipment[登记状态（自动）],MATCH(B514,Equipment[组合编号],0))&lt;&gt;"已登记","待补设备组合",IF(AND(F514&lt;&gt;"",G514&lt;&gt;"",K514&lt;&gt;"",L514&lt;&gt;"",M514&lt;&gt;"",N514&lt;&gt;"",ISNUMBER(O514),O514&gt;0,P514&lt;&gt;""),"记录齐全","待补实测记录")))))))))))</x:f>
        <x:v>待展开路径</x:v>
      </x:c>
    </x:row>
    <x:row r="515" ht="43.5" customHeight="1">
      <x:c r="A515" s="20" t="str">
        <x:v>REC-00506</x:v>
      </x:c>
      <x:c r="B515" s="20" t="str">
        <x:v>P1-B5-01</x:v>
      </x:c>
      <x:c r="C515" s="30" t="str">
        <x:f>IF(B515="","",IF(COUNTIFS(Equipment[组合编号],B515)&lt;&gt;1,"组合编号无效",INDEX(Equipment[PLC组],MATCH(B515,Equipment[组合编号],0))))</x:f>
        <x:v>汇川小型</x:v>
      </x:c>
      <x:c r="D515" s="30" t="str">
        <x:f>IF(B515="","",IF(COUNTIFS(Equipment[组合编号],B515)&lt;&gt;1,"组合编号无效",INDEX(Equipment[驱动品牌],MATCH(B515,Equipment[组合编号],0))))</x:f>
        <x:v>KEBA（可选）</x:v>
      </x:c>
      <x:c r="E515" s="20" t="str">
        <x:v>C03</x:v>
      </x:c>
      <x:c r="F515" s="20"/>
      <x:c r="G515" s="20"/>
      <x:c r="H515" s="20" t="str">
        <x:v>待判定</x:v>
      </x:c>
      <x:c r="I515" s="20"/>
      <x:c r="J515" s="20" t="str">
        <x:v>未测试</x:v>
      </x:c>
      <x:c r="K515" s="20"/>
      <x:c r="L515" s="20"/>
      <x:c r="M515" s="20"/>
      <x:c r="N515" s="20"/>
      <x:c r="O515" s="31"/>
      <x:c r="P515" s="20"/>
      <x:c r="Q515" s="20"/>
      <x:c r="R515" s="20" t="str">
        <x:v>待展开</x:v>
      </x:c>
      <x:c r="S515" s="20"/>
      <x:c r="T515" s="31"/>
      <x:c r="U515" s="30" t="str">
        <x:f>IF(A515="","缺记录编号",IF(COUNTIFS(PathRecords[记录编号],A515)&lt;&gt;1,"记录编号重复",IF(OR(B515="",E515=""),"缺组合/功能",IF(COUNTIFS(Equipment[组合编号],B515)&lt;&gt;1,"组合编号无效",IF(COUNTIFS(FunctionMatrix[编号],E515)=0,"功能编号无效",IF(H515="不适用",IF(J515="已实测","适用性冲突",IF(I515="","待补不适用依据","不适用（非实测）")),IF(J515="阻塞",IF(I515="","待补阻塞原因","阻塞（非实测）"),IF(J515&lt;&gt;"已实测",IF(F515="","待展开路径","未实测"),IF(H515&lt;&gt;"适用","待确认适用性",IF(INDEX(Equipment[登记状态（自动）],MATCH(B515,Equipment[组合编号],0))&lt;&gt;"已登记","待补设备组合",IF(AND(F515&lt;&gt;"",G515&lt;&gt;"",K515&lt;&gt;"",L515&lt;&gt;"",M515&lt;&gt;"",N515&lt;&gt;"",ISNUMBER(O515),O515&gt;0,P515&lt;&gt;""),"记录齐全","待补实测记录")))))))))))</x:f>
        <x:v>待展开路径</x:v>
      </x:c>
    </x:row>
    <x:row r="516" ht="43.5" customHeight="1">
      <x:c r="A516" s="20" t="str">
        <x:v>REC-00507</x:v>
      </x:c>
      <x:c r="B516" s="20" t="str">
        <x:v>P1-B5-01</x:v>
      </x:c>
      <x:c r="C516" s="30" t="str">
        <x:f>IF(B516="","",IF(COUNTIFS(Equipment[组合编号],B516)&lt;&gt;1,"组合编号无效",INDEX(Equipment[PLC组],MATCH(B516,Equipment[组合编号],0))))</x:f>
        <x:v>汇川小型</x:v>
      </x:c>
      <x:c r="D516" s="30" t="str">
        <x:f>IF(B516="","",IF(COUNTIFS(Equipment[组合编号],B516)&lt;&gt;1,"组合编号无效",INDEX(Equipment[驱动品牌],MATCH(B516,Equipment[组合编号],0))))</x:f>
        <x:v>KEBA（可选）</x:v>
      </x:c>
      <x:c r="E516" s="20" t="str">
        <x:v>C04</x:v>
      </x:c>
      <x:c r="F516" s="20"/>
      <x:c r="G516" s="20"/>
      <x:c r="H516" s="20" t="str">
        <x:v>待判定</x:v>
      </x:c>
      <x:c r="I516" s="20"/>
      <x:c r="J516" s="20" t="str">
        <x:v>未测试</x:v>
      </x:c>
      <x:c r="K516" s="20"/>
      <x:c r="L516" s="20"/>
      <x:c r="M516" s="20"/>
      <x:c r="N516" s="20"/>
      <x:c r="O516" s="31"/>
      <x:c r="P516" s="20"/>
      <x:c r="Q516" s="20"/>
      <x:c r="R516" s="20" t="str">
        <x:v>待展开</x:v>
      </x:c>
      <x:c r="S516" s="20"/>
      <x:c r="T516" s="31"/>
      <x:c r="U516" s="30" t="str">
        <x:f>IF(A516="","缺记录编号",IF(COUNTIFS(PathRecords[记录编号],A516)&lt;&gt;1,"记录编号重复",IF(OR(B516="",E516=""),"缺组合/功能",IF(COUNTIFS(Equipment[组合编号],B516)&lt;&gt;1,"组合编号无效",IF(COUNTIFS(FunctionMatrix[编号],E516)=0,"功能编号无效",IF(H516="不适用",IF(J516="已实测","适用性冲突",IF(I516="","待补不适用依据","不适用（非实测）")),IF(J516="阻塞",IF(I516="","待补阻塞原因","阻塞（非实测）"),IF(J516&lt;&gt;"已实测",IF(F516="","待展开路径","未实测"),IF(H516&lt;&gt;"适用","待确认适用性",IF(INDEX(Equipment[登记状态（自动）],MATCH(B516,Equipment[组合编号],0))&lt;&gt;"已登记","待补设备组合",IF(AND(F516&lt;&gt;"",G516&lt;&gt;"",K516&lt;&gt;"",L516&lt;&gt;"",M516&lt;&gt;"",N516&lt;&gt;"",ISNUMBER(O516),O516&gt;0,P516&lt;&gt;""),"记录齐全","待补实测记录")))))))))))</x:f>
        <x:v>待展开路径</x:v>
      </x:c>
    </x:row>
    <x:row r="517" ht="43.5" customHeight="1">
      <x:c r="A517" s="20" t="str">
        <x:v>REC-00508</x:v>
      </x:c>
      <x:c r="B517" s="20" t="str">
        <x:v>P1-B5-01</x:v>
      </x:c>
      <x:c r="C517" s="30" t="str">
        <x:f>IF(B517="","",IF(COUNTIFS(Equipment[组合编号],B517)&lt;&gt;1,"组合编号无效",INDEX(Equipment[PLC组],MATCH(B517,Equipment[组合编号],0))))</x:f>
        <x:v>汇川小型</x:v>
      </x:c>
      <x:c r="D517" s="30" t="str">
        <x:f>IF(B517="","",IF(COUNTIFS(Equipment[组合编号],B517)&lt;&gt;1,"组合编号无效",INDEX(Equipment[驱动品牌],MATCH(B517,Equipment[组合编号],0))))</x:f>
        <x:v>KEBA（可选）</x:v>
      </x:c>
      <x:c r="E517" s="20" t="str">
        <x:v>C05</x:v>
      </x:c>
      <x:c r="F517" s="20"/>
      <x:c r="G517" s="20"/>
      <x:c r="H517" s="20" t="str">
        <x:v>待判定</x:v>
      </x:c>
      <x:c r="I517" s="20"/>
      <x:c r="J517" s="20" t="str">
        <x:v>未测试</x:v>
      </x:c>
      <x:c r="K517" s="20"/>
      <x:c r="L517" s="20"/>
      <x:c r="M517" s="20"/>
      <x:c r="N517" s="20"/>
      <x:c r="O517" s="31"/>
      <x:c r="P517" s="20"/>
      <x:c r="Q517" s="20"/>
      <x:c r="R517" s="20" t="str">
        <x:v>待展开</x:v>
      </x:c>
      <x:c r="S517" s="20"/>
      <x:c r="T517" s="31"/>
      <x:c r="U517" s="30" t="str">
        <x:f>IF(A517="","缺记录编号",IF(COUNTIFS(PathRecords[记录编号],A517)&lt;&gt;1,"记录编号重复",IF(OR(B517="",E517=""),"缺组合/功能",IF(COUNTIFS(Equipment[组合编号],B517)&lt;&gt;1,"组合编号无效",IF(COUNTIFS(FunctionMatrix[编号],E517)=0,"功能编号无效",IF(H517="不适用",IF(J517="已实测","适用性冲突",IF(I517="","待补不适用依据","不适用（非实测）")),IF(J517="阻塞",IF(I517="","待补阻塞原因","阻塞（非实测）"),IF(J517&lt;&gt;"已实测",IF(F517="","待展开路径","未实测"),IF(H517&lt;&gt;"适用","待确认适用性",IF(INDEX(Equipment[登记状态（自动）],MATCH(B517,Equipment[组合编号],0))&lt;&gt;"已登记","待补设备组合",IF(AND(F517&lt;&gt;"",G517&lt;&gt;"",K517&lt;&gt;"",L517&lt;&gt;"",M517&lt;&gt;"",N517&lt;&gt;"",ISNUMBER(O517),O517&gt;0,P517&lt;&gt;""),"记录齐全","待补实测记录")))))))))))</x:f>
        <x:v>待展开路径</x:v>
      </x:c>
    </x:row>
    <x:row r="518" ht="43.5" customHeight="1">
      <x:c r="A518" s="20" t="str">
        <x:v>REC-00509</x:v>
      </x:c>
      <x:c r="B518" s="20" t="str">
        <x:v>P1-B5-01</x:v>
      </x:c>
      <x:c r="C518" s="30" t="str">
        <x:f>IF(B518="","",IF(COUNTIFS(Equipment[组合编号],B518)&lt;&gt;1,"组合编号无效",INDEX(Equipment[PLC组],MATCH(B518,Equipment[组合编号],0))))</x:f>
        <x:v>汇川小型</x:v>
      </x:c>
      <x:c r="D518" s="30" t="str">
        <x:f>IF(B518="","",IF(COUNTIFS(Equipment[组合编号],B518)&lt;&gt;1,"组合编号无效",INDEX(Equipment[驱动品牌],MATCH(B518,Equipment[组合编号],0))))</x:f>
        <x:v>KEBA（可选）</x:v>
      </x:c>
      <x:c r="E518" s="20" t="str">
        <x:v>C06</x:v>
      </x:c>
      <x:c r="F518" s="20"/>
      <x:c r="G518" s="20"/>
      <x:c r="H518" s="20" t="str">
        <x:v>待判定</x:v>
      </x:c>
      <x:c r="I518" s="20"/>
      <x:c r="J518" s="20" t="str">
        <x:v>未测试</x:v>
      </x:c>
      <x:c r="K518" s="20"/>
      <x:c r="L518" s="20"/>
      <x:c r="M518" s="20"/>
      <x:c r="N518" s="20"/>
      <x:c r="O518" s="31"/>
      <x:c r="P518" s="20"/>
      <x:c r="Q518" s="20"/>
      <x:c r="R518" s="20" t="str">
        <x:v>待展开</x:v>
      </x:c>
      <x:c r="S518" s="20"/>
      <x:c r="T518" s="31"/>
      <x:c r="U518" s="30" t="str">
        <x:f>IF(A518="","缺记录编号",IF(COUNTIFS(PathRecords[记录编号],A518)&lt;&gt;1,"记录编号重复",IF(OR(B518="",E518=""),"缺组合/功能",IF(COUNTIFS(Equipment[组合编号],B518)&lt;&gt;1,"组合编号无效",IF(COUNTIFS(FunctionMatrix[编号],E518)=0,"功能编号无效",IF(H518="不适用",IF(J518="已实测","适用性冲突",IF(I518="","待补不适用依据","不适用（非实测）")),IF(J518="阻塞",IF(I518="","待补阻塞原因","阻塞（非实测）"),IF(J518&lt;&gt;"已实测",IF(F518="","待展开路径","未实测"),IF(H518&lt;&gt;"适用","待确认适用性",IF(INDEX(Equipment[登记状态（自动）],MATCH(B518,Equipment[组合编号],0))&lt;&gt;"已登记","待补设备组合",IF(AND(F518&lt;&gt;"",G518&lt;&gt;"",K518&lt;&gt;"",L518&lt;&gt;"",M518&lt;&gt;"",N518&lt;&gt;"",ISNUMBER(O518),O518&gt;0,P518&lt;&gt;""),"记录齐全","待补实测记录")))))))))))</x:f>
        <x:v>待展开路径</x:v>
      </x:c>
    </x:row>
    <x:row r="519" ht="43.5" customHeight="1">
      <x:c r="A519" s="20" t="str">
        <x:v>REC-00510</x:v>
      </x:c>
      <x:c r="B519" s="20" t="str">
        <x:v>P1-B5-01</x:v>
      </x:c>
      <x:c r="C519" s="30" t="str">
        <x:f>IF(B519="","",IF(COUNTIFS(Equipment[组合编号],B519)&lt;&gt;1,"组合编号无效",INDEX(Equipment[PLC组],MATCH(B519,Equipment[组合编号],0))))</x:f>
        <x:v>汇川小型</x:v>
      </x:c>
      <x:c r="D519" s="30" t="str">
        <x:f>IF(B519="","",IF(COUNTIFS(Equipment[组合编号],B519)&lt;&gt;1,"组合编号无效",INDEX(Equipment[驱动品牌],MATCH(B519,Equipment[组合编号],0))))</x:f>
        <x:v>KEBA（可选）</x:v>
      </x:c>
      <x:c r="E519" s="20" t="str">
        <x:v>C07</x:v>
      </x:c>
      <x:c r="F519" s="20"/>
      <x:c r="G519" s="20"/>
      <x:c r="H519" s="20" t="str">
        <x:v>待判定</x:v>
      </x:c>
      <x:c r="I519" s="20"/>
      <x:c r="J519" s="20" t="str">
        <x:v>未测试</x:v>
      </x:c>
      <x:c r="K519" s="20"/>
      <x:c r="L519" s="20"/>
      <x:c r="M519" s="20"/>
      <x:c r="N519" s="20"/>
      <x:c r="O519" s="31"/>
      <x:c r="P519" s="20"/>
      <x:c r="Q519" s="20"/>
      <x:c r="R519" s="20" t="str">
        <x:v>待展开</x:v>
      </x:c>
      <x:c r="S519" s="20"/>
      <x:c r="T519" s="31"/>
      <x:c r="U519" s="30" t="str">
        <x:f>IF(A519="","缺记录编号",IF(COUNTIFS(PathRecords[记录编号],A519)&lt;&gt;1,"记录编号重复",IF(OR(B519="",E519=""),"缺组合/功能",IF(COUNTIFS(Equipment[组合编号],B519)&lt;&gt;1,"组合编号无效",IF(COUNTIFS(FunctionMatrix[编号],E519)=0,"功能编号无效",IF(H519="不适用",IF(J519="已实测","适用性冲突",IF(I519="","待补不适用依据","不适用（非实测）")),IF(J519="阻塞",IF(I519="","待补阻塞原因","阻塞（非实测）"),IF(J519&lt;&gt;"已实测",IF(F519="","待展开路径","未实测"),IF(H519&lt;&gt;"适用","待确认适用性",IF(INDEX(Equipment[登记状态（自动）],MATCH(B519,Equipment[组合编号],0))&lt;&gt;"已登记","待补设备组合",IF(AND(F519&lt;&gt;"",G519&lt;&gt;"",K519&lt;&gt;"",L519&lt;&gt;"",M519&lt;&gt;"",N519&lt;&gt;"",ISNUMBER(O519),O519&gt;0,P519&lt;&gt;""),"记录齐全","待补实测记录")))))))))))</x:f>
        <x:v>待展开路径</x:v>
      </x:c>
    </x:row>
    <x:row r="520" ht="43.5" customHeight="1">
      <x:c r="A520" s="20" t="str">
        <x:v>REC-00511</x:v>
      </x:c>
      <x:c r="B520" s="20" t="str">
        <x:v>P1-B5-01</x:v>
      </x:c>
      <x:c r="C520" s="30" t="str">
        <x:f>IF(B520="","",IF(COUNTIFS(Equipment[组合编号],B520)&lt;&gt;1,"组合编号无效",INDEX(Equipment[PLC组],MATCH(B520,Equipment[组合编号],0))))</x:f>
        <x:v>汇川小型</x:v>
      </x:c>
      <x:c r="D520" s="30" t="str">
        <x:f>IF(B520="","",IF(COUNTIFS(Equipment[组合编号],B520)&lt;&gt;1,"组合编号无效",INDEX(Equipment[驱动品牌],MATCH(B520,Equipment[组合编号],0))))</x:f>
        <x:v>KEBA（可选）</x:v>
      </x:c>
      <x:c r="E520" s="20" t="str">
        <x:v>C08</x:v>
      </x:c>
      <x:c r="F520" s="20"/>
      <x:c r="G520" s="20"/>
      <x:c r="H520" s="20" t="str">
        <x:v>待判定</x:v>
      </x:c>
      <x:c r="I520" s="20"/>
      <x:c r="J520" s="20" t="str">
        <x:v>未测试</x:v>
      </x:c>
      <x:c r="K520" s="20"/>
      <x:c r="L520" s="20"/>
      <x:c r="M520" s="20"/>
      <x:c r="N520" s="20"/>
      <x:c r="O520" s="31"/>
      <x:c r="P520" s="20"/>
      <x:c r="Q520" s="20"/>
      <x:c r="R520" s="20" t="str">
        <x:v>待展开</x:v>
      </x:c>
      <x:c r="S520" s="20"/>
      <x:c r="T520" s="31"/>
      <x:c r="U520" s="30" t="str">
        <x:f>IF(A520="","缺记录编号",IF(COUNTIFS(PathRecords[记录编号],A520)&lt;&gt;1,"记录编号重复",IF(OR(B520="",E520=""),"缺组合/功能",IF(COUNTIFS(Equipment[组合编号],B520)&lt;&gt;1,"组合编号无效",IF(COUNTIFS(FunctionMatrix[编号],E520)=0,"功能编号无效",IF(H520="不适用",IF(J520="已实测","适用性冲突",IF(I520="","待补不适用依据","不适用（非实测）")),IF(J520="阻塞",IF(I520="","待补阻塞原因","阻塞（非实测）"),IF(J520&lt;&gt;"已实测",IF(F520="","待展开路径","未实测"),IF(H520&lt;&gt;"适用","待确认适用性",IF(INDEX(Equipment[登记状态（自动）],MATCH(B520,Equipment[组合编号],0))&lt;&gt;"已登记","待补设备组合",IF(AND(F520&lt;&gt;"",G520&lt;&gt;"",K520&lt;&gt;"",L520&lt;&gt;"",M520&lt;&gt;"",N520&lt;&gt;"",ISNUMBER(O520),O520&gt;0,P520&lt;&gt;""),"记录齐全","待补实测记录")))))))))))</x:f>
        <x:v>待展开路径</x:v>
      </x:c>
    </x:row>
    <x:row r="521" ht="43.5" customHeight="1">
      <x:c r="A521" s="20" t="str">
        <x:v>REC-00512</x:v>
      </x:c>
      <x:c r="B521" s="20" t="str">
        <x:v>P1-B5-01</x:v>
      </x:c>
      <x:c r="C521" s="30" t="str">
        <x:f>IF(B521="","",IF(COUNTIFS(Equipment[组合编号],B521)&lt;&gt;1,"组合编号无效",INDEX(Equipment[PLC组],MATCH(B521,Equipment[组合编号],0))))</x:f>
        <x:v>汇川小型</x:v>
      </x:c>
      <x:c r="D521" s="30" t="str">
        <x:f>IF(B521="","",IF(COUNTIFS(Equipment[组合编号],B521)&lt;&gt;1,"组合编号无效",INDEX(Equipment[驱动品牌],MATCH(B521,Equipment[组合编号],0))))</x:f>
        <x:v>KEBA（可选）</x:v>
      </x:c>
      <x:c r="E521" s="20" t="str">
        <x:v>C09</x:v>
      </x:c>
      <x:c r="F521" s="20"/>
      <x:c r="G521" s="20"/>
      <x:c r="H521" s="20" t="str">
        <x:v>待判定</x:v>
      </x:c>
      <x:c r="I521" s="20"/>
      <x:c r="J521" s="20" t="str">
        <x:v>未测试</x:v>
      </x:c>
      <x:c r="K521" s="20"/>
      <x:c r="L521" s="20"/>
      <x:c r="M521" s="20"/>
      <x:c r="N521" s="20"/>
      <x:c r="O521" s="31"/>
      <x:c r="P521" s="20"/>
      <x:c r="Q521" s="20"/>
      <x:c r="R521" s="20" t="str">
        <x:v>待展开</x:v>
      </x:c>
      <x:c r="S521" s="20"/>
      <x:c r="T521" s="31"/>
      <x:c r="U521" s="30" t="str">
        <x:f>IF(A521="","缺记录编号",IF(COUNTIFS(PathRecords[记录编号],A521)&lt;&gt;1,"记录编号重复",IF(OR(B521="",E521=""),"缺组合/功能",IF(COUNTIFS(Equipment[组合编号],B521)&lt;&gt;1,"组合编号无效",IF(COUNTIFS(FunctionMatrix[编号],E521)=0,"功能编号无效",IF(H521="不适用",IF(J521="已实测","适用性冲突",IF(I521="","待补不适用依据","不适用（非实测）")),IF(J521="阻塞",IF(I521="","待补阻塞原因","阻塞（非实测）"),IF(J521&lt;&gt;"已实测",IF(F521="","待展开路径","未实测"),IF(H521&lt;&gt;"适用","待确认适用性",IF(INDEX(Equipment[登记状态（自动）],MATCH(B521,Equipment[组合编号],0))&lt;&gt;"已登记","待补设备组合",IF(AND(F521&lt;&gt;"",G521&lt;&gt;"",K521&lt;&gt;"",L521&lt;&gt;"",M521&lt;&gt;"",N521&lt;&gt;"",ISNUMBER(O521),O521&gt;0,P521&lt;&gt;""),"记录齐全","待补实测记录")))))))))))</x:f>
        <x:v>待展开路径</x:v>
      </x:c>
    </x:row>
    <x:row r="522" ht="43.5" customHeight="1">
      <x:c r="A522" s="20" t="str">
        <x:v>REC-00513</x:v>
      </x:c>
      <x:c r="B522" s="20" t="str">
        <x:v>P1-B5-01</x:v>
      </x:c>
      <x:c r="C522" s="30" t="str">
        <x:f>IF(B522="","",IF(COUNTIFS(Equipment[组合编号],B522)&lt;&gt;1,"组合编号无效",INDEX(Equipment[PLC组],MATCH(B522,Equipment[组合编号],0))))</x:f>
        <x:v>汇川小型</x:v>
      </x:c>
      <x:c r="D522" s="30" t="str">
        <x:f>IF(B522="","",IF(COUNTIFS(Equipment[组合编号],B522)&lt;&gt;1,"组合编号无效",INDEX(Equipment[驱动品牌],MATCH(B522,Equipment[组合编号],0))))</x:f>
        <x:v>KEBA（可选）</x:v>
      </x:c>
      <x:c r="E522" s="20" t="str">
        <x:v>C10</x:v>
      </x:c>
      <x:c r="F522" s="20"/>
      <x:c r="G522" s="20"/>
      <x:c r="H522" s="20" t="str">
        <x:v>待判定</x:v>
      </x:c>
      <x:c r="I522" s="20"/>
      <x:c r="J522" s="20" t="str">
        <x:v>未测试</x:v>
      </x:c>
      <x:c r="K522" s="20"/>
      <x:c r="L522" s="20"/>
      <x:c r="M522" s="20"/>
      <x:c r="N522" s="20"/>
      <x:c r="O522" s="31"/>
      <x:c r="P522" s="20"/>
      <x:c r="Q522" s="20"/>
      <x:c r="R522" s="20" t="str">
        <x:v>待展开</x:v>
      </x:c>
      <x:c r="S522" s="20"/>
      <x:c r="T522" s="31"/>
      <x:c r="U522" s="30" t="str">
        <x:f>IF(A522="","缺记录编号",IF(COUNTIFS(PathRecords[记录编号],A522)&lt;&gt;1,"记录编号重复",IF(OR(B522="",E522=""),"缺组合/功能",IF(COUNTIFS(Equipment[组合编号],B522)&lt;&gt;1,"组合编号无效",IF(COUNTIFS(FunctionMatrix[编号],E522)=0,"功能编号无效",IF(H522="不适用",IF(J522="已实测","适用性冲突",IF(I522="","待补不适用依据","不适用（非实测）")),IF(J522="阻塞",IF(I522="","待补阻塞原因","阻塞（非实测）"),IF(J522&lt;&gt;"已实测",IF(F522="","待展开路径","未实测"),IF(H522&lt;&gt;"适用","待确认适用性",IF(INDEX(Equipment[登记状态（自动）],MATCH(B522,Equipment[组合编号],0))&lt;&gt;"已登记","待补设备组合",IF(AND(F522&lt;&gt;"",G522&lt;&gt;"",K522&lt;&gt;"",L522&lt;&gt;"",M522&lt;&gt;"",N522&lt;&gt;"",ISNUMBER(O522),O522&gt;0,P522&lt;&gt;""),"记录齐全","待补实测记录")))))))))))</x:f>
        <x:v>待展开路径</x:v>
      </x:c>
    </x:row>
    <x:row r="523" ht="43.5" customHeight="1">
      <x:c r="A523" s="20" t="str">
        <x:v>REC-00514</x:v>
      </x:c>
      <x:c r="B523" s="20" t="str">
        <x:v>P1-B5-01</x:v>
      </x:c>
      <x:c r="C523" s="30" t="str">
        <x:f>IF(B523="","",IF(COUNTIFS(Equipment[组合编号],B523)&lt;&gt;1,"组合编号无效",INDEX(Equipment[PLC组],MATCH(B523,Equipment[组合编号],0))))</x:f>
        <x:v>汇川小型</x:v>
      </x:c>
      <x:c r="D523" s="30" t="str">
        <x:f>IF(B523="","",IF(COUNTIFS(Equipment[组合编号],B523)&lt;&gt;1,"组合编号无效",INDEX(Equipment[驱动品牌],MATCH(B523,Equipment[组合编号],0))))</x:f>
        <x:v>KEBA（可选）</x:v>
      </x:c>
      <x:c r="E523" s="20" t="str">
        <x:v>T01</x:v>
      </x:c>
      <x:c r="F523" s="20"/>
      <x:c r="G523" s="20"/>
      <x:c r="H523" s="20" t="str">
        <x:v>待判定</x:v>
      </x:c>
      <x:c r="I523" s="20"/>
      <x:c r="J523" s="20" t="str">
        <x:v>未测试</x:v>
      </x:c>
      <x:c r="K523" s="20"/>
      <x:c r="L523" s="20"/>
      <x:c r="M523" s="20"/>
      <x:c r="N523" s="20"/>
      <x:c r="O523" s="31"/>
      <x:c r="P523" s="20"/>
      <x:c r="Q523" s="20"/>
      <x:c r="R523" s="20" t="str">
        <x:v>待展开</x:v>
      </x:c>
      <x:c r="S523" s="20"/>
      <x:c r="T523" s="31"/>
      <x:c r="U523" s="30" t="str">
        <x:f>IF(A523="","缺记录编号",IF(COUNTIFS(PathRecords[记录编号],A523)&lt;&gt;1,"记录编号重复",IF(OR(B523="",E523=""),"缺组合/功能",IF(COUNTIFS(Equipment[组合编号],B523)&lt;&gt;1,"组合编号无效",IF(COUNTIFS(FunctionMatrix[编号],E523)=0,"功能编号无效",IF(H523="不适用",IF(J523="已实测","适用性冲突",IF(I523="","待补不适用依据","不适用（非实测）")),IF(J523="阻塞",IF(I523="","待补阻塞原因","阻塞（非实测）"),IF(J523&lt;&gt;"已实测",IF(F523="","待展开路径","未实测"),IF(H523&lt;&gt;"适用","待确认适用性",IF(INDEX(Equipment[登记状态（自动）],MATCH(B523,Equipment[组合编号],0))&lt;&gt;"已登记","待补设备组合",IF(AND(F523&lt;&gt;"",G523&lt;&gt;"",K523&lt;&gt;"",L523&lt;&gt;"",M523&lt;&gt;"",N523&lt;&gt;"",ISNUMBER(O523),O523&gt;0,P523&lt;&gt;""),"记录齐全","待补实测记录")))))))))))</x:f>
        <x:v>待展开路径</x:v>
      </x:c>
    </x:row>
    <x:row r="524" ht="43.5" customHeight="1">
      <x:c r="A524" s="20" t="str">
        <x:v>REC-00515</x:v>
      </x:c>
      <x:c r="B524" s="20" t="str">
        <x:v>P1-B5-01</x:v>
      </x:c>
      <x:c r="C524" s="30" t="str">
        <x:f>IF(B524="","",IF(COUNTIFS(Equipment[组合编号],B524)&lt;&gt;1,"组合编号无效",INDEX(Equipment[PLC组],MATCH(B524,Equipment[组合编号],0))))</x:f>
        <x:v>汇川小型</x:v>
      </x:c>
      <x:c r="D524" s="30" t="str">
        <x:f>IF(B524="","",IF(COUNTIFS(Equipment[组合编号],B524)&lt;&gt;1,"组合编号无效",INDEX(Equipment[驱动品牌],MATCH(B524,Equipment[组合编号],0))))</x:f>
        <x:v>KEBA（可选）</x:v>
      </x:c>
      <x:c r="E524" s="20" t="str">
        <x:v>T02</x:v>
      </x:c>
      <x:c r="F524" s="20"/>
      <x:c r="G524" s="20"/>
      <x:c r="H524" s="20" t="str">
        <x:v>待判定</x:v>
      </x:c>
      <x:c r="I524" s="20"/>
      <x:c r="J524" s="20" t="str">
        <x:v>未测试</x:v>
      </x:c>
      <x:c r="K524" s="20"/>
      <x:c r="L524" s="20"/>
      <x:c r="M524" s="20"/>
      <x:c r="N524" s="20"/>
      <x:c r="O524" s="31"/>
      <x:c r="P524" s="20"/>
      <x:c r="Q524" s="20"/>
      <x:c r="R524" s="20" t="str">
        <x:v>待展开</x:v>
      </x:c>
      <x:c r="S524" s="20"/>
      <x:c r="T524" s="31"/>
      <x:c r="U524" s="30" t="str">
        <x:f>IF(A524="","缺记录编号",IF(COUNTIFS(PathRecords[记录编号],A524)&lt;&gt;1,"记录编号重复",IF(OR(B524="",E524=""),"缺组合/功能",IF(COUNTIFS(Equipment[组合编号],B524)&lt;&gt;1,"组合编号无效",IF(COUNTIFS(FunctionMatrix[编号],E524)=0,"功能编号无效",IF(H524="不适用",IF(J524="已实测","适用性冲突",IF(I524="","待补不适用依据","不适用（非实测）")),IF(J524="阻塞",IF(I524="","待补阻塞原因","阻塞（非实测）"),IF(J524&lt;&gt;"已实测",IF(F524="","待展开路径","未实测"),IF(H524&lt;&gt;"适用","待确认适用性",IF(INDEX(Equipment[登记状态（自动）],MATCH(B524,Equipment[组合编号],0))&lt;&gt;"已登记","待补设备组合",IF(AND(F524&lt;&gt;"",G524&lt;&gt;"",K524&lt;&gt;"",L524&lt;&gt;"",M524&lt;&gt;"",N524&lt;&gt;"",ISNUMBER(O524),O524&gt;0,P524&lt;&gt;""),"记录齐全","待补实测记录")))))))))))</x:f>
        <x:v>待展开路径</x:v>
      </x:c>
    </x:row>
    <x:row r="525" ht="43.5" customHeight="1">
      <x:c r="A525" s="20" t="str">
        <x:v>REC-00516</x:v>
      </x:c>
      <x:c r="B525" s="20" t="str">
        <x:v>P1-B5-01</x:v>
      </x:c>
      <x:c r="C525" s="30" t="str">
        <x:f>IF(B525="","",IF(COUNTIFS(Equipment[组合编号],B525)&lt;&gt;1,"组合编号无效",INDEX(Equipment[PLC组],MATCH(B525,Equipment[组合编号],0))))</x:f>
        <x:v>汇川小型</x:v>
      </x:c>
      <x:c r="D525" s="30" t="str">
        <x:f>IF(B525="","",IF(COUNTIFS(Equipment[组合编号],B525)&lt;&gt;1,"组合编号无效",INDEX(Equipment[驱动品牌],MATCH(B525,Equipment[组合编号],0))))</x:f>
        <x:v>KEBA（可选）</x:v>
      </x:c>
      <x:c r="E525" s="20" t="str">
        <x:v>T03</x:v>
      </x:c>
      <x:c r="F525" s="20"/>
      <x:c r="G525" s="20"/>
      <x:c r="H525" s="20" t="str">
        <x:v>待判定</x:v>
      </x:c>
      <x:c r="I525" s="20"/>
      <x:c r="J525" s="20" t="str">
        <x:v>未测试</x:v>
      </x:c>
      <x:c r="K525" s="20"/>
      <x:c r="L525" s="20"/>
      <x:c r="M525" s="20"/>
      <x:c r="N525" s="20"/>
      <x:c r="O525" s="31"/>
      <x:c r="P525" s="20"/>
      <x:c r="Q525" s="20"/>
      <x:c r="R525" s="20" t="str">
        <x:v>待展开</x:v>
      </x:c>
      <x:c r="S525" s="20"/>
      <x:c r="T525" s="31"/>
      <x:c r="U525" s="30" t="str">
        <x:f>IF(A525="","缺记录编号",IF(COUNTIFS(PathRecords[记录编号],A525)&lt;&gt;1,"记录编号重复",IF(OR(B525="",E525=""),"缺组合/功能",IF(COUNTIFS(Equipment[组合编号],B525)&lt;&gt;1,"组合编号无效",IF(COUNTIFS(FunctionMatrix[编号],E525)=0,"功能编号无效",IF(H525="不适用",IF(J525="已实测","适用性冲突",IF(I525="","待补不适用依据","不适用（非实测）")),IF(J525="阻塞",IF(I525="","待补阻塞原因","阻塞（非实测）"),IF(J525&lt;&gt;"已实测",IF(F525="","待展开路径","未实测"),IF(H525&lt;&gt;"适用","待确认适用性",IF(INDEX(Equipment[登记状态（自动）],MATCH(B525,Equipment[组合编号],0))&lt;&gt;"已登记","待补设备组合",IF(AND(F525&lt;&gt;"",G525&lt;&gt;"",K525&lt;&gt;"",L525&lt;&gt;"",M525&lt;&gt;"",N525&lt;&gt;"",ISNUMBER(O525),O525&gt;0,P525&lt;&gt;""),"记录齐全","待补实测记录")))))))))))</x:f>
        <x:v>待展开路径</x:v>
      </x:c>
    </x:row>
    <x:row r="526" ht="43.5" customHeight="1">
      <x:c r="A526" s="20" t="str">
        <x:v>REC-00517</x:v>
      </x:c>
      <x:c r="B526" s="20" t="str">
        <x:v>P1-B5-01</x:v>
      </x:c>
      <x:c r="C526" s="30" t="str">
        <x:f>IF(B526="","",IF(COUNTIFS(Equipment[组合编号],B526)&lt;&gt;1,"组合编号无效",INDEX(Equipment[PLC组],MATCH(B526,Equipment[组合编号],0))))</x:f>
        <x:v>汇川小型</x:v>
      </x:c>
      <x:c r="D526" s="30" t="str">
        <x:f>IF(B526="","",IF(COUNTIFS(Equipment[组合编号],B526)&lt;&gt;1,"组合编号无效",INDEX(Equipment[驱动品牌],MATCH(B526,Equipment[组合编号],0))))</x:f>
        <x:v>KEBA（可选）</x:v>
      </x:c>
      <x:c r="E526" s="20" t="str">
        <x:v>T04</x:v>
      </x:c>
      <x:c r="F526" s="20"/>
      <x:c r="G526" s="20"/>
      <x:c r="H526" s="20" t="str">
        <x:v>待判定</x:v>
      </x:c>
      <x:c r="I526" s="20"/>
      <x:c r="J526" s="20" t="str">
        <x:v>未测试</x:v>
      </x:c>
      <x:c r="K526" s="20"/>
      <x:c r="L526" s="20"/>
      <x:c r="M526" s="20"/>
      <x:c r="N526" s="20"/>
      <x:c r="O526" s="31"/>
      <x:c r="P526" s="20"/>
      <x:c r="Q526" s="20"/>
      <x:c r="R526" s="20" t="str">
        <x:v>待展开</x:v>
      </x:c>
      <x:c r="S526" s="20"/>
      <x:c r="T526" s="31"/>
      <x:c r="U526" s="30" t="str">
        <x:f>IF(A526="","缺记录编号",IF(COUNTIFS(PathRecords[记录编号],A526)&lt;&gt;1,"记录编号重复",IF(OR(B526="",E526=""),"缺组合/功能",IF(COUNTIFS(Equipment[组合编号],B526)&lt;&gt;1,"组合编号无效",IF(COUNTIFS(FunctionMatrix[编号],E526)=0,"功能编号无效",IF(H526="不适用",IF(J526="已实测","适用性冲突",IF(I526="","待补不适用依据","不适用（非实测）")),IF(J526="阻塞",IF(I526="","待补阻塞原因","阻塞（非实测）"),IF(J526&lt;&gt;"已实测",IF(F526="","待展开路径","未实测"),IF(H526&lt;&gt;"适用","待确认适用性",IF(INDEX(Equipment[登记状态（自动）],MATCH(B526,Equipment[组合编号],0))&lt;&gt;"已登记","待补设备组合",IF(AND(F526&lt;&gt;"",G526&lt;&gt;"",K526&lt;&gt;"",L526&lt;&gt;"",M526&lt;&gt;"",N526&lt;&gt;"",ISNUMBER(O526),O526&gt;0,P526&lt;&gt;""),"记录齐全","待补实测记录")))))))))))</x:f>
        <x:v>待展开路径</x:v>
      </x:c>
    </x:row>
    <x:row r="527" ht="43.5" customHeight="1">
      <x:c r="A527" s="20" t="str">
        <x:v>REC-00518</x:v>
      </x:c>
      <x:c r="B527" s="20" t="str">
        <x:v>P1-B5-01</x:v>
      </x:c>
      <x:c r="C527" s="30" t="str">
        <x:f>IF(B527="","",IF(COUNTIFS(Equipment[组合编号],B527)&lt;&gt;1,"组合编号无效",INDEX(Equipment[PLC组],MATCH(B527,Equipment[组合编号],0))))</x:f>
        <x:v>汇川小型</x:v>
      </x:c>
      <x:c r="D527" s="30" t="str">
        <x:f>IF(B527="","",IF(COUNTIFS(Equipment[组合编号],B527)&lt;&gt;1,"组合编号无效",INDEX(Equipment[驱动品牌],MATCH(B527,Equipment[组合编号],0))))</x:f>
        <x:v>KEBA（可选）</x:v>
      </x:c>
      <x:c r="E527" s="20" t="str">
        <x:v>T05</x:v>
      </x:c>
      <x:c r="F527" s="20"/>
      <x:c r="G527" s="20"/>
      <x:c r="H527" s="20" t="str">
        <x:v>待判定</x:v>
      </x:c>
      <x:c r="I527" s="20"/>
      <x:c r="J527" s="20" t="str">
        <x:v>未测试</x:v>
      </x:c>
      <x:c r="K527" s="20"/>
      <x:c r="L527" s="20"/>
      <x:c r="M527" s="20"/>
      <x:c r="N527" s="20"/>
      <x:c r="O527" s="31"/>
      <x:c r="P527" s="20"/>
      <x:c r="Q527" s="20"/>
      <x:c r="R527" s="20" t="str">
        <x:v>待展开</x:v>
      </x:c>
      <x:c r="S527" s="20"/>
      <x:c r="T527" s="31"/>
      <x:c r="U527" s="30" t="str">
        <x:f>IF(A527="","缺记录编号",IF(COUNTIFS(PathRecords[记录编号],A527)&lt;&gt;1,"记录编号重复",IF(OR(B527="",E527=""),"缺组合/功能",IF(COUNTIFS(Equipment[组合编号],B527)&lt;&gt;1,"组合编号无效",IF(COUNTIFS(FunctionMatrix[编号],E527)=0,"功能编号无效",IF(H527="不适用",IF(J527="已实测","适用性冲突",IF(I527="","待补不适用依据","不适用（非实测）")),IF(J527="阻塞",IF(I527="","待补阻塞原因","阻塞（非实测）"),IF(J527&lt;&gt;"已实测",IF(F527="","待展开路径","未实测"),IF(H527&lt;&gt;"适用","待确认适用性",IF(INDEX(Equipment[登记状态（自动）],MATCH(B527,Equipment[组合编号],0))&lt;&gt;"已登记","待补设备组合",IF(AND(F527&lt;&gt;"",G527&lt;&gt;"",K527&lt;&gt;"",L527&lt;&gt;"",M527&lt;&gt;"",N527&lt;&gt;"",ISNUMBER(O527),O527&gt;0,P527&lt;&gt;""),"记录齐全","待补实测记录")))))))))))</x:f>
        <x:v>待展开路径</x:v>
      </x:c>
    </x:row>
    <x:row r="528" ht="43.5" customHeight="1">
      <x:c r="A528" s="20" t="str">
        <x:v>REC-00519</x:v>
      </x:c>
      <x:c r="B528" s="20" t="str">
        <x:v>P1-B5-01</x:v>
      </x:c>
      <x:c r="C528" s="30" t="str">
        <x:f>IF(B528="","",IF(COUNTIFS(Equipment[组合编号],B528)&lt;&gt;1,"组合编号无效",INDEX(Equipment[PLC组],MATCH(B528,Equipment[组合编号],0))))</x:f>
        <x:v>汇川小型</x:v>
      </x:c>
      <x:c r="D528" s="30" t="str">
        <x:f>IF(B528="","",IF(COUNTIFS(Equipment[组合编号],B528)&lt;&gt;1,"组合编号无效",INDEX(Equipment[驱动品牌],MATCH(B528,Equipment[组合编号],0))))</x:f>
        <x:v>KEBA（可选）</x:v>
      </x:c>
      <x:c r="E528" s="20" t="str">
        <x:v>T06</x:v>
      </x:c>
      <x:c r="F528" s="20"/>
      <x:c r="G528" s="20"/>
      <x:c r="H528" s="20" t="str">
        <x:v>待判定</x:v>
      </x:c>
      <x:c r="I528" s="20"/>
      <x:c r="J528" s="20" t="str">
        <x:v>未测试</x:v>
      </x:c>
      <x:c r="K528" s="20"/>
      <x:c r="L528" s="20"/>
      <x:c r="M528" s="20"/>
      <x:c r="N528" s="20"/>
      <x:c r="O528" s="31"/>
      <x:c r="P528" s="20"/>
      <x:c r="Q528" s="20"/>
      <x:c r="R528" s="20" t="str">
        <x:v>待展开</x:v>
      </x:c>
      <x:c r="S528" s="20"/>
      <x:c r="T528" s="31"/>
      <x:c r="U528" s="30" t="str">
        <x:f>IF(A528="","缺记录编号",IF(COUNTIFS(PathRecords[记录编号],A528)&lt;&gt;1,"记录编号重复",IF(OR(B528="",E528=""),"缺组合/功能",IF(COUNTIFS(Equipment[组合编号],B528)&lt;&gt;1,"组合编号无效",IF(COUNTIFS(FunctionMatrix[编号],E528)=0,"功能编号无效",IF(H528="不适用",IF(J528="已实测","适用性冲突",IF(I528="","待补不适用依据","不适用（非实测）")),IF(J528="阻塞",IF(I528="","待补阻塞原因","阻塞（非实测）"),IF(J528&lt;&gt;"已实测",IF(F528="","待展开路径","未实测"),IF(H528&lt;&gt;"适用","待确认适用性",IF(INDEX(Equipment[登记状态（自动）],MATCH(B528,Equipment[组合编号],0))&lt;&gt;"已登记","待补设备组合",IF(AND(F528&lt;&gt;"",G528&lt;&gt;"",K528&lt;&gt;"",L528&lt;&gt;"",M528&lt;&gt;"",N528&lt;&gt;"",ISNUMBER(O528),O528&gt;0,P528&lt;&gt;""),"记录齐全","待补实测记录")))))))))))</x:f>
        <x:v>待展开路径</x:v>
      </x:c>
    </x:row>
    <x:row r="529" ht="43.5" customHeight="1">
      <x:c r="A529" s="20" t="str">
        <x:v>REC-00520</x:v>
      </x:c>
      <x:c r="B529" s="20" t="str">
        <x:v>P1-B5-01</x:v>
      </x:c>
      <x:c r="C529" s="30" t="str">
        <x:f>IF(B529="","",IF(COUNTIFS(Equipment[组合编号],B529)&lt;&gt;1,"组合编号无效",INDEX(Equipment[PLC组],MATCH(B529,Equipment[组合编号],0))))</x:f>
        <x:v>汇川小型</x:v>
      </x:c>
      <x:c r="D529" s="30" t="str">
        <x:f>IF(B529="","",IF(COUNTIFS(Equipment[组合编号],B529)&lt;&gt;1,"组合编号无效",INDEX(Equipment[驱动品牌],MATCH(B529,Equipment[组合编号],0))))</x:f>
        <x:v>KEBA（可选）</x:v>
      </x:c>
      <x:c r="E529" s="20" t="str">
        <x:v>T07</x:v>
      </x:c>
      <x:c r="F529" s="20"/>
      <x:c r="G529" s="20"/>
      <x:c r="H529" s="20" t="str">
        <x:v>待判定</x:v>
      </x:c>
      <x:c r="I529" s="20"/>
      <x:c r="J529" s="20" t="str">
        <x:v>未测试</x:v>
      </x:c>
      <x:c r="K529" s="20"/>
      <x:c r="L529" s="20"/>
      <x:c r="M529" s="20"/>
      <x:c r="N529" s="20"/>
      <x:c r="O529" s="31"/>
      <x:c r="P529" s="20"/>
      <x:c r="Q529" s="20"/>
      <x:c r="R529" s="20" t="str">
        <x:v>待展开</x:v>
      </x:c>
      <x:c r="S529" s="20"/>
      <x:c r="T529" s="31"/>
      <x:c r="U529" s="30" t="str">
        <x:f>IF(A529="","缺记录编号",IF(COUNTIFS(PathRecords[记录编号],A529)&lt;&gt;1,"记录编号重复",IF(OR(B529="",E529=""),"缺组合/功能",IF(COUNTIFS(Equipment[组合编号],B529)&lt;&gt;1,"组合编号无效",IF(COUNTIFS(FunctionMatrix[编号],E529)=0,"功能编号无效",IF(H529="不适用",IF(J529="已实测","适用性冲突",IF(I529="","待补不适用依据","不适用（非实测）")),IF(J529="阻塞",IF(I529="","待补阻塞原因","阻塞（非实测）"),IF(J529&lt;&gt;"已实测",IF(F529="","待展开路径","未实测"),IF(H529&lt;&gt;"适用","待确认适用性",IF(INDEX(Equipment[登记状态（自动）],MATCH(B529,Equipment[组合编号],0))&lt;&gt;"已登记","待补设备组合",IF(AND(F529&lt;&gt;"",G529&lt;&gt;"",K529&lt;&gt;"",L529&lt;&gt;"",M529&lt;&gt;"",N529&lt;&gt;"",ISNUMBER(O529),O529&gt;0,P529&lt;&gt;""),"记录齐全","待补实测记录")))))))))))</x:f>
        <x:v>待展开路径</x:v>
      </x:c>
    </x:row>
    <x:row r="530" ht="43.5" customHeight="1">
      <x:c r="A530" s="20" t="str">
        <x:v>REC-00521</x:v>
      </x:c>
      <x:c r="B530" s="20" t="str">
        <x:v>P1-B5-01</x:v>
      </x:c>
      <x:c r="C530" s="30" t="str">
        <x:f>IF(B530="","",IF(COUNTIFS(Equipment[组合编号],B530)&lt;&gt;1,"组合编号无效",INDEX(Equipment[PLC组],MATCH(B530,Equipment[组合编号],0))))</x:f>
        <x:v>汇川小型</x:v>
      </x:c>
      <x:c r="D530" s="30" t="str">
        <x:f>IF(B530="","",IF(COUNTIFS(Equipment[组合编号],B530)&lt;&gt;1,"组合编号无效",INDEX(Equipment[驱动品牌],MATCH(B530,Equipment[组合编号],0))))</x:f>
        <x:v>KEBA（可选）</x:v>
      </x:c>
      <x:c r="E530" s="20" t="str">
        <x:v>T08</x:v>
      </x:c>
      <x:c r="F530" s="20"/>
      <x:c r="G530" s="20"/>
      <x:c r="H530" s="20" t="str">
        <x:v>待判定</x:v>
      </x:c>
      <x:c r="I530" s="20"/>
      <x:c r="J530" s="20" t="str">
        <x:v>未测试</x:v>
      </x:c>
      <x:c r="K530" s="20"/>
      <x:c r="L530" s="20"/>
      <x:c r="M530" s="20"/>
      <x:c r="N530" s="20"/>
      <x:c r="O530" s="31"/>
      <x:c r="P530" s="20"/>
      <x:c r="Q530" s="20"/>
      <x:c r="R530" s="20" t="str">
        <x:v>待展开</x:v>
      </x:c>
      <x:c r="S530" s="20"/>
      <x:c r="T530" s="31"/>
      <x:c r="U530" s="30" t="str">
        <x:f>IF(A530="","缺记录编号",IF(COUNTIFS(PathRecords[记录编号],A530)&lt;&gt;1,"记录编号重复",IF(OR(B530="",E530=""),"缺组合/功能",IF(COUNTIFS(Equipment[组合编号],B530)&lt;&gt;1,"组合编号无效",IF(COUNTIFS(FunctionMatrix[编号],E530)=0,"功能编号无效",IF(H530="不适用",IF(J530="已实测","适用性冲突",IF(I530="","待补不适用依据","不适用（非实测）")),IF(J530="阻塞",IF(I530="","待补阻塞原因","阻塞（非实测）"),IF(J530&lt;&gt;"已实测",IF(F530="","待展开路径","未实测"),IF(H530&lt;&gt;"适用","待确认适用性",IF(INDEX(Equipment[登记状态（自动）],MATCH(B530,Equipment[组合编号],0))&lt;&gt;"已登记","待补设备组合",IF(AND(F530&lt;&gt;"",G530&lt;&gt;"",K530&lt;&gt;"",L530&lt;&gt;"",M530&lt;&gt;"",N530&lt;&gt;"",ISNUMBER(O530),O530&gt;0,P530&lt;&gt;""),"记录齐全","待补实测记录")))))))))))</x:f>
        <x:v>待展开路径</x:v>
      </x:c>
    </x:row>
    <x:row r="531" ht="43.5" customHeight="1">
      <x:c r="A531" s="20" t="str">
        <x:v>REC-00522</x:v>
      </x:c>
      <x:c r="B531" s="20" t="str">
        <x:v>P1-B5-01</x:v>
      </x:c>
      <x:c r="C531" s="30" t="str">
        <x:f>IF(B531="","",IF(COUNTIFS(Equipment[组合编号],B531)&lt;&gt;1,"组合编号无效",INDEX(Equipment[PLC组],MATCH(B531,Equipment[组合编号],0))))</x:f>
        <x:v>汇川小型</x:v>
      </x:c>
      <x:c r="D531" s="30" t="str">
        <x:f>IF(B531="","",IF(COUNTIFS(Equipment[组合编号],B531)&lt;&gt;1,"组合编号无效",INDEX(Equipment[驱动品牌],MATCH(B531,Equipment[组合编号],0))))</x:f>
        <x:v>KEBA（可选）</x:v>
      </x:c>
      <x:c r="E531" s="20" t="str">
        <x:v>T09</x:v>
      </x:c>
      <x:c r="F531" s="20"/>
      <x:c r="G531" s="20"/>
      <x:c r="H531" s="20" t="str">
        <x:v>待判定</x:v>
      </x:c>
      <x:c r="I531" s="20"/>
      <x:c r="J531" s="20" t="str">
        <x:v>未测试</x:v>
      </x:c>
      <x:c r="K531" s="20"/>
      <x:c r="L531" s="20"/>
      <x:c r="M531" s="20"/>
      <x:c r="N531" s="20"/>
      <x:c r="O531" s="31"/>
      <x:c r="P531" s="20"/>
      <x:c r="Q531" s="20"/>
      <x:c r="R531" s="20" t="str">
        <x:v>待展开</x:v>
      </x:c>
      <x:c r="S531" s="20"/>
      <x:c r="T531" s="31"/>
      <x:c r="U531" s="30" t="str">
        <x:f>IF(A531="","缺记录编号",IF(COUNTIFS(PathRecords[记录编号],A531)&lt;&gt;1,"记录编号重复",IF(OR(B531="",E531=""),"缺组合/功能",IF(COUNTIFS(Equipment[组合编号],B531)&lt;&gt;1,"组合编号无效",IF(COUNTIFS(FunctionMatrix[编号],E531)=0,"功能编号无效",IF(H531="不适用",IF(J531="已实测","适用性冲突",IF(I531="","待补不适用依据","不适用（非实测）")),IF(J531="阻塞",IF(I531="","待补阻塞原因","阻塞（非实测）"),IF(J531&lt;&gt;"已实测",IF(F531="","待展开路径","未实测"),IF(H531&lt;&gt;"适用","待确认适用性",IF(INDEX(Equipment[登记状态（自动）],MATCH(B531,Equipment[组合编号],0))&lt;&gt;"已登记","待补设备组合",IF(AND(F531&lt;&gt;"",G531&lt;&gt;"",K531&lt;&gt;"",L531&lt;&gt;"",M531&lt;&gt;"",N531&lt;&gt;"",ISNUMBER(O531),O531&gt;0,P531&lt;&gt;""),"记录齐全","待补实测记录")))))))))))</x:f>
        <x:v>待展开路径</x:v>
      </x:c>
    </x:row>
    <x:row r="532" ht="43.5" customHeight="1">
      <x:c r="A532" s="20" t="str">
        <x:v>REC-00523</x:v>
      </x:c>
      <x:c r="B532" s="20" t="str">
        <x:v>P1-B5-01</x:v>
      </x:c>
      <x:c r="C532" s="30" t="str">
        <x:f>IF(B532="","",IF(COUNTIFS(Equipment[组合编号],B532)&lt;&gt;1,"组合编号无效",INDEX(Equipment[PLC组],MATCH(B532,Equipment[组合编号],0))))</x:f>
        <x:v>汇川小型</x:v>
      </x:c>
      <x:c r="D532" s="30" t="str">
        <x:f>IF(B532="","",IF(COUNTIFS(Equipment[组合编号],B532)&lt;&gt;1,"组合编号无效",INDEX(Equipment[驱动品牌],MATCH(B532,Equipment[组合编号],0))))</x:f>
        <x:v>KEBA（可选）</x:v>
      </x:c>
      <x:c r="E532" s="20" t="str">
        <x:v>R01</x:v>
      </x:c>
      <x:c r="F532" s="20"/>
      <x:c r="G532" s="20"/>
      <x:c r="H532" s="20" t="str">
        <x:v>待判定</x:v>
      </x:c>
      <x:c r="I532" s="20"/>
      <x:c r="J532" s="20" t="str">
        <x:v>未测试</x:v>
      </x:c>
      <x:c r="K532" s="20"/>
      <x:c r="L532" s="20"/>
      <x:c r="M532" s="20"/>
      <x:c r="N532" s="20"/>
      <x:c r="O532" s="31"/>
      <x:c r="P532" s="20"/>
      <x:c r="Q532" s="20"/>
      <x:c r="R532" s="20" t="str">
        <x:v>待展开</x:v>
      </x:c>
      <x:c r="S532" s="20"/>
      <x:c r="T532" s="31"/>
      <x:c r="U532" s="30" t="str">
        <x:f>IF(A532="","缺记录编号",IF(COUNTIFS(PathRecords[记录编号],A532)&lt;&gt;1,"记录编号重复",IF(OR(B532="",E532=""),"缺组合/功能",IF(COUNTIFS(Equipment[组合编号],B532)&lt;&gt;1,"组合编号无效",IF(COUNTIFS(FunctionMatrix[编号],E532)=0,"功能编号无效",IF(H532="不适用",IF(J532="已实测","适用性冲突",IF(I532="","待补不适用依据","不适用（非实测）")),IF(J532="阻塞",IF(I532="","待补阻塞原因","阻塞（非实测）"),IF(J532&lt;&gt;"已实测",IF(F532="","待展开路径","未实测"),IF(H532&lt;&gt;"适用","待确认适用性",IF(INDEX(Equipment[登记状态（自动）],MATCH(B532,Equipment[组合编号],0))&lt;&gt;"已登记","待补设备组合",IF(AND(F532&lt;&gt;"",G532&lt;&gt;"",K532&lt;&gt;"",L532&lt;&gt;"",M532&lt;&gt;"",N532&lt;&gt;"",ISNUMBER(O532),O532&gt;0,P532&lt;&gt;""),"记录齐全","待补实测记录")))))))))))</x:f>
        <x:v>待展开路径</x:v>
      </x:c>
    </x:row>
    <x:row r="533" ht="43.5" customHeight="1">
      <x:c r="A533" s="20" t="str">
        <x:v>REC-00524</x:v>
      </x:c>
      <x:c r="B533" s="20" t="str">
        <x:v>P1-B5-01</x:v>
      </x:c>
      <x:c r="C533" s="30" t="str">
        <x:f>IF(B533="","",IF(COUNTIFS(Equipment[组合编号],B533)&lt;&gt;1,"组合编号无效",INDEX(Equipment[PLC组],MATCH(B533,Equipment[组合编号],0))))</x:f>
        <x:v>汇川小型</x:v>
      </x:c>
      <x:c r="D533" s="30" t="str">
        <x:f>IF(B533="","",IF(COUNTIFS(Equipment[组合编号],B533)&lt;&gt;1,"组合编号无效",INDEX(Equipment[驱动品牌],MATCH(B533,Equipment[组合编号],0))))</x:f>
        <x:v>KEBA（可选）</x:v>
      </x:c>
      <x:c r="E533" s="20" t="str">
        <x:v>R02</x:v>
      </x:c>
      <x:c r="F533" s="20"/>
      <x:c r="G533" s="20"/>
      <x:c r="H533" s="20" t="str">
        <x:v>待判定</x:v>
      </x:c>
      <x:c r="I533" s="20"/>
      <x:c r="J533" s="20" t="str">
        <x:v>未测试</x:v>
      </x:c>
      <x:c r="K533" s="20"/>
      <x:c r="L533" s="20"/>
      <x:c r="M533" s="20"/>
      <x:c r="N533" s="20"/>
      <x:c r="O533" s="31"/>
      <x:c r="P533" s="20"/>
      <x:c r="Q533" s="20"/>
      <x:c r="R533" s="20" t="str">
        <x:v>待展开</x:v>
      </x:c>
      <x:c r="S533" s="20"/>
      <x:c r="T533" s="31"/>
      <x:c r="U533" s="30" t="str">
        <x:f>IF(A533="","缺记录编号",IF(COUNTIFS(PathRecords[记录编号],A533)&lt;&gt;1,"记录编号重复",IF(OR(B533="",E533=""),"缺组合/功能",IF(COUNTIFS(Equipment[组合编号],B533)&lt;&gt;1,"组合编号无效",IF(COUNTIFS(FunctionMatrix[编号],E533)=0,"功能编号无效",IF(H533="不适用",IF(J533="已实测","适用性冲突",IF(I533="","待补不适用依据","不适用（非实测）")),IF(J533="阻塞",IF(I533="","待补阻塞原因","阻塞（非实测）"),IF(J533&lt;&gt;"已实测",IF(F533="","待展开路径","未实测"),IF(H533&lt;&gt;"适用","待确认适用性",IF(INDEX(Equipment[登记状态（自动）],MATCH(B533,Equipment[组合编号],0))&lt;&gt;"已登记","待补设备组合",IF(AND(F533&lt;&gt;"",G533&lt;&gt;"",K533&lt;&gt;"",L533&lt;&gt;"",M533&lt;&gt;"",N533&lt;&gt;"",ISNUMBER(O533),O533&gt;0,P533&lt;&gt;""),"记录齐全","待补实测记录")))))))))))</x:f>
        <x:v>待展开路径</x:v>
      </x:c>
    </x:row>
    <x:row r="534" ht="43.5" customHeight="1">
      <x:c r="A534" s="20" t="str">
        <x:v>REC-00525</x:v>
      </x:c>
      <x:c r="B534" s="20" t="str">
        <x:v>P1-B5-01</x:v>
      </x:c>
      <x:c r="C534" s="30" t="str">
        <x:f>IF(B534="","",IF(COUNTIFS(Equipment[组合编号],B534)&lt;&gt;1,"组合编号无效",INDEX(Equipment[PLC组],MATCH(B534,Equipment[组合编号],0))))</x:f>
        <x:v>汇川小型</x:v>
      </x:c>
      <x:c r="D534" s="30" t="str">
        <x:f>IF(B534="","",IF(COUNTIFS(Equipment[组合编号],B534)&lt;&gt;1,"组合编号无效",INDEX(Equipment[驱动品牌],MATCH(B534,Equipment[组合编号],0))))</x:f>
        <x:v>KEBA（可选）</x:v>
      </x:c>
      <x:c r="E534" s="20" t="str">
        <x:v>R03</x:v>
      </x:c>
      <x:c r="F534" s="20"/>
      <x:c r="G534" s="20"/>
      <x:c r="H534" s="20" t="str">
        <x:v>待判定</x:v>
      </x:c>
      <x:c r="I534" s="20"/>
      <x:c r="J534" s="20" t="str">
        <x:v>未测试</x:v>
      </x:c>
      <x:c r="K534" s="20"/>
      <x:c r="L534" s="20"/>
      <x:c r="M534" s="20"/>
      <x:c r="N534" s="20"/>
      <x:c r="O534" s="31"/>
      <x:c r="P534" s="20"/>
      <x:c r="Q534" s="20"/>
      <x:c r="R534" s="20" t="str">
        <x:v>待展开</x:v>
      </x:c>
      <x:c r="S534" s="20"/>
      <x:c r="T534" s="31"/>
      <x:c r="U534" s="30" t="str">
        <x:f>IF(A534="","缺记录编号",IF(COUNTIFS(PathRecords[记录编号],A534)&lt;&gt;1,"记录编号重复",IF(OR(B534="",E534=""),"缺组合/功能",IF(COUNTIFS(Equipment[组合编号],B534)&lt;&gt;1,"组合编号无效",IF(COUNTIFS(FunctionMatrix[编号],E534)=0,"功能编号无效",IF(H534="不适用",IF(J534="已实测","适用性冲突",IF(I534="","待补不适用依据","不适用（非实测）")),IF(J534="阻塞",IF(I534="","待补阻塞原因","阻塞（非实测）"),IF(J534&lt;&gt;"已实测",IF(F534="","待展开路径","未实测"),IF(H534&lt;&gt;"适用","待确认适用性",IF(INDEX(Equipment[登记状态（自动）],MATCH(B534,Equipment[组合编号],0))&lt;&gt;"已登记","待补设备组合",IF(AND(F534&lt;&gt;"",G534&lt;&gt;"",K534&lt;&gt;"",L534&lt;&gt;"",M534&lt;&gt;"",N534&lt;&gt;"",ISNUMBER(O534),O534&gt;0,P534&lt;&gt;""),"记录齐全","待补实测记录")))))))))))</x:f>
        <x:v>待展开路径</x:v>
      </x:c>
    </x:row>
    <x:row r="535" ht="43.5" customHeight="1">
      <x:c r="A535" s="20" t="str">
        <x:v>REC-00526</x:v>
      </x:c>
      <x:c r="B535" s="20" t="str">
        <x:v>P1-B5-01</x:v>
      </x:c>
      <x:c r="C535" s="30" t="str">
        <x:f>IF(B535="","",IF(COUNTIFS(Equipment[组合编号],B535)&lt;&gt;1,"组合编号无效",INDEX(Equipment[PLC组],MATCH(B535,Equipment[组合编号],0))))</x:f>
        <x:v>汇川小型</x:v>
      </x:c>
      <x:c r="D535" s="30" t="str">
        <x:f>IF(B535="","",IF(COUNTIFS(Equipment[组合编号],B535)&lt;&gt;1,"组合编号无效",INDEX(Equipment[驱动品牌],MATCH(B535,Equipment[组合编号],0))))</x:f>
        <x:v>KEBA（可选）</x:v>
      </x:c>
      <x:c r="E535" s="20" t="str">
        <x:v>R04</x:v>
      </x:c>
      <x:c r="F535" s="20"/>
      <x:c r="G535" s="20"/>
      <x:c r="H535" s="20" t="str">
        <x:v>待判定</x:v>
      </x:c>
      <x:c r="I535" s="20"/>
      <x:c r="J535" s="20" t="str">
        <x:v>未测试</x:v>
      </x:c>
      <x:c r="K535" s="20"/>
      <x:c r="L535" s="20"/>
      <x:c r="M535" s="20"/>
      <x:c r="N535" s="20"/>
      <x:c r="O535" s="31"/>
      <x:c r="P535" s="20"/>
      <x:c r="Q535" s="20"/>
      <x:c r="R535" s="20" t="str">
        <x:v>待展开</x:v>
      </x:c>
      <x:c r="S535" s="20"/>
      <x:c r="T535" s="31"/>
      <x:c r="U535" s="30" t="str">
        <x:f>IF(A535="","缺记录编号",IF(COUNTIFS(PathRecords[记录编号],A535)&lt;&gt;1,"记录编号重复",IF(OR(B535="",E535=""),"缺组合/功能",IF(COUNTIFS(Equipment[组合编号],B535)&lt;&gt;1,"组合编号无效",IF(COUNTIFS(FunctionMatrix[编号],E535)=0,"功能编号无效",IF(H535="不适用",IF(J535="已实测","适用性冲突",IF(I535="","待补不适用依据","不适用（非实测）")),IF(J535="阻塞",IF(I535="","待补阻塞原因","阻塞（非实测）"),IF(J535&lt;&gt;"已实测",IF(F535="","待展开路径","未实测"),IF(H535&lt;&gt;"适用","待确认适用性",IF(INDEX(Equipment[登记状态（自动）],MATCH(B535,Equipment[组合编号],0))&lt;&gt;"已登记","待补设备组合",IF(AND(F535&lt;&gt;"",G535&lt;&gt;"",K535&lt;&gt;"",L535&lt;&gt;"",M535&lt;&gt;"",N535&lt;&gt;"",ISNUMBER(O535),O535&gt;0,P535&lt;&gt;""),"记录齐全","待补实测记录")))))))))))</x:f>
        <x:v>待展开路径</x:v>
      </x:c>
    </x:row>
    <x:row r="536" ht="43.5" customHeight="1">
      <x:c r="A536" s="20" t="str">
        <x:v>REC-00527</x:v>
      </x:c>
      <x:c r="B536" s="20" t="str">
        <x:v>P1-B5-01</x:v>
      </x:c>
      <x:c r="C536" s="30" t="str">
        <x:f>IF(B536="","",IF(COUNTIFS(Equipment[组合编号],B536)&lt;&gt;1,"组合编号无效",INDEX(Equipment[PLC组],MATCH(B536,Equipment[组合编号],0))))</x:f>
        <x:v>汇川小型</x:v>
      </x:c>
      <x:c r="D536" s="30" t="str">
        <x:f>IF(B536="","",IF(COUNTIFS(Equipment[组合编号],B536)&lt;&gt;1,"组合编号无效",INDEX(Equipment[驱动品牌],MATCH(B536,Equipment[组合编号],0))))</x:f>
        <x:v>KEBA（可选）</x:v>
      </x:c>
      <x:c r="E536" s="20" t="str">
        <x:v>R05</x:v>
      </x:c>
      <x:c r="F536" s="20"/>
      <x:c r="G536" s="20"/>
      <x:c r="H536" s="20" t="str">
        <x:v>待判定</x:v>
      </x:c>
      <x:c r="I536" s="20"/>
      <x:c r="J536" s="20" t="str">
        <x:v>未测试</x:v>
      </x:c>
      <x:c r="K536" s="20"/>
      <x:c r="L536" s="20"/>
      <x:c r="M536" s="20"/>
      <x:c r="N536" s="20"/>
      <x:c r="O536" s="31"/>
      <x:c r="P536" s="20"/>
      <x:c r="Q536" s="20"/>
      <x:c r="R536" s="20" t="str">
        <x:v>待展开</x:v>
      </x:c>
      <x:c r="S536" s="20"/>
      <x:c r="T536" s="31"/>
      <x:c r="U536" s="30" t="str">
        <x:f>IF(A536="","缺记录编号",IF(COUNTIFS(PathRecords[记录编号],A536)&lt;&gt;1,"记录编号重复",IF(OR(B536="",E536=""),"缺组合/功能",IF(COUNTIFS(Equipment[组合编号],B536)&lt;&gt;1,"组合编号无效",IF(COUNTIFS(FunctionMatrix[编号],E536)=0,"功能编号无效",IF(H536="不适用",IF(J536="已实测","适用性冲突",IF(I536="","待补不适用依据","不适用（非实测）")),IF(J536="阻塞",IF(I536="","待补阻塞原因","阻塞（非实测）"),IF(J536&lt;&gt;"已实测",IF(F536="","待展开路径","未实测"),IF(H536&lt;&gt;"适用","待确认适用性",IF(INDEX(Equipment[登记状态（自动）],MATCH(B536,Equipment[组合编号],0))&lt;&gt;"已登记","待补设备组合",IF(AND(F536&lt;&gt;"",G536&lt;&gt;"",K536&lt;&gt;"",L536&lt;&gt;"",M536&lt;&gt;"",N536&lt;&gt;"",ISNUMBER(O536),O536&gt;0,P536&lt;&gt;""),"记录齐全","待补实测记录")))))))))))</x:f>
        <x:v>待展开路径</x:v>
      </x:c>
    </x:row>
    <x:row r="537" ht="43.5" customHeight="1">
      <x:c r="A537" s="20" t="str">
        <x:v>REC-00528</x:v>
      </x:c>
      <x:c r="B537" s="20" t="str">
        <x:v>P1-B5-01</x:v>
      </x:c>
      <x:c r="C537" s="30" t="str">
        <x:f>IF(B537="","",IF(COUNTIFS(Equipment[组合编号],B537)&lt;&gt;1,"组合编号无效",INDEX(Equipment[PLC组],MATCH(B537,Equipment[组合编号],0))))</x:f>
        <x:v>汇川小型</x:v>
      </x:c>
      <x:c r="D537" s="30" t="str">
        <x:f>IF(B537="","",IF(COUNTIFS(Equipment[组合编号],B537)&lt;&gt;1,"组合编号无效",INDEX(Equipment[驱动品牌],MATCH(B537,Equipment[组合编号],0))))</x:f>
        <x:v>KEBA（可选）</x:v>
      </x:c>
      <x:c r="E537" s="20" t="str">
        <x:v>R06</x:v>
      </x:c>
      <x:c r="F537" s="20"/>
      <x:c r="G537" s="20"/>
      <x:c r="H537" s="20" t="str">
        <x:v>待判定</x:v>
      </x:c>
      <x:c r="I537" s="20"/>
      <x:c r="J537" s="20" t="str">
        <x:v>未测试</x:v>
      </x:c>
      <x:c r="K537" s="20"/>
      <x:c r="L537" s="20"/>
      <x:c r="M537" s="20"/>
      <x:c r="N537" s="20"/>
      <x:c r="O537" s="31"/>
      <x:c r="P537" s="20"/>
      <x:c r="Q537" s="20"/>
      <x:c r="R537" s="20" t="str">
        <x:v>待展开</x:v>
      </x:c>
      <x:c r="S537" s="20"/>
      <x:c r="T537" s="31"/>
      <x:c r="U537" s="30" t="str">
        <x:f>IF(A537="","缺记录编号",IF(COUNTIFS(PathRecords[记录编号],A537)&lt;&gt;1,"记录编号重复",IF(OR(B537="",E537=""),"缺组合/功能",IF(COUNTIFS(Equipment[组合编号],B537)&lt;&gt;1,"组合编号无效",IF(COUNTIFS(FunctionMatrix[编号],E537)=0,"功能编号无效",IF(H537="不适用",IF(J537="已实测","适用性冲突",IF(I537="","待补不适用依据","不适用（非实测）")),IF(J537="阻塞",IF(I537="","待补阻塞原因","阻塞（非实测）"),IF(J537&lt;&gt;"已实测",IF(F537="","待展开路径","未实测"),IF(H537&lt;&gt;"适用","待确认适用性",IF(INDEX(Equipment[登记状态（自动）],MATCH(B537,Equipment[组合编号],0))&lt;&gt;"已登记","待补设备组合",IF(AND(F537&lt;&gt;"",G537&lt;&gt;"",K537&lt;&gt;"",L537&lt;&gt;"",M537&lt;&gt;"",N537&lt;&gt;"",ISNUMBER(O537),O537&gt;0,P537&lt;&gt;""),"记录齐全","待补实测记录")))))))))))</x:f>
        <x:v>待展开路径</x:v>
      </x:c>
    </x:row>
    <x:row r="538" ht="43.5" customHeight="1">
      <x:c r="A538" s="20" t="str">
        <x:v>REC-00529</x:v>
      </x:c>
      <x:c r="B538" s="20" t="str">
        <x:v>P1-B5-01</x:v>
      </x:c>
      <x:c r="C538" s="30" t="str">
        <x:f>IF(B538="","",IF(COUNTIFS(Equipment[组合编号],B538)&lt;&gt;1,"组合编号无效",INDEX(Equipment[PLC组],MATCH(B538,Equipment[组合编号],0))))</x:f>
        <x:v>汇川小型</x:v>
      </x:c>
      <x:c r="D538" s="30" t="str">
        <x:f>IF(B538="","",IF(COUNTIFS(Equipment[组合编号],B538)&lt;&gt;1,"组合编号无效",INDEX(Equipment[驱动品牌],MATCH(B538,Equipment[组合编号],0))))</x:f>
        <x:v>KEBA（可选）</x:v>
      </x:c>
      <x:c r="E538" s="20" t="str">
        <x:v>R07</x:v>
      </x:c>
      <x:c r="F538" s="20"/>
      <x:c r="G538" s="20"/>
      <x:c r="H538" s="20" t="str">
        <x:v>待判定</x:v>
      </x:c>
      <x:c r="I538" s="20"/>
      <x:c r="J538" s="20" t="str">
        <x:v>未测试</x:v>
      </x:c>
      <x:c r="K538" s="20"/>
      <x:c r="L538" s="20"/>
      <x:c r="M538" s="20"/>
      <x:c r="N538" s="20"/>
      <x:c r="O538" s="31"/>
      <x:c r="P538" s="20"/>
      <x:c r="Q538" s="20"/>
      <x:c r="R538" s="20" t="str">
        <x:v>待展开</x:v>
      </x:c>
      <x:c r="S538" s="20"/>
      <x:c r="T538" s="31"/>
      <x:c r="U538" s="30" t="str">
        <x:f>IF(A538="","缺记录编号",IF(COUNTIFS(PathRecords[记录编号],A538)&lt;&gt;1,"记录编号重复",IF(OR(B538="",E538=""),"缺组合/功能",IF(COUNTIFS(Equipment[组合编号],B538)&lt;&gt;1,"组合编号无效",IF(COUNTIFS(FunctionMatrix[编号],E538)=0,"功能编号无效",IF(H538="不适用",IF(J538="已实测","适用性冲突",IF(I538="","待补不适用依据","不适用（非实测）")),IF(J538="阻塞",IF(I538="","待补阻塞原因","阻塞（非实测）"),IF(J538&lt;&gt;"已实测",IF(F538="","待展开路径","未实测"),IF(H538&lt;&gt;"适用","待确认适用性",IF(INDEX(Equipment[登记状态（自动）],MATCH(B538,Equipment[组合编号],0))&lt;&gt;"已登记","待补设备组合",IF(AND(F538&lt;&gt;"",G538&lt;&gt;"",K538&lt;&gt;"",L538&lt;&gt;"",M538&lt;&gt;"",N538&lt;&gt;"",ISNUMBER(O538),O538&gt;0,P538&lt;&gt;""),"记录齐全","待补实测记录")))))))))))</x:f>
        <x:v>待展开路径</x:v>
      </x:c>
    </x:row>
    <x:row r="539" ht="43.5" customHeight="1">
      <x:c r="A539" s="20" t="str">
        <x:v>REC-00530</x:v>
      </x:c>
      <x:c r="B539" s="20" t="str">
        <x:v>P1-B5-01</x:v>
      </x:c>
      <x:c r="C539" s="30" t="str">
        <x:f>IF(B539="","",IF(COUNTIFS(Equipment[组合编号],B539)&lt;&gt;1,"组合编号无效",INDEX(Equipment[PLC组],MATCH(B539,Equipment[组合编号],0))))</x:f>
        <x:v>汇川小型</x:v>
      </x:c>
      <x:c r="D539" s="30" t="str">
        <x:f>IF(B539="","",IF(COUNTIFS(Equipment[组合编号],B539)&lt;&gt;1,"组合编号无效",INDEX(Equipment[驱动品牌],MATCH(B539,Equipment[组合编号],0))))</x:f>
        <x:v>KEBA（可选）</x:v>
      </x:c>
      <x:c r="E539" s="20" t="str">
        <x:v>R08</x:v>
      </x:c>
      <x:c r="F539" s="20"/>
      <x:c r="G539" s="20"/>
      <x:c r="H539" s="20" t="str">
        <x:v>待判定</x:v>
      </x:c>
      <x:c r="I539" s="20"/>
      <x:c r="J539" s="20" t="str">
        <x:v>未测试</x:v>
      </x:c>
      <x:c r="K539" s="20"/>
      <x:c r="L539" s="20"/>
      <x:c r="M539" s="20"/>
      <x:c r="N539" s="20"/>
      <x:c r="O539" s="31"/>
      <x:c r="P539" s="20"/>
      <x:c r="Q539" s="20"/>
      <x:c r="R539" s="20" t="str">
        <x:v>待展开</x:v>
      </x:c>
      <x:c r="S539" s="20"/>
      <x:c r="T539" s="31"/>
      <x:c r="U539" s="30" t="str">
        <x:f>IF(A539="","缺记录编号",IF(COUNTIFS(PathRecords[记录编号],A539)&lt;&gt;1,"记录编号重复",IF(OR(B539="",E539=""),"缺组合/功能",IF(COUNTIFS(Equipment[组合编号],B539)&lt;&gt;1,"组合编号无效",IF(COUNTIFS(FunctionMatrix[编号],E539)=0,"功能编号无效",IF(H539="不适用",IF(J539="已实测","适用性冲突",IF(I539="","待补不适用依据","不适用（非实测）")),IF(J539="阻塞",IF(I539="","待补阻塞原因","阻塞（非实测）"),IF(J539&lt;&gt;"已实测",IF(F539="","待展开路径","未实测"),IF(H539&lt;&gt;"适用","待确认适用性",IF(INDEX(Equipment[登记状态（自动）],MATCH(B539,Equipment[组合编号],0))&lt;&gt;"已登记","待补设备组合",IF(AND(F539&lt;&gt;"",G539&lt;&gt;"",K539&lt;&gt;"",L539&lt;&gt;"",M539&lt;&gt;"",N539&lt;&gt;"",ISNUMBER(O539),O539&gt;0,P539&lt;&gt;""),"记录齐全","待补实测记录")))))))))))</x:f>
        <x:v>待展开路径</x:v>
      </x:c>
    </x:row>
    <x:row r="540" ht="43.5" customHeight="1">
      <x:c r="A540" s="20" t="str">
        <x:v>REC-00531</x:v>
      </x:c>
      <x:c r="B540" s="20" t="str">
        <x:v>P2-B1-01</x:v>
      </x:c>
      <x:c r="C540" s="30" t="str">
        <x:f>IF(B540="","",IF(COUNTIFS(Equipment[组合编号],B540)&lt;&gt;1,"组合编号无效",INDEX(Equipment[PLC组],MATCH(B540,Equipment[组合编号],0))))</x:f>
        <x:v>汇川中大型</x:v>
      </x:c>
      <x:c r="D540" s="30" t="str">
        <x:f>IF(B540="","",IF(COUNTIFS(Equipment[组合编号],B540)&lt;&gt;1,"组合编号无效",INDEX(Equipment[驱动品牌],MATCH(B540,Equipment[组合编号],0))))</x:f>
        <x:v>CDHD</x:v>
      </x:c>
      <x:c r="E540" s="20" t="str">
        <x:v>M01</x:v>
      </x:c>
      <x:c r="F540" s="20"/>
      <x:c r="G540" s="20"/>
      <x:c r="H540" s="20" t="str">
        <x:v>待判定</x:v>
      </x:c>
      <x:c r="I540" s="20"/>
      <x:c r="J540" s="20" t="str">
        <x:v>未测试</x:v>
      </x:c>
      <x:c r="K540" s="20"/>
      <x:c r="L540" s="20"/>
      <x:c r="M540" s="20"/>
      <x:c r="N540" s="20"/>
      <x:c r="O540" s="31"/>
      <x:c r="P540" s="20"/>
      <x:c r="Q540" s="20"/>
      <x:c r="R540" s="20" t="str">
        <x:v>待展开</x:v>
      </x:c>
      <x:c r="S540" s="20"/>
      <x:c r="T540" s="31"/>
      <x:c r="U540" s="30" t="str">
        <x:f>IF(A540="","缺记录编号",IF(COUNTIFS(PathRecords[记录编号],A540)&lt;&gt;1,"记录编号重复",IF(OR(B540="",E540=""),"缺组合/功能",IF(COUNTIFS(Equipment[组合编号],B540)&lt;&gt;1,"组合编号无效",IF(COUNTIFS(FunctionMatrix[编号],E540)=0,"功能编号无效",IF(H540="不适用",IF(J540="已实测","适用性冲突",IF(I540="","待补不适用依据","不适用（非实测）")),IF(J540="阻塞",IF(I540="","待补阻塞原因","阻塞（非实测）"),IF(J540&lt;&gt;"已实测",IF(F540="","待展开路径","未实测"),IF(H540&lt;&gt;"适用","待确认适用性",IF(INDEX(Equipment[登记状态（自动）],MATCH(B540,Equipment[组合编号],0))&lt;&gt;"已登记","待补设备组合",IF(AND(F540&lt;&gt;"",G540&lt;&gt;"",K540&lt;&gt;"",L540&lt;&gt;"",M540&lt;&gt;"",N540&lt;&gt;"",ISNUMBER(O540),O540&gt;0,P540&lt;&gt;""),"记录齐全","待补实测记录")))))))))))</x:f>
        <x:v>待展开路径</x:v>
      </x:c>
    </x:row>
    <x:row r="541" ht="43.5" customHeight="1">
      <x:c r="A541" s="20" t="str">
        <x:v>REC-00532</x:v>
      </x:c>
      <x:c r="B541" s="20" t="str">
        <x:v>P2-B1-01</x:v>
      </x:c>
      <x:c r="C541" s="30" t="str">
        <x:f>IF(B541="","",IF(COUNTIFS(Equipment[组合编号],B541)&lt;&gt;1,"组合编号无效",INDEX(Equipment[PLC组],MATCH(B541,Equipment[组合编号],0))))</x:f>
        <x:v>汇川中大型</x:v>
      </x:c>
      <x:c r="D541" s="30" t="str">
        <x:f>IF(B541="","",IF(COUNTIFS(Equipment[组合编号],B541)&lt;&gt;1,"组合编号无效",INDEX(Equipment[驱动品牌],MATCH(B541,Equipment[组合编号],0))))</x:f>
        <x:v>CDHD</x:v>
      </x:c>
      <x:c r="E541" s="20" t="str">
        <x:v>M02</x:v>
      </x:c>
      <x:c r="F541" s="20"/>
      <x:c r="G541" s="20"/>
      <x:c r="H541" s="20" t="str">
        <x:v>待判定</x:v>
      </x:c>
      <x:c r="I541" s="20"/>
      <x:c r="J541" s="20" t="str">
        <x:v>未测试</x:v>
      </x:c>
      <x:c r="K541" s="20"/>
      <x:c r="L541" s="20"/>
      <x:c r="M541" s="20"/>
      <x:c r="N541" s="20"/>
      <x:c r="O541" s="31"/>
      <x:c r="P541" s="20"/>
      <x:c r="Q541" s="20"/>
      <x:c r="R541" s="20" t="str">
        <x:v>待展开</x:v>
      </x:c>
      <x:c r="S541" s="20"/>
      <x:c r="T541" s="31"/>
      <x:c r="U541" s="30" t="str">
        <x:f>IF(A541="","缺记录编号",IF(COUNTIFS(PathRecords[记录编号],A541)&lt;&gt;1,"记录编号重复",IF(OR(B541="",E541=""),"缺组合/功能",IF(COUNTIFS(Equipment[组合编号],B541)&lt;&gt;1,"组合编号无效",IF(COUNTIFS(FunctionMatrix[编号],E541)=0,"功能编号无效",IF(H541="不适用",IF(J541="已实测","适用性冲突",IF(I541="","待补不适用依据","不适用（非实测）")),IF(J541="阻塞",IF(I541="","待补阻塞原因","阻塞（非实测）"),IF(J541&lt;&gt;"已实测",IF(F541="","待展开路径","未实测"),IF(H541&lt;&gt;"适用","待确认适用性",IF(INDEX(Equipment[登记状态（自动）],MATCH(B541,Equipment[组合编号],0))&lt;&gt;"已登记","待补设备组合",IF(AND(F541&lt;&gt;"",G541&lt;&gt;"",K541&lt;&gt;"",L541&lt;&gt;"",M541&lt;&gt;"",N541&lt;&gt;"",ISNUMBER(O541),O541&gt;0,P541&lt;&gt;""),"记录齐全","待补实测记录")))))))))))</x:f>
        <x:v>待展开路径</x:v>
      </x:c>
    </x:row>
    <x:row r="542" ht="43.5" customHeight="1">
      <x:c r="A542" s="20" t="str">
        <x:v>REC-00533</x:v>
      </x:c>
      <x:c r="B542" s="20" t="str">
        <x:v>P2-B1-01</x:v>
      </x:c>
      <x:c r="C542" s="30" t="str">
        <x:f>IF(B542="","",IF(COUNTIFS(Equipment[组合编号],B542)&lt;&gt;1,"组合编号无效",INDEX(Equipment[PLC组],MATCH(B542,Equipment[组合编号],0))))</x:f>
        <x:v>汇川中大型</x:v>
      </x:c>
      <x:c r="D542" s="30" t="str">
        <x:f>IF(B542="","",IF(COUNTIFS(Equipment[组合编号],B542)&lt;&gt;1,"组合编号无效",INDEX(Equipment[驱动品牌],MATCH(B542,Equipment[组合编号],0))))</x:f>
        <x:v>CDHD</x:v>
      </x:c>
      <x:c r="E542" s="20" t="str">
        <x:v>M03</x:v>
      </x:c>
      <x:c r="F542" s="20"/>
      <x:c r="G542" s="20"/>
      <x:c r="H542" s="20" t="str">
        <x:v>待判定</x:v>
      </x:c>
      <x:c r="I542" s="20"/>
      <x:c r="J542" s="20" t="str">
        <x:v>未测试</x:v>
      </x:c>
      <x:c r="K542" s="20"/>
      <x:c r="L542" s="20"/>
      <x:c r="M542" s="20"/>
      <x:c r="N542" s="20"/>
      <x:c r="O542" s="31"/>
      <x:c r="P542" s="20"/>
      <x:c r="Q542" s="20"/>
      <x:c r="R542" s="20" t="str">
        <x:v>待展开</x:v>
      </x:c>
      <x:c r="S542" s="20"/>
      <x:c r="T542" s="31"/>
      <x:c r="U542" s="30" t="str">
        <x:f>IF(A542="","缺记录编号",IF(COUNTIFS(PathRecords[记录编号],A542)&lt;&gt;1,"记录编号重复",IF(OR(B542="",E542=""),"缺组合/功能",IF(COUNTIFS(Equipment[组合编号],B542)&lt;&gt;1,"组合编号无效",IF(COUNTIFS(FunctionMatrix[编号],E542)=0,"功能编号无效",IF(H542="不适用",IF(J542="已实测","适用性冲突",IF(I542="","待补不适用依据","不适用（非实测）")),IF(J542="阻塞",IF(I542="","待补阻塞原因","阻塞（非实测）"),IF(J542&lt;&gt;"已实测",IF(F542="","待展开路径","未实测"),IF(H542&lt;&gt;"适用","待确认适用性",IF(INDEX(Equipment[登记状态（自动）],MATCH(B542,Equipment[组合编号],0))&lt;&gt;"已登记","待补设备组合",IF(AND(F542&lt;&gt;"",G542&lt;&gt;"",K542&lt;&gt;"",L542&lt;&gt;"",M542&lt;&gt;"",N542&lt;&gt;"",ISNUMBER(O542),O542&gt;0,P542&lt;&gt;""),"记录齐全","待补实测记录")))))))))))</x:f>
        <x:v>待展开路径</x:v>
      </x:c>
    </x:row>
    <x:row r="543" ht="43.5" customHeight="1">
      <x:c r="A543" s="20" t="str">
        <x:v>REC-00534</x:v>
      </x:c>
      <x:c r="B543" s="20" t="str">
        <x:v>P2-B1-01</x:v>
      </x:c>
      <x:c r="C543" s="30" t="str">
        <x:f>IF(B543="","",IF(COUNTIFS(Equipment[组合编号],B543)&lt;&gt;1,"组合编号无效",INDEX(Equipment[PLC组],MATCH(B543,Equipment[组合编号],0))))</x:f>
        <x:v>汇川中大型</x:v>
      </x:c>
      <x:c r="D543" s="30" t="str">
        <x:f>IF(B543="","",IF(COUNTIFS(Equipment[组合编号],B543)&lt;&gt;1,"组合编号无效",INDEX(Equipment[驱动品牌],MATCH(B543,Equipment[组合编号],0))))</x:f>
        <x:v>CDHD</x:v>
      </x:c>
      <x:c r="E543" s="20" t="str">
        <x:v>M04</x:v>
      </x:c>
      <x:c r="F543" s="20"/>
      <x:c r="G543" s="20"/>
      <x:c r="H543" s="20" t="str">
        <x:v>待判定</x:v>
      </x:c>
      <x:c r="I543" s="20"/>
      <x:c r="J543" s="20" t="str">
        <x:v>未测试</x:v>
      </x:c>
      <x:c r="K543" s="20"/>
      <x:c r="L543" s="20"/>
      <x:c r="M543" s="20"/>
      <x:c r="N543" s="20"/>
      <x:c r="O543" s="31"/>
      <x:c r="P543" s="20"/>
      <x:c r="Q543" s="20"/>
      <x:c r="R543" s="20" t="str">
        <x:v>待展开</x:v>
      </x:c>
      <x:c r="S543" s="20"/>
      <x:c r="T543" s="31"/>
      <x:c r="U543" s="30" t="str">
        <x:f>IF(A543="","缺记录编号",IF(COUNTIFS(PathRecords[记录编号],A543)&lt;&gt;1,"记录编号重复",IF(OR(B543="",E543=""),"缺组合/功能",IF(COUNTIFS(Equipment[组合编号],B543)&lt;&gt;1,"组合编号无效",IF(COUNTIFS(FunctionMatrix[编号],E543)=0,"功能编号无效",IF(H543="不适用",IF(J543="已实测","适用性冲突",IF(I543="","待补不适用依据","不适用（非实测）")),IF(J543="阻塞",IF(I543="","待补阻塞原因","阻塞（非实测）"),IF(J543&lt;&gt;"已实测",IF(F543="","待展开路径","未实测"),IF(H543&lt;&gt;"适用","待确认适用性",IF(INDEX(Equipment[登记状态（自动）],MATCH(B543,Equipment[组合编号],0))&lt;&gt;"已登记","待补设备组合",IF(AND(F543&lt;&gt;"",G543&lt;&gt;"",K543&lt;&gt;"",L543&lt;&gt;"",M543&lt;&gt;"",N543&lt;&gt;"",ISNUMBER(O543),O543&gt;0,P543&lt;&gt;""),"记录齐全","待补实测记录")))))))))))</x:f>
        <x:v>待展开路径</x:v>
      </x:c>
    </x:row>
    <x:row r="544" ht="43.5" customHeight="1">
      <x:c r="A544" s="20" t="str">
        <x:v>REC-00535</x:v>
      </x:c>
      <x:c r="B544" s="20" t="str">
        <x:v>P2-B1-01</x:v>
      </x:c>
      <x:c r="C544" s="30" t="str">
        <x:f>IF(B544="","",IF(COUNTIFS(Equipment[组合编号],B544)&lt;&gt;1,"组合编号无效",INDEX(Equipment[PLC组],MATCH(B544,Equipment[组合编号],0))))</x:f>
        <x:v>汇川中大型</x:v>
      </x:c>
      <x:c r="D544" s="30" t="str">
        <x:f>IF(B544="","",IF(COUNTIFS(Equipment[组合编号],B544)&lt;&gt;1,"组合编号无效",INDEX(Equipment[驱动品牌],MATCH(B544,Equipment[组合编号],0))))</x:f>
        <x:v>CDHD</x:v>
      </x:c>
      <x:c r="E544" s="20" t="str">
        <x:v>M05</x:v>
      </x:c>
      <x:c r="F544" s="20"/>
      <x:c r="G544" s="20"/>
      <x:c r="H544" s="20" t="str">
        <x:v>待判定</x:v>
      </x:c>
      <x:c r="I544" s="20"/>
      <x:c r="J544" s="20" t="str">
        <x:v>未测试</x:v>
      </x:c>
      <x:c r="K544" s="20"/>
      <x:c r="L544" s="20"/>
      <x:c r="M544" s="20"/>
      <x:c r="N544" s="20"/>
      <x:c r="O544" s="31"/>
      <x:c r="P544" s="20"/>
      <x:c r="Q544" s="20"/>
      <x:c r="R544" s="20" t="str">
        <x:v>待展开</x:v>
      </x:c>
      <x:c r="S544" s="20"/>
      <x:c r="T544" s="31"/>
      <x:c r="U544" s="30" t="str">
        <x:f>IF(A544="","缺记录编号",IF(COUNTIFS(PathRecords[记录编号],A544)&lt;&gt;1,"记录编号重复",IF(OR(B544="",E544=""),"缺组合/功能",IF(COUNTIFS(Equipment[组合编号],B544)&lt;&gt;1,"组合编号无效",IF(COUNTIFS(FunctionMatrix[编号],E544)=0,"功能编号无效",IF(H544="不适用",IF(J544="已实测","适用性冲突",IF(I544="","待补不适用依据","不适用（非实测）")),IF(J544="阻塞",IF(I544="","待补阻塞原因","阻塞（非实测）"),IF(J544&lt;&gt;"已实测",IF(F544="","待展开路径","未实测"),IF(H544&lt;&gt;"适用","待确认适用性",IF(INDEX(Equipment[登记状态（自动）],MATCH(B544,Equipment[组合编号],0))&lt;&gt;"已登记","待补设备组合",IF(AND(F544&lt;&gt;"",G544&lt;&gt;"",K544&lt;&gt;"",L544&lt;&gt;"",M544&lt;&gt;"",N544&lt;&gt;"",ISNUMBER(O544),O544&gt;0,P544&lt;&gt;""),"记录齐全","待补实测记录")))))))))))</x:f>
        <x:v>待展开路径</x:v>
      </x:c>
    </x:row>
    <x:row r="545" ht="43.5" customHeight="1">
      <x:c r="A545" s="20" t="str">
        <x:v>REC-00536</x:v>
      </x:c>
      <x:c r="B545" s="20" t="str">
        <x:v>P2-B1-01</x:v>
      </x:c>
      <x:c r="C545" s="30" t="str">
        <x:f>IF(B545="","",IF(COUNTIFS(Equipment[组合编号],B545)&lt;&gt;1,"组合编号无效",INDEX(Equipment[PLC组],MATCH(B545,Equipment[组合编号],0))))</x:f>
        <x:v>汇川中大型</x:v>
      </x:c>
      <x:c r="D545" s="30" t="str">
        <x:f>IF(B545="","",IF(COUNTIFS(Equipment[组合编号],B545)&lt;&gt;1,"组合编号无效",INDEX(Equipment[驱动品牌],MATCH(B545,Equipment[组合编号],0))))</x:f>
        <x:v>CDHD</x:v>
      </x:c>
      <x:c r="E545" s="20" t="str">
        <x:v>M06</x:v>
      </x:c>
      <x:c r="F545" s="20"/>
      <x:c r="G545" s="20"/>
      <x:c r="H545" s="20" t="str">
        <x:v>待判定</x:v>
      </x:c>
      <x:c r="I545" s="20"/>
      <x:c r="J545" s="20" t="str">
        <x:v>未测试</x:v>
      </x:c>
      <x:c r="K545" s="20"/>
      <x:c r="L545" s="20"/>
      <x:c r="M545" s="20"/>
      <x:c r="N545" s="20"/>
      <x:c r="O545" s="31"/>
      <x:c r="P545" s="20"/>
      <x:c r="Q545" s="20"/>
      <x:c r="R545" s="20" t="str">
        <x:v>待展开</x:v>
      </x:c>
      <x:c r="S545" s="20"/>
      <x:c r="T545" s="31"/>
      <x:c r="U545" s="30" t="str">
        <x:f>IF(A545="","缺记录编号",IF(COUNTIFS(PathRecords[记录编号],A545)&lt;&gt;1,"记录编号重复",IF(OR(B545="",E545=""),"缺组合/功能",IF(COUNTIFS(Equipment[组合编号],B545)&lt;&gt;1,"组合编号无效",IF(COUNTIFS(FunctionMatrix[编号],E545)=0,"功能编号无效",IF(H545="不适用",IF(J545="已实测","适用性冲突",IF(I545="","待补不适用依据","不适用（非实测）")),IF(J545="阻塞",IF(I545="","待补阻塞原因","阻塞（非实测）"),IF(J545&lt;&gt;"已实测",IF(F545="","待展开路径","未实测"),IF(H545&lt;&gt;"适用","待确认适用性",IF(INDEX(Equipment[登记状态（自动）],MATCH(B545,Equipment[组合编号],0))&lt;&gt;"已登记","待补设备组合",IF(AND(F545&lt;&gt;"",G545&lt;&gt;"",K545&lt;&gt;"",L545&lt;&gt;"",M545&lt;&gt;"",N545&lt;&gt;"",ISNUMBER(O545),O545&gt;0,P545&lt;&gt;""),"记录齐全","待补实测记录")))))))))))</x:f>
        <x:v>待展开路径</x:v>
      </x:c>
    </x:row>
    <x:row r="546" ht="43.5" customHeight="1">
      <x:c r="A546" s="20" t="str">
        <x:v>REC-00537</x:v>
      </x:c>
      <x:c r="B546" s="20" t="str">
        <x:v>P2-B1-01</x:v>
      </x:c>
      <x:c r="C546" s="30" t="str">
        <x:f>IF(B546="","",IF(COUNTIFS(Equipment[组合编号],B546)&lt;&gt;1,"组合编号无效",INDEX(Equipment[PLC组],MATCH(B546,Equipment[组合编号],0))))</x:f>
        <x:v>汇川中大型</x:v>
      </x:c>
      <x:c r="D546" s="30" t="str">
        <x:f>IF(B546="","",IF(COUNTIFS(Equipment[组合编号],B546)&lt;&gt;1,"组合编号无效",INDEX(Equipment[驱动品牌],MATCH(B546,Equipment[组合编号],0))))</x:f>
        <x:v>CDHD</x:v>
      </x:c>
      <x:c r="E546" s="20" t="str">
        <x:v>M07</x:v>
      </x:c>
      <x:c r="F546" s="20"/>
      <x:c r="G546" s="20"/>
      <x:c r="H546" s="20" t="str">
        <x:v>待判定</x:v>
      </x:c>
      <x:c r="I546" s="20"/>
      <x:c r="J546" s="20" t="str">
        <x:v>未测试</x:v>
      </x:c>
      <x:c r="K546" s="20"/>
      <x:c r="L546" s="20"/>
      <x:c r="M546" s="20"/>
      <x:c r="N546" s="20"/>
      <x:c r="O546" s="31"/>
      <x:c r="P546" s="20"/>
      <x:c r="Q546" s="20"/>
      <x:c r="R546" s="20" t="str">
        <x:v>待展开</x:v>
      </x:c>
      <x:c r="S546" s="20"/>
      <x:c r="T546" s="31"/>
      <x:c r="U546" s="30" t="str">
        <x:f>IF(A546="","缺记录编号",IF(COUNTIFS(PathRecords[记录编号],A546)&lt;&gt;1,"记录编号重复",IF(OR(B546="",E546=""),"缺组合/功能",IF(COUNTIFS(Equipment[组合编号],B546)&lt;&gt;1,"组合编号无效",IF(COUNTIFS(FunctionMatrix[编号],E546)=0,"功能编号无效",IF(H546="不适用",IF(J546="已实测","适用性冲突",IF(I546="","待补不适用依据","不适用（非实测）")),IF(J546="阻塞",IF(I546="","待补阻塞原因","阻塞（非实测）"),IF(J546&lt;&gt;"已实测",IF(F546="","待展开路径","未实测"),IF(H546&lt;&gt;"适用","待确认适用性",IF(INDEX(Equipment[登记状态（自动）],MATCH(B546,Equipment[组合编号],0))&lt;&gt;"已登记","待补设备组合",IF(AND(F546&lt;&gt;"",G546&lt;&gt;"",K546&lt;&gt;"",L546&lt;&gt;"",M546&lt;&gt;"",N546&lt;&gt;"",ISNUMBER(O546),O546&gt;0,P546&lt;&gt;""),"记录齐全","待补实测记录")))))))))))</x:f>
        <x:v>待展开路径</x:v>
      </x:c>
    </x:row>
    <x:row r="547" ht="43.5" customHeight="1">
      <x:c r="A547" s="20" t="str">
        <x:v>REC-00538</x:v>
      </x:c>
      <x:c r="B547" s="20" t="str">
        <x:v>P2-B1-01</x:v>
      </x:c>
      <x:c r="C547" s="30" t="str">
        <x:f>IF(B547="","",IF(COUNTIFS(Equipment[组合编号],B547)&lt;&gt;1,"组合编号无效",INDEX(Equipment[PLC组],MATCH(B547,Equipment[组合编号],0))))</x:f>
        <x:v>汇川中大型</x:v>
      </x:c>
      <x:c r="D547" s="30" t="str">
        <x:f>IF(B547="","",IF(COUNTIFS(Equipment[组合编号],B547)&lt;&gt;1,"组合编号无效",INDEX(Equipment[驱动品牌],MATCH(B547,Equipment[组合编号],0))))</x:f>
        <x:v>CDHD</x:v>
      </x:c>
      <x:c r="E547" s="20" t="str">
        <x:v>M09</x:v>
      </x:c>
      <x:c r="F547" s="20"/>
      <x:c r="G547" s="20"/>
      <x:c r="H547" s="20" t="str">
        <x:v>待判定</x:v>
      </x:c>
      <x:c r="I547" s="20"/>
      <x:c r="J547" s="20" t="str">
        <x:v>未测试</x:v>
      </x:c>
      <x:c r="K547" s="20"/>
      <x:c r="L547" s="20"/>
      <x:c r="M547" s="20"/>
      <x:c r="N547" s="20"/>
      <x:c r="O547" s="31"/>
      <x:c r="P547" s="20"/>
      <x:c r="Q547" s="20"/>
      <x:c r="R547" s="20" t="str">
        <x:v>待展开</x:v>
      </x:c>
      <x:c r="S547" s="20"/>
      <x:c r="T547" s="31"/>
      <x:c r="U547" s="30" t="str">
        <x:f>IF(A547="","缺记录编号",IF(COUNTIFS(PathRecords[记录编号],A547)&lt;&gt;1,"记录编号重复",IF(OR(B547="",E547=""),"缺组合/功能",IF(COUNTIFS(Equipment[组合编号],B547)&lt;&gt;1,"组合编号无效",IF(COUNTIFS(FunctionMatrix[编号],E547)=0,"功能编号无效",IF(H547="不适用",IF(J547="已实测","适用性冲突",IF(I547="","待补不适用依据","不适用（非实测）")),IF(J547="阻塞",IF(I547="","待补阻塞原因","阻塞（非实测）"),IF(J547&lt;&gt;"已实测",IF(F547="","待展开路径","未实测"),IF(H547&lt;&gt;"适用","待确认适用性",IF(INDEX(Equipment[登记状态（自动）],MATCH(B547,Equipment[组合编号],0))&lt;&gt;"已登记","待补设备组合",IF(AND(F547&lt;&gt;"",G547&lt;&gt;"",K547&lt;&gt;"",L547&lt;&gt;"",M547&lt;&gt;"",N547&lt;&gt;"",ISNUMBER(O547),O547&gt;0,P547&lt;&gt;""),"记录齐全","待补实测记录")))))))))))</x:f>
        <x:v>待展开路径</x:v>
      </x:c>
    </x:row>
    <x:row r="548" ht="43.5" customHeight="1">
      <x:c r="A548" s="20" t="str">
        <x:v>REC-00539</x:v>
      </x:c>
      <x:c r="B548" s="20" t="str">
        <x:v>P2-B1-01</x:v>
      </x:c>
      <x:c r="C548" s="30" t="str">
        <x:f>IF(B548="","",IF(COUNTIFS(Equipment[组合编号],B548)&lt;&gt;1,"组合编号无效",INDEX(Equipment[PLC组],MATCH(B548,Equipment[组合编号],0))))</x:f>
        <x:v>汇川中大型</x:v>
      </x:c>
      <x:c r="D548" s="30" t="str">
        <x:f>IF(B548="","",IF(COUNTIFS(Equipment[组合编号],B548)&lt;&gt;1,"组合编号无效",INDEX(Equipment[驱动品牌],MATCH(B548,Equipment[组合编号],0))))</x:f>
        <x:v>CDHD</x:v>
      </x:c>
      <x:c r="E548" s="20" t="str">
        <x:v>M10</x:v>
      </x:c>
      <x:c r="F548" s="20"/>
      <x:c r="G548" s="20"/>
      <x:c r="H548" s="20" t="str">
        <x:v>待判定</x:v>
      </x:c>
      <x:c r="I548" s="20"/>
      <x:c r="J548" s="20" t="str">
        <x:v>未测试</x:v>
      </x:c>
      <x:c r="K548" s="20"/>
      <x:c r="L548" s="20"/>
      <x:c r="M548" s="20"/>
      <x:c r="N548" s="20"/>
      <x:c r="O548" s="31"/>
      <x:c r="P548" s="20"/>
      <x:c r="Q548" s="20"/>
      <x:c r="R548" s="20" t="str">
        <x:v>待展开</x:v>
      </x:c>
      <x:c r="S548" s="20"/>
      <x:c r="T548" s="31"/>
      <x:c r="U548" s="30" t="str">
        <x:f>IF(A548="","缺记录编号",IF(COUNTIFS(PathRecords[记录编号],A548)&lt;&gt;1,"记录编号重复",IF(OR(B548="",E548=""),"缺组合/功能",IF(COUNTIFS(Equipment[组合编号],B548)&lt;&gt;1,"组合编号无效",IF(COUNTIFS(FunctionMatrix[编号],E548)=0,"功能编号无效",IF(H548="不适用",IF(J548="已实测","适用性冲突",IF(I548="","待补不适用依据","不适用（非实测）")),IF(J548="阻塞",IF(I548="","待补阻塞原因","阻塞（非实测）"),IF(J548&lt;&gt;"已实测",IF(F548="","待展开路径","未实测"),IF(H548&lt;&gt;"适用","待确认适用性",IF(INDEX(Equipment[登记状态（自动）],MATCH(B548,Equipment[组合编号],0))&lt;&gt;"已登记","待补设备组合",IF(AND(F548&lt;&gt;"",G548&lt;&gt;"",K548&lt;&gt;"",L548&lt;&gt;"",M548&lt;&gt;"",N548&lt;&gt;"",ISNUMBER(O548),O548&gt;0,P548&lt;&gt;""),"记录齐全","待补实测记录")))))))))))</x:f>
        <x:v>待展开路径</x:v>
      </x:c>
    </x:row>
    <x:row r="549" ht="43.5" customHeight="1">
      <x:c r="A549" s="20" t="str">
        <x:v>REC-00540</x:v>
      </x:c>
      <x:c r="B549" s="20" t="str">
        <x:v>P2-B1-01</x:v>
      </x:c>
      <x:c r="C549" s="30" t="str">
        <x:f>IF(B549="","",IF(COUNTIFS(Equipment[组合编号],B549)&lt;&gt;1,"组合编号无效",INDEX(Equipment[PLC组],MATCH(B549,Equipment[组合编号],0))))</x:f>
        <x:v>汇川中大型</x:v>
      </x:c>
      <x:c r="D549" s="30" t="str">
        <x:f>IF(B549="","",IF(COUNTIFS(Equipment[组合编号],B549)&lt;&gt;1,"组合编号无效",INDEX(Equipment[驱动品牌],MATCH(B549,Equipment[组合编号],0))))</x:f>
        <x:v>CDHD</x:v>
      </x:c>
      <x:c r="E549" s="20" t="str">
        <x:v>D01</x:v>
      </x:c>
      <x:c r="F549" s="20"/>
      <x:c r="G549" s="20"/>
      <x:c r="H549" s="20" t="str">
        <x:v>待判定</x:v>
      </x:c>
      <x:c r="I549" s="20"/>
      <x:c r="J549" s="20" t="str">
        <x:v>未测试</x:v>
      </x:c>
      <x:c r="K549" s="20"/>
      <x:c r="L549" s="20"/>
      <x:c r="M549" s="20"/>
      <x:c r="N549" s="20"/>
      <x:c r="O549" s="31"/>
      <x:c r="P549" s="20"/>
      <x:c r="Q549" s="20"/>
      <x:c r="R549" s="20" t="str">
        <x:v>待展开</x:v>
      </x:c>
      <x:c r="S549" s="20"/>
      <x:c r="T549" s="31"/>
      <x:c r="U549" s="30" t="str">
        <x:f>IF(A549="","缺记录编号",IF(COUNTIFS(PathRecords[记录编号],A549)&lt;&gt;1,"记录编号重复",IF(OR(B549="",E549=""),"缺组合/功能",IF(COUNTIFS(Equipment[组合编号],B549)&lt;&gt;1,"组合编号无效",IF(COUNTIFS(FunctionMatrix[编号],E549)=0,"功能编号无效",IF(H549="不适用",IF(J549="已实测","适用性冲突",IF(I549="","待补不适用依据","不适用（非实测）")),IF(J549="阻塞",IF(I549="","待补阻塞原因","阻塞（非实测）"),IF(J549&lt;&gt;"已实测",IF(F549="","待展开路径","未实测"),IF(H549&lt;&gt;"适用","待确认适用性",IF(INDEX(Equipment[登记状态（自动）],MATCH(B549,Equipment[组合编号],0))&lt;&gt;"已登记","待补设备组合",IF(AND(F549&lt;&gt;"",G549&lt;&gt;"",K549&lt;&gt;"",L549&lt;&gt;"",M549&lt;&gt;"",N549&lt;&gt;"",ISNUMBER(O549),O549&gt;0,P549&lt;&gt;""),"记录齐全","待补实测记录")))))))))))</x:f>
        <x:v>待展开路径</x:v>
      </x:c>
    </x:row>
    <x:row r="550" ht="43.5" customHeight="1">
      <x:c r="A550" s="20" t="str">
        <x:v>REC-00541</x:v>
      </x:c>
      <x:c r="B550" s="20" t="str">
        <x:v>P2-B1-01</x:v>
      </x:c>
      <x:c r="C550" s="30" t="str">
        <x:f>IF(B550="","",IF(COUNTIFS(Equipment[组合编号],B550)&lt;&gt;1,"组合编号无效",INDEX(Equipment[PLC组],MATCH(B550,Equipment[组合编号],0))))</x:f>
        <x:v>汇川中大型</x:v>
      </x:c>
      <x:c r="D550" s="30" t="str">
        <x:f>IF(B550="","",IF(COUNTIFS(Equipment[组合编号],B550)&lt;&gt;1,"组合编号无效",INDEX(Equipment[驱动品牌],MATCH(B550,Equipment[组合编号],0))))</x:f>
        <x:v>CDHD</x:v>
      </x:c>
      <x:c r="E550" s="20" t="str">
        <x:v>D02</x:v>
      </x:c>
      <x:c r="F550" s="20"/>
      <x:c r="G550" s="20"/>
      <x:c r="H550" s="20" t="str">
        <x:v>待判定</x:v>
      </x:c>
      <x:c r="I550" s="20"/>
      <x:c r="J550" s="20" t="str">
        <x:v>未测试</x:v>
      </x:c>
      <x:c r="K550" s="20"/>
      <x:c r="L550" s="20"/>
      <x:c r="M550" s="20"/>
      <x:c r="N550" s="20"/>
      <x:c r="O550" s="31"/>
      <x:c r="P550" s="20"/>
      <x:c r="Q550" s="20"/>
      <x:c r="R550" s="20" t="str">
        <x:v>待展开</x:v>
      </x:c>
      <x:c r="S550" s="20"/>
      <x:c r="T550" s="31"/>
      <x:c r="U550" s="30" t="str">
        <x:f>IF(A550="","缺记录编号",IF(COUNTIFS(PathRecords[记录编号],A550)&lt;&gt;1,"记录编号重复",IF(OR(B550="",E550=""),"缺组合/功能",IF(COUNTIFS(Equipment[组合编号],B550)&lt;&gt;1,"组合编号无效",IF(COUNTIFS(FunctionMatrix[编号],E550)=0,"功能编号无效",IF(H550="不适用",IF(J550="已实测","适用性冲突",IF(I550="","待补不适用依据","不适用（非实测）")),IF(J550="阻塞",IF(I550="","待补阻塞原因","阻塞（非实测）"),IF(J550&lt;&gt;"已实测",IF(F550="","待展开路径","未实测"),IF(H550&lt;&gt;"适用","待确认适用性",IF(INDEX(Equipment[登记状态（自动）],MATCH(B550,Equipment[组合编号],0))&lt;&gt;"已登记","待补设备组合",IF(AND(F550&lt;&gt;"",G550&lt;&gt;"",K550&lt;&gt;"",L550&lt;&gt;"",M550&lt;&gt;"",N550&lt;&gt;"",ISNUMBER(O550),O550&gt;0,P550&lt;&gt;""),"记录齐全","待补实测记录")))))))))))</x:f>
        <x:v>待展开路径</x:v>
      </x:c>
    </x:row>
    <x:row r="551" ht="43.5" customHeight="1">
      <x:c r="A551" s="20" t="str">
        <x:v>REC-00542</x:v>
      </x:c>
      <x:c r="B551" s="20" t="str">
        <x:v>P2-B1-01</x:v>
      </x:c>
      <x:c r="C551" s="30" t="str">
        <x:f>IF(B551="","",IF(COUNTIFS(Equipment[组合编号],B551)&lt;&gt;1,"组合编号无效",INDEX(Equipment[PLC组],MATCH(B551,Equipment[组合编号],0))))</x:f>
        <x:v>汇川中大型</x:v>
      </x:c>
      <x:c r="D551" s="30" t="str">
        <x:f>IF(B551="","",IF(COUNTIFS(Equipment[组合编号],B551)&lt;&gt;1,"组合编号无效",INDEX(Equipment[驱动品牌],MATCH(B551,Equipment[组合编号],0))))</x:f>
        <x:v>CDHD</x:v>
      </x:c>
      <x:c r="E551" s="20" t="str">
        <x:v>D03</x:v>
      </x:c>
      <x:c r="F551" s="20"/>
      <x:c r="G551" s="20"/>
      <x:c r="H551" s="20" t="str">
        <x:v>待判定</x:v>
      </x:c>
      <x:c r="I551" s="20"/>
      <x:c r="J551" s="20" t="str">
        <x:v>未测试</x:v>
      </x:c>
      <x:c r="K551" s="20"/>
      <x:c r="L551" s="20"/>
      <x:c r="M551" s="20"/>
      <x:c r="N551" s="20"/>
      <x:c r="O551" s="31"/>
      <x:c r="P551" s="20"/>
      <x:c r="Q551" s="20"/>
      <x:c r="R551" s="20" t="str">
        <x:v>待展开</x:v>
      </x:c>
      <x:c r="S551" s="20"/>
      <x:c r="T551" s="31"/>
      <x:c r="U551" s="30" t="str">
        <x:f>IF(A551="","缺记录编号",IF(COUNTIFS(PathRecords[记录编号],A551)&lt;&gt;1,"记录编号重复",IF(OR(B551="",E551=""),"缺组合/功能",IF(COUNTIFS(Equipment[组合编号],B551)&lt;&gt;1,"组合编号无效",IF(COUNTIFS(FunctionMatrix[编号],E551)=0,"功能编号无效",IF(H551="不适用",IF(J551="已实测","适用性冲突",IF(I551="","待补不适用依据","不适用（非实测）")),IF(J551="阻塞",IF(I551="","待补阻塞原因","阻塞（非实测）"),IF(J551&lt;&gt;"已实测",IF(F551="","待展开路径","未实测"),IF(H551&lt;&gt;"适用","待确认适用性",IF(INDEX(Equipment[登记状态（自动）],MATCH(B551,Equipment[组合编号],0))&lt;&gt;"已登记","待补设备组合",IF(AND(F551&lt;&gt;"",G551&lt;&gt;"",K551&lt;&gt;"",L551&lt;&gt;"",M551&lt;&gt;"",N551&lt;&gt;"",ISNUMBER(O551),O551&gt;0,P551&lt;&gt;""),"记录齐全","待补实测记录")))))))))))</x:f>
        <x:v>待展开路径</x:v>
      </x:c>
    </x:row>
    <x:row r="552" ht="43.5" customHeight="1">
      <x:c r="A552" s="20" t="str">
        <x:v>REC-00543</x:v>
      </x:c>
      <x:c r="B552" s="20" t="str">
        <x:v>P2-B1-01</x:v>
      </x:c>
      <x:c r="C552" s="30" t="str">
        <x:f>IF(B552="","",IF(COUNTIFS(Equipment[组合编号],B552)&lt;&gt;1,"组合编号无效",INDEX(Equipment[PLC组],MATCH(B552,Equipment[组合编号],0))))</x:f>
        <x:v>汇川中大型</x:v>
      </x:c>
      <x:c r="D552" s="30" t="str">
        <x:f>IF(B552="","",IF(COUNTIFS(Equipment[组合编号],B552)&lt;&gt;1,"组合编号无效",INDEX(Equipment[驱动品牌],MATCH(B552,Equipment[组合编号],0))))</x:f>
        <x:v>CDHD</x:v>
      </x:c>
      <x:c r="E552" s="20" t="str">
        <x:v>D04</x:v>
      </x:c>
      <x:c r="F552" s="20"/>
      <x:c r="G552" s="20"/>
      <x:c r="H552" s="20" t="str">
        <x:v>待判定</x:v>
      </x:c>
      <x:c r="I552" s="20"/>
      <x:c r="J552" s="20" t="str">
        <x:v>未测试</x:v>
      </x:c>
      <x:c r="K552" s="20"/>
      <x:c r="L552" s="20"/>
      <x:c r="M552" s="20"/>
      <x:c r="N552" s="20"/>
      <x:c r="O552" s="31"/>
      <x:c r="P552" s="20"/>
      <x:c r="Q552" s="20"/>
      <x:c r="R552" s="20" t="str">
        <x:v>待展开</x:v>
      </x:c>
      <x:c r="S552" s="20"/>
      <x:c r="T552" s="31"/>
      <x:c r="U552" s="30" t="str">
        <x:f>IF(A552="","缺记录编号",IF(COUNTIFS(PathRecords[记录编号],A552)&lt;&gt;1,"记录编号重复",IF(OR(B552="",E552=""),"缺组合/功能",IF(COUNTIFS(Equipment[组合编号],B552)&lt;&gt;1,"组合编号无效",IF(COUNTIFS(FunctionMatrix[编号],E552)=0,"功能编号无效",IF(H552="不适用",IF(J552="已实测","适用性冲突",IF(I552="","待补不适用依据","不适用（非实测）")),IF(J552="阻塞",IF(I552="","待补阻塞原因","阻塞（非实测）"),IF(J552&lt;&gt;"已实测",IF(F552="","待展开路径","未实测"),IF(H552&lt;&gt;"适用","待确认适用性",IF(INDEX(Equipment[登记状态（自动）],MATCH(B552,Equipment[组合编号],0))&lt;&gt;"已登记","待补设备组合",IF(AND(F552&lt;&gt;"",G552&lt;&gt;"",K552&lt;&gt;"",L552&lt;&gt;"",M552&lt;&gt;"",N552&lt;&gt;"",ISNUMBER(O552),O552&gt;0,P552&lt;&gt;""),"记录齐全","待补实测记录")))))))))))</x:f>
        <x:v>待展开路径</x:v>
      </x:c>
    </x:row>
    <x:row r="553" ht="43.5" customHeight="1">
      <x:c r="A553" s="20" t="str">
        <x:v>REC-00544</x:v>
      </x:c>
      <x:c r="B553" s="20" t="str">
        <x:v>P2-B1-01</x:v>
      </x:c>
      <x:c r="C553" s="30" t="str">
        <x:f>IF(B553="","",IF(COUNTIFS(Equipment[组合编号],B553)&lt;&gt;1,"组合编号无效",INDEX(Equipment[PLC组],MATCH(B553,Equipment[组合编号],0))))</x:f>
        <x:v>汇川中大型</x:v>
      </x:c>
      <x:c r="D553" s="30" t="str">
        <x:f>IF(B553="","",IF(COUNTIFS(Equipment[组合编号],B553)&lt;&gt;1,"组合编号无效",INDEX(Equipment[驱动品牌],MATCH(B553,Equipment[组合编号],0))))</x:f>
        <x:v>CDHD</x:v>
      </x:c>
      <x:c r="E553" s="20" t="str">
        <x:v>D05</x:v>
      </x:c>
      <x:c r="F553" s="20"/>
      <x:c r="G553" s="20"/>
      <x:c r="H553" s="20" t="str">
        <x:v>待判定</x:v>
      </x:c>
      <x:c r="I553" s="20"/>
      <x:c r="J553" s="20" t="str">
        <x:v>未测试</x:v>
      </x:c>
      <x:c r="K553" s="20"/>
      <x:c r="L553" s="20"/>
      <x:c r="M553" s="20"/>
      <x:c r="N553" s="20"/>
      <x:c r="O553" s="31"/>
      <x:c r="P553" s="20"/>
      <x:c r="Q553" s="20"/>
      <x:c r="R553" s="20" t="str">
        <x:v>待展开</x:v>
      </x:c>
      <x:c r="S553" s="20"/>
      <x:c r="T553" s="31"/>
      <x:c r="U553" s="30" t="str">
        <x:f>IF(A553="","缺记录编号",IF(COUNTIFS(PathRecords[记录编号],A553)&lt;&gt;1,"记录编号重复",IF(OR(B553="",E553=""),"缺组合/功能",IF(COUNTIFS(Equipment[组合编号],B553)&lt;&gt;1,"组合编号无效",IF(COUNTIFS(FunctionMatrix[编号],E553)=0,"功能编号无效",IF(H553="不适用",IF(J553="已实测","适用性冲突",IF(I553="","待补不适用依据","不适用（非实测）")),IF(J553="阻塞",IF(I553="","待补阻塞原因","阻塞（非实测）"),IF(J553&lt;&gt;"已实测",IF(F553="","待展开路径","未实测"),IF(H553&lt;&gt;"适用","待确认适用性",IF(INDEX(Equipment[登记状态（自动）],MATCH(B553,Equipment[组合编号],0))&lt;&gt;"已登记","待补设备组合",IF(AND(F553&lt;&gt;"",G553&lt;&gt;"",K553&lt;&gt;"",L553&lt;&gt;"",M553&lt;&gt;"",N553&lt;&gt;"",ISNUMBER(O553),O553&gt;0,P553&lt;&gt;""),"记录齐全","待补实测记录")))))))))))</x:f>
        <x:v>待展开路径</x:v>
      </x:c>
    </x:row>
    <x:row r="554" ht="43.5" customHeight="1">
      <x:c r="A554" s="20" t="str">
        <x:v>REC-00545</x:v>
      </x:c>
      <x:c r="B554" s="20" t="str">
        <x:v>P2-B1-01</x:v>
      </x:c>
      <x:c r="C554" s="30" t="str">
        <x:f>IF(B554="","",IF(COUNTIFS(Equipment[组合编号],B554)&lt;&gt;1,"组合编号无效",INDEX(Equipment[PLC组],MATCH(B554,Equipment[组合编号],0))))</x:f>
        <x:v>汇川中大型</x:v>
      </x:c>
      <x:c r="D554" s="30" t="str">
        <x:f>IF(B554="","",IF(COUNTIFS(Equipment[组合编号],B554)&lt;&gt;1,"组合编号无效",INDEX(Equipment[驱动品牌],MATCH(B554,Equipment[组合编号],0))))</x:f>
        <x:v>CDHD</x:v>
      </x:c>
      <x:c r="E554" s="20" t="str">
        <x:v>D06</x:v>
      </x:c>
      <x:c r="F554" s="20"/>
      <x:c r="G554" s="20"/>
      <x:c r="H554" s="20" t="str">
        <x:v>待判定</x:v>
      </x:c>
      <x:c r="I554" s="20"/>
      <x:c r="J554" s="20" t="str">
        <x:v>未测试</x:v>
      </x:c>
      <x:c r="K554" s="20"/>
      <x:c r="L554" s="20"/>
      <x:c r="M554" s="20"/>
      <x:c r="N554" s="20"/>
      <x:c r="O554" s="31"/>
      <x:c r="P554" s="20"/>
      <x:c r="Q554" s="20"/>
      <x:c r="R554" s="20" t="str">
        <x:v>待展开</x:v>
      </x:c>
      <x:c r="S554" s="20"/>
      <x:c r="T554" s="31"/>
      <x:c r="U554" s="30" t="str">
        <x:f>IF(A554="","缺记录编号",IF(COUNTIFS(PathRecords[记录编号],A554)&lt;&gt;1,"记录编号重复",IF(OR(B554="",E554=""),"缺组合/功能",IF(COUNTIFS(Equipment[组合编号],B554)&lt;&gt;1,"组合编号无效",IF(COUNTIFS(FunctionMatrix[编号],E554)=0,"功能编号无效",IF(H554="不适用",IF(J554="已实测","适用性冲突",IF(I554="","待补不适用依据","不适用（非实测）")),IF(J554="阻塞",IF(I554="","待补阻塞原因","阻塞（非实测）"),IF(J554&lt;&gt;"已实测",IF(F554="","待展开路径","未实测"),IF(H554&lt;&gt;"适用","待确认适用性",IF(INDEX(Equipment[登记状态（自动）],MATCH(B554,Equipment[组合编号],0))&lt;&gt;"已登记","待补设备组合",IF(AND(F554&lt;&gt;"",G554&lt;&gt;"",K554&lt;&gt;"",L554&lt;&gt;"",M554&lt;&gt;"",N554&lt;&gt;"",ISNUMBER(O554),O554&gt;0,P554&lt;&gt;""),"记录齐全","待补实测记录")))))))))))</x:f>
        <x:v>待展开路径</x:v>
      </x:c>
    </x:row>
    <x:row r="555" ht="43.5" customHeight="1">
      <x:c r="A555" s="20" t="str">
        <x:v>REC-00546</x:v>
      </x:c>
      <x:c r="B555" s="20" t="str">
        <x:v>P2-B1-01</x:v>
      </x:c>
      <x:c r="C555" s="30" t="str">
        <x:f>IF(B555="","",IF(COUNTIFS(Equipment[组合编号],B555)&lt;&gt;1,"组合编号无效",INDEX(Equipment[PLC组],MATCH(B555,Equipment[组合编号],0))))</x:f>
        <x:v>汇川中大型</x:v>
      </x:c>
      <x:c r="D555" s="30" t="str">
        <x:f>IF(B555="","",IF(COUNTIFS(Equipment[组合编号],B555)&lt;&gt;1,"组合编号无效",INDEX(Equipment[驱动品牌],MATCH(B555,Equipment[组合编号],0))))</x:f>
        <x:v>CDHD</x:v>
      </x:c>
      <x:c r="E555" s="20" t="str">
        <x:v>D07</x:v>
      </x:c>
      <x:c r="F555" s="20"/>
      <x:c r="G555" s="20"/>
      <x:c r="H555" s="20" t="str">
        <x:v>待判定</x:v>
      </x:c>
      <x:c r="I555" s="20"/>
      <x:c r="J555" s="20" t="str">
        <x:v>未测试</x:v>
      </x:c>
      <x:c r="K555" s="20"/>
      <x:c r="L555" s="20"/>
      <x:c r="M555" s="20"/>
      <x:c r="N555" s="20"/>
      <x:c r="O555" s="31"/>
      <x:c r="P555" s="20"/>
      <x:c r="Q555" s="20"/>
      <x:c r="R555" s="20" t="str">
        <x:v>待展开</x:v>
      </x:c>
      <x:c r="S555" s="20"/>
      <x:c r="T555" s="31"/>
      <x:c r="U555" s="30" t="str">
        <x:f>IF(A555="","缺记录编号",IF(COUNTIFS(PathRecords[记录编号],A555)&lt;&gt;1,"记录编号重复",IF(OR(B555="",E555=""),"缺组合/功能",IF(COUNTIFS(Equipment[组合编号],B555)&lt;&gt;1,"组合编号无效",IF(COUNTIFS(FunctionMatrix[编号],E555)=0,"功能编号无效",IF(H555="不适用",IF(J555="已实测","适用性冲突",IF(I555="","待补不适用依据","不适用（非实测）")),IF(J555="阻塞",IF(I555="","待补阻塞原因","阻塞（非实测）"),IF(J555&lt;&gt;"已实测",IF(F555="","待展开路径","未实测"),IF(H555&lt;&gt;"适用","待确认适用性",IF(INDEX(Equipment[登记状态（自动）],MATCH(B555,Equipment[组合编号],0))&lt;&gt;"已登记","待补设备组合",IF(AND(F555&lt;&gt;"",G555&lt;&gt;"",K555&lt;&gt;"",L555&lt;&gt;"",M555&lt;&gt;"",N555&lt;&gt;"",ISNUMBER(O555),O555&gt;0,P555&lt;&gt;""),"记录齐全","待补实测记录")))))))))))</x:f>
        <x:v>待展开路径</x:v>
      </x:c>
    </x:row>
    <x:row r="556" ht="43.5" customHeight="1">
      <x:c r="A556" s="20" t="str">
        <x:v>REC-00547</x:v>
      </x:c>
      <x:c r="B556" s="20" t="str">
        <x:v>P2-B1-01</x:v>
      </x:c>
      <x:c r="C556" s="30" t="str">
        <x:f>IF(B556="","",IF(COUNTIFS(Equipment[组合编号],B556)&lt;&gt;1,"组合编号无效",INDEX(Equipment[PLC组],MATCH(B556,Equipment[组合编号],0))))</x:f>
        <x:v>汇川中大型</x:v>
      </x:c>
      <x:c r="D556" s="30" t="str">
        <x:f>IF(B556="","",IF(COUNTIFS(Equipment[组合编号],B556)&lt;&gt;1,"组合编号无效",INDEX(Equipment[驱动品牌],MATCH(B556,Equipment[组合编号],0))))</x:f>
        <x:v>CDHD</x:v>
      </x:c>
      <x:c r="E556" s="20" t="str">
        <x:v>D08</x:v>
      </x:c>
      <x:c r="F556" s="20"/>
      <x:c r="G556" s="20"/>
      <x:c r="H556" s="20" t="str">
        <x:v>待判定</x:v>
      </x:c>
      <x:c r="I556" s="20"/>
      <x:c r="J556" s="20" t="str">
        <x:v>未测试</x:v>
      </x:c>
      <x:c r="K556" s="20"/>
      <x:c r="L556" s="20"/>
      <x:c r="M556" s="20"/>
      <x:c r="N556" s="20"/>
      <x:c r="O556" s="31"/>
      <x:c r="P556" s="20"/>
      <x:c r="Q556" s="20"/>
      <x:c r="R556" s="20" t="str">
        <x:v>待展开</x:v>
      </x:c>
      <x:c r="S556" s="20"/>
      <x:c r="T556" s="31"/>
      <x:c r="U556" s="30" t="str">
        <x:f>IF(A556="","缺记录编号",IF(COUNTIFS(PathRecords[记录编号],A556)&lt;&gt;1,"记录编号重复",IF(OR(B556="",E556=""),"缺组合/功能",IF(COUNTIFS(Equipment[组合编号],B556)&lt;&gt;1,"组合编号无效",IF(COUNTIFS(FunctionMatrix[编号],E556)=0,"功能编号无效",IF(H556="不适用",IF(J556="已实测","适用性冲突",IF(I556="","待补不适用依据","不适用（非实测）")),IF(J556="阻塞",IF(I556="","待补阻塞原因","阻塞（非实测）"),IF(J556&lt;&gt;"已实测",IF(F556="","待展开路径","未实测"),IF(H556&lt;&gt;"适用","待确认适用性",IF(INDEX(Equipment[登记状态（自动）],MATCH(B556,Equipment[组合编号],0))&lt;&gt;"已登记","待补设备组合",IF(AND(F556&lt;&gt;"",G556&lt;&gt;"",K556&lt;&gt;"",L556&lt;&gt;"",M556&lt;&gt;"",N556&lt;&gt;"",ISNUMBER(O556),O556&gt;0,P556&lt;&gt;""),"记录齐全","待补实测记录")))))))))))</x:f>
        <x:v>待展开路径</x:v>
      </x:c>
    </x:row>
    <x:row r="557" ht="43.5" customHeight="1">
      <x:c r="A557" s="20" t="str">
        <x:v>REC-00548</x:v>
      </x:c>
      <x:c r="B557" s="20" t="str">
        <x:v>P2-B1-01</x:v>
      </x:c>
      <x:c r="C557" s="30" t="str">
        <x:f>IF(B557="","",IF(COUNTIFS(Equipment[组合编号],B557)&lt;&gt;1,"组合编号无效",INDEX(Equipment[PLC组],MATCH(B557,Equipment[组合编号],0))))</x:f>
        <x:v>汇川中大型</x:v>
      </x:c>
      <x:c r="D557" s="30" t="str">
        <x:f>IF(B557="","",IF(COUNTIFS(Equipment[组合编号],B557)&lt;&gt;1,"组合编号无效",INDEX(Equipment[驱动品牌],MATCH(B557,Equipment[组合编号],0))))</x:f>
        <x:v>CDHD</x:v>
      </x:c>
      <x:c r="E557" s="20" t="str">
        <x:v>D09</x:v>
      </x:c>
      <x:c r="F557" s="20"/>
      <x:c r="G557" s="20"/>
      <x:c r="H557" s="20" t="str">
        <x:v>待判定</x:v>
      </x:c>
      <x:c r="I557" s="20"/>
      <x:c r="J557" s="20" t="str">
        <x:v>未测试</x:v>
      </x:c>
      <x:c r="K557" s="20"/>
      <x:c r="L557" s="20"/>
      <x:c r="M557" s="20"/>
      <x:c r="N557" s="20"/>
      <x:c r="O557" s="31"/>
      <x:c r="P557" s="20"/>
      <x:c r="Q557" s="20"/>
      <x:c r="R557" s="20" t="str">
        <x:v>待展开</x:v>
      </x:c>
      <x:c r="S557" s="20"/>
      <x:c r="T557" s="31"/>
      <x:c r="U557" s="30" t="str">
        <x:f>IF(A557="","缺记录编号",IF(COUNTIFS(PathRecords[记录编号],A557)&lt;&gt;1,"记录编号重复",IF(OR(B557="",E557=""),"缺组合/功能",IF(COUNTIFS(Equipment[组合编号],B557)&lt;&gt;1,"组合编号无效",IF(COUNTIFS(FunctionMatrix[编号],E557)=0,"功能编号无效",IF(H557="不适用",IF(J557="已实测","适用性冲突",IF(I557="","待补不适用依据","不适用（非实测）")),IF(J557="阻塞",IF(I557="","待补阻塞原因","阻塞（非实测）"),IF(J557&lt;&gt;"已实测",IF(F557="","待展开路径","未实测"),IF(H557&lt;&gt;"适用","待确认适用性",IF(INDEX(Equipment[登记状态（自动）],MATCH(B557,Equipment[组合编号],0))&lt;&gt;"已登记","待补设备组合",IF(AND(F557&lt;&gt;"",G557&lt;&gt;"",K557&lt;&gt;"",L557&lt;&gt;"",M557&lt;&gt;"",N557&lt;&gt;"",ISNUMBER(O557),O557&gt;0,P557&lt;&gt;""),"记录齐全","待补实测记录")))))))))))</x:f>
        <x:v>待展开路径</x:v>
      </x:c>
    </x:row>
    <x:row r="558" ht="43.5" customHeight="1">
      <x:c r="A558" s="20" t="str">
        <x:v>REC-00549</x:v>
      </x:c>
      <x:c r="B558" s="20" t="str">
        <x:v>P2-B1-01</x:v>
      </x:c>
      <x:c r="C558" s="30" t="str">
        <x:f>IF(B558="","",IF(COUNTIFS(Equipment[组合编号],B558)&lt;&gt;1,"组合编号无效",INDEX(Equipment[PLC组],MATCH(B558,Equipment[组合编号],0))))</x:f>
        <x:v>汇川中大型</x:v>
      </x:c>
      <x:c r="D558" s="30" t="str">
        <x:f>IF(B558="","",IF(COUNTIFS(Equipment[组合编号],B558)&lt;&gt;1,"组合编号无效",INDEX(Equipment[驱动品牌],MATCH(B558,Equipment[组合编号],0))))</x:f>
        <x:v>CDHD</x:v>
      </x:c>
      <x:c r="E558" s="20" t="str">
        <x:v>S01</x:v>
      </x:c>
      <x:c r="F558" s="20"/>
      <x:c r="G558" s="20"/>
      <x:c r="H558" s="20" t="str">
        <x:v>待判定</x:v>
      </x:c>
      <x:c r="I558" s="20"/>
      <x:c r="J558" s="20" t="str">
        <x:v>未测试</x:v>
      </x:c>
      <x:c r="K558" s="20"/>
      <x:c r="L558" s="20"/>
      <x:c r="M558" s="20"/>
      <x:c r="N558" s="20"/>
      <x:c r="O558" s="31"/>
      <x:c r="P558" s="20"/>
      <x:c r="Q558" s="20"/>
      <x:c r="R558" s="20" t="str">
        <x:v>待展开</x:v>
      </x:c>
      <x:c r="S558" s="20"/>
      <x:c r="T558" s="31"/>
      <x:c r="U558" s="30" t="str">
        <x:f>IF(A558="","缺记录编号",IF(COUNTIFS(PathRecords[记录编号],A558)&lt;&gt;1,"记录编号重复",IF(OR(B558="",E558=""),"缺组合/功能",IF(COUNTIFS(Equipment[组合编号],B558)&lt;&gt;1,"组合编号无效",IF(COUNTIFS(FunctionMatrix[编号],E558)=0,"功能编号无效",IF(H558="不适用",IF(J558="已实测","适用性冲突",IF(I558="","待补不适用依据","不适用（非实测）")),IF(J558="阻塞",IF(I558="","待补阻塞原因","阻塞（非实测）"),IF(J558&lt;&gt;"已实测",IF(F558="","待展开路径","未实测"),IF(H558&lt;&gt;"适用","待确认适用性",IF(INDEX(Equipment[登记状态（自动）],MATCH(B558,Equipment[组合编号],0))&lt;&gt;"已登记","待补设备组合",IF(AND(F558&lt;&gt;"",G558&lt;&gt;"",K558&lt;&gt;"",L558&lt;&gt;"",M558&lt;&gt;"",N558&lt;&gt;"",ISNUMBER(O558),O558&gt;0,P558&lt;&gt;""),"记录齐全","待补实测记录")))))))))))</x:f>
        <x:v>待展开路径</x:v>
      </x:c>
    </x:row>
    <x:row r="559" ht="43.5" customHeight="1">
      <x:c r="A559" s="20" t="str">
        <x:v>REC-00550</x:v>
      </x:c>
      <x:c r="B559" s="20" t="str">
        <x:v>P2-B1-01</x:v>
      </x:c>
      <x:c r="C559" s="30" t="str">
        <x:f>IF(B559="","",IF(COUNTIFS(Equipment[组合编号],B559)&lt;&gt;1,"组合编号无效",INDEX(Equipment[PLC组],MATCH(B559,Equipment[组合编号],0))))</x:f>
        <x:v>汇川中大型</x:v>
      </x:c>
      <x:c r="D559" s="30" t="str">
        <x:f>IF(B559="","",IF(COUNTIFS(Equipment[组合编号],B559)&lt;&gt;1,"组合编号无效",INDEX(Equipment[驱动品牌],MATCH(B559,Equipment[组合编号],0))))</x:f>
        <x:v>CDHD</x:v>
      </x:c>
      <x:c r="E559" s="20" t="str">
        <x:v>S02</x:v>
      </x:c>
      <x:c r="F559" s="20"/>
      <x:c r="G559" s="20"/>
      <x:c r="H559" s="20" t="str">
        <x:v>待判定</x:v>
      </x:c>
      <x:c r="I559" s="20"/>
      <x:c r="J559" s="20" t="str">
        <x:v>未测试</x:v>
      </x:c>
      <x:c r="K559" s="20"/>
      <x:c r="L559" s="20"/>
      <x:c r="M559" s="20"/>
      <x:c r="N559" s="20"/>
      <x:c r="O559" s="31"/>
      <x:c r="P559" s="20"/>
      <x:c r="Q559" s="20"/>
      <x:c r="R559" s="20" t="str">
        <x:v>待展开</x:v>
      </x:c>
      <x:c r="S559" s="20"/>
      <x:c r="T559" s="31"/>
      <x:c r="U559" s="30" t="str">
        <x:f>IF(A559="","缺记录编号",IF(COUNTIFS(PathRecords[记录编号],A559)&lt;&gt;1,"记录编号重复",IF(OR(B559="",E559=""),"缺组合/功能",IF(COUNTIFS(Equipment[组合编号],B559)&lt;&gt;1,"组合编号无效",IF(COUNTIFS(FunctionMatrix[编号],E559)=0,"功能编号无效",IF(H559="不适用",IF(J559="已实测","适用性冲突",IF(I559="","待补不适用依据","不适用（非实测）")),IF(J559="阻塞",IF(I559="","待补阻塞原因","阻塞（非实测）"),IF(J559&lt;&gt;"已实测",IF(F559="","待展开路径","未实测"),IF(H559&lt;&gt;"适用","待确认适用性",IF(INDEX(Equipment[登记状态（自动）],MATCH(B559,Equipment[组合编号],0))&lt;&gt;"已登记","待补设备组合",IF(AND(F559&lt;&gt;"",G559&lt;&gt;"",K559&lt;&gt;"",L559&lt;&gt;"",M559&lt;&gt;"",N559&lt;&gt;"",ISNUMBER(O559),O559&gt;0,P559&lt;&gt;""),"记录齐全","待补实测记录")))))))))))</x:f>
        <x:v>待展开路径</x:v>
      </x:c>
    </x:row>
    <x:row r="560" ht="43.5" customHeight="1">
      <x:c r="A560" s="20" t="str">
        <x:v>REC-00551</x:v>
      </x:c>
      <x:c r="B560" s="20" t="str">
        <x:v>P2-B1-01</x:v>
      </x:c>
      <x:c r="C560" s="30" t="str">
        <x:f>IF(B560="","",IF(COUNTIFS(Equipment[组合编号],B560)&lt;&gt;1,"组合编号无效",INDEX(Equipment[PLC组],MATCH(B560,Equipment[组合编号],0))))</x:f>
        <x:v>汇川中大型</x:v>
      </x:c>
      <x:c r="D560" s="30" t="str">
        <x:f>IF(B560="","",IF(COUNTIFS(Equipment[组合编号],B560)&lt;&gt;1,"组合编号无效",INDEX(Equipment[驱动品牌],MATCH(B560,Equipment[组合编号],0))))</x:f>
        <x:v>CDHD</x:v>
      </x:c>
      <x:c r="E560" s="20" t="str">
        <x:v>S03</x:v>
      </x:c>
      <x:c r="F560" s="20"/>
      <x:c r="G560" s="20"/>
      <x:c r="H560" s="20" t="str">
        <x:v>待判定</x:v>
      </x:c>
      <x:c r="I560" s="20"/>
      <x:c r="J560" s="20" t="str">
        <x:v>未测试</x:v>
      </x:c>
      <x:c r="K560" s="20"/>
      <x:c r="L560" s="20"/>
      <x:c r="M560" s="20"/>
      <x:c r="N560" s="20"/>
      <x:c r="O560" s="31"/>
      <x:c r="P560" s="20"/>
      <x:c r="Q560" s="20"/>
      <x:c r="R560" s="20" t="str">
        <x:v>待展开</x:v>
      </x:c>
      <x:c r="S560" s="20"/>
      <x:c r="T560" s="31"/>
      <x:c r="U560" s="30" t="str">
        <x:f>IF(A560="","缺记录编号",IF(COUNTIFS(PathRecords[记录编号],A560)&lt;&gt;1,"记录编号重复",IF(OR(B560="",E560=""),"缺组合/功能",IF(COUNTIFS(Equipment[组合编号],B560)&lt;&gt;1,"组合编号无效",IF(COUNTIFS(FunctionMatrix[编号],E560)=0,"功能编号无效",IF(H560="不适用",IF(J560="已实测","适用性冲突",IF(I560="","待补不适用依据","不适用（非实测）")),IF(J560="阻塞",IF(I560="","待补阻塞原因","阻塞（非实测）"),IF(J560&lt;&gt;"已实测",IF(F560="","待展开路径","未实测"),IF(H560&lt;&gt;"适用","待确认适用性",IF(INDEX(Equipment[登记状态（自动）],MATCH(B560,Equipment[组合编号],0))&lt;&gt;"已登记","待补设备组合",IF(AND(F560&lt;&gt;"",G560&lt;&gt;"",K560&lt;&gt;"",L560&lt;&gt;"",M560&lt;&gt;"",N560&lt;&gt;"",ISNUMBER(O560),O560&gt;0,P560&lt;&gt;""),"记录齐全","待补实测记录")))))))))))</x:f>
        <x:v>待展开路径</x:v>
      </x:c>
    </x:row>
    <x:row r="561" ht="43.5" customHeight="1">
      <x:c r="A561" s="20" t="str">
        <x:v>REC-00552</x:v>
      </x:c>
      <x:c r="B561" s="20" t="str">
        <x:v>P2-B1-01</x:v>
      </x:c>
      <x:c r="C561" s="30" t="str">
        <x:f>IF(B561="","",IF(COUNTIFS(Equipment[组合编号],B561)&lt;&gt;1,"组合编号无效",INDEX(Equipment[PLC组],MATCH(B561,Equipment[组合编号],0))))</x:f>
        <x:v>汇川中大型</x:v>
      </x:c>
      <x:c r="D561" s="30" t="str">
        <x:f>IF(B561="","",IF(COUNTIFS(Equipment[组合编号],B561)&lt;&gt;1,"组合编号无效",INDEX(Equipment[驱动品牌],MATCH(B561,Equipment[组合编号],0))))</x:f>
        <x:v>CDHD</x:v>
      </x:c>
      <x:c r="E561" s="20" t="str">
        <x:v>S04</x:v>
      </x:c>
      <x:c r="F561" s="20"/>
      <x:c r="G561" s="20"/>
      <x:c r="H561" s="20" t="str">
        <x:v>待判定</x:v>
      </x:c>
      <x:c r="I561" s="20"/>
      <x:c r="J561" s="20" t="str">
        <x:v>未测试</x:v>
      </x:c>
      <x:c r="K561" s="20"/>
      <x:c r="L561" s="20"/>
      <x:c r="M561" s="20"/>
      <x:c r="N561" s="20"/>
      <x:c r="O561" s="31"/>
      <x:c r="P561" s="20"/>
      <x:c r="Q561" s="20"/>
      <x:c r="R561" s="20" t="str">
        <x:v>待展开</x:v>
      </x:c>
      <x:c r="S561" s="20"/>
      <x:c r="T561" s="31"/>
      <x:c r="U561" s="30" t="str">
        <x:f>IF(A561="","缺记录编号",IF(COUNTIFS(PathRecords[记录编号],A561)&lt;&gt;1,"记录编号重复",IF(OR(B561="",E561=""),"缺组合/功能",IF(COUNTIFS(Equipment[组合编号],B561)&lt;&gt;1,"组合编号无效",IF(COUNTIFS(FunctionMatrix[编号],E561)=0,"功能编号无效",IF(H561="不适用",IF(J561="已实测","适用性冲突",IF(I561="","待补不适用依据","不适用（非实测）")),IF(J561="阻塞",IF(I561="","待补阻塞原因","阻塞（非实测）"),IF(J561&lt;&gt;"已实测",IF(F561="","待展开路径","未实测"),IF(H561&lt;&gt;"适用","待确认适用性",IF(INDEX(Equipment[登记状态（自动）],MATCH(B561,Equipment[组合编号],0))&lt;&gt;"已登记","待补设备组合",IF(AND(F561&lt;&gt;"",G561&lt;&gt;"",K561&lt;&gt;"",L561&lt;&gt;"",M561&lt;&gt;"",N561&lt;&gt;"",ISNUMBER(O561),O561&gt;0,P561&lt;&gt;""),"记录齐全","待补实测记录")))))))))))</x:f>
        <x:v>待展开路径</x:v>
      </x:c>
    </x:row>
    <x:row r="562" ht="43.5" customHeight="1">
      <x:c r="A562" s="20" t="str">
        <x:v>REC-00553</x:v>
      </x:c>
      <x:c r="B562" s="20" t="str">
        <x:v>P2-B1-01</x:v>
      </x:c>
      <x:c r="C562" s="30" t="str">
        <x:f>IF(B562="","",IF(COUNTIFS(Equipment[组合编号],B562)&lt;&gt;1,"组合编号无效",INDEX(Equipment[PLC组],MATCH(B562,Equipment[组合编号],0))))</x:f>
        <x:v>汇川中大型</x:v>
      </x:c>
      <x:c r="D562" s="30" t="str">
        <x:f>IF(B562="","",IF(COUNTIFS(Equipment[组合编号],B562)&lt;&gt;1,"组合编号无效",INDEX(Equipment[驱动品牌],MATCH(B562,Equipment[组合编号],0))))</x:f>
        <x:v>CDHD</x:v>
      </x:c>
      <x:c r="E562" s="20" t="str">
        <x:v>S05</x:v>
      </x:c>
      <x:c r="F562" s="20"/>
      <x:c r="G562" s="20"/>
      <x:c r="H562" s="20" t="str">
        <x:v>待判定</x:v>
      </x:c>
      <x:c r="I562" s="20"/>
      <x:c r="J562" s="20" t="str">
        <x:v>未测试</x:v>
      </x:c>
      <x:c r="K562" s="20"/>
      <x:c r="L562" s="20"/>
      <x:c r="M562" s="20"/>
      <x:c r="N562" s="20"/>
      <x:c r="O562" s="31"/>
      <x:c r="P562" s="20"/>
      <x:c r="Q562" s="20"/>
      <x:c r="R562" s="20" t="str">
        <x:v>待展开</x:v>
      </x:c>
      <x:c r="S562" s="20"/>
      <x:c r="T562" s="31"/>
      <x:c r="U562" s="30" t="str">
        <x:f>IF(A562="","缺记录编号",IF(COUNTIFS(PathRecords[记录编号],A562)&lt;&gt;1,"记录编号重复",IF(OR(B562="",E562=""),"缺组合/功能",IF(COUNTIFS(Equipment[组合编号],B562)&lt;&gt;1,"组合编号无效",IF(COUNTIFS(FunctionMatrix[编号],E562)=0,"功能编号无效",IF(H562="不适用",IF(J562="已实测","适用性冲突",IF(I562="","待补不适用依据","不适用（非实测）")),IF(J562="阻塞",IF(I562="","待补阻塞原因","阻塞（非实测）"),IF(J562&lt;&gt;"已实测",IF(F562="","待展开路径","未实测"),IF(H562&lt;&gt;"适用","待确认适用性",IF(INDEX(Equipment[登记状态（自动）],MATCH(B562,Equipment[组合编号],0))&lt;&gt;"已登记","待补设备组合",IF(AND(F562&lt;&gt;"",G562&lt;&gt;"",K562&lt;&gt;"",L562&lt;&gt;"",M562&lt;&gt;"",N562&lt;&gt;"",ISNUMBER(O562),O562&gt;0,P562&lt;&gt;""),"记录齐全","待补实测记录")))))))))))</x:f>
        <x:v>待展开路径</x:v>
      </x:c>
    </x:row>
    <x:row r="563" ht="43.5" customHeight="1">
      <x:c r="A563" s="20" t="str">
        <x:v>REC-00554</x:v>
      </x:c>
      <x:c r="B563" s="20" t="str">
        <x:v>P2-B1-01</x:v>
      </x:c>
      <x:c r="C563" s="30" t="str">
        <x:f>IF(B563="","",IF(COUNTIFS(Equipment[组合编号],B563)&lt;&gt;1,"组合编号无效",INDEX(Equipment[PLC组],MATCH(B563,Equipment[组合编号],0))))</x:f>
        <x:v>汇川中大型</x:v>
      </x:c>
      <x:c r="D563" s="30" t="str">
        <x:f>IF(B563="","",IF(COUNTIFS(Equipment[组合编号],B563)&lt;&gt;1,"组合编号无效",INDEX(Equipment[驱动品牌],MATCH(B563,Equipment[组合编号],0))))</x:f>
        <x:v>CDHD</x:v>
      </x:c>
      <x:c r="E563" s="20" t="str">
        <x:v>S06</x:v>
      </x:c>
      <x:c r="F563" s="20"/>
      <x:c r="G563" s="20"/>
      <x:c r="H563" s="20" t="str">
        <x:v>待判定</x:v>
      </x:c>
      <x:c r="I563" s="20"/>
      <x:c r="J563" s="20" t="str">
        <x:v>未测试</x:v>
      </x:c>
      <x:c r="K563" s="20"/>
      <x:c r="L563" s="20"/>
      <x:c r="M563" s="20"/>
      <x:c r="N563" s="20"/>
      <x:c r="O563" s="31"/>
      <x:c r="P563" s="20"/>
      <x:c r="Q563" s="20"/>
      <x:c r="R563" s="20" t="str">
        <x:v>待展开</x:v>
      </x:c>
      <x:c r="S563" s="20"/>
      <x:c r="T563" s="31"/>
      <x:c r="U563" s="30" t="str">
        <x:f>IF(A563="","缺记录编号",IF(COUNTIFS(PathRecords[记录编号],A563)&lt;&gt;1,"记录编号重复",IF(OR(B563="",E563=""),"缺组合/功能",IF(COUNTIFS(Equipment[组合编号],B563)&lt;&gt;1,"组合编号无效",IF(COUNTIFS(FunctionMatrix[编号],E563)=0,"功能编号无效",IF(H563="不适用",IF(J563="已实测","适用性冲突",IF(I563="","待补不适用依据","不适用（非实测）")),IF(J563="阻塞",IF(I563="","待补阻塞原因","阻塞（非实测）"),IF(J563&lt;&gt;"已实测",IF(F563="","待展开路径","未实测"),IF(H563&lt;&gt;"适用","待确认适用性",IF(INDEX(Equipment[登记状态（自动）],MATCH(B563,Equipment[组合编号],0))&lt;&gt;"已登记","待补设备组合",IF(AND(F563&lt;&gt;"",G563&lt;&gt;"",K563&lt;&gt;"",L563&lt;&gt;"",M563&lt;&gt;"",N563&lt;&gt;"",ISNUMBER(O563),O563&gt;0,P563&lt;&gt;""),"记录齐全","待补实测记录")))))))))))</x:f>
        <x:v>待展开路径</x:v>
      </x:c>
    </x:row>
    <x:row r="564" ht="43.5" customHeight="1">
      <x:c r="A564" s="20" t="str">
        <x:v>REC-00555</x:v>
      </x:c>
      <x:c r="B564" s="20" t="str">
        <x:v>P2-B1-01</x:v>
      </x:c>
      <x:c r="C564" s="30" t="str">
        <x:f>IF(B564="","",IF(COUNTIFS(Equipment[组合编号],B564)&lt;&gt;1,"组合编号无效",INDEX(Equipment[PLC组],MATCH(B564,Equipment[组合编号],0))))</x:f>
        <x:v>汇川中大型</x:v>
      </x:c>
      <x:c r="D564" s="30" t="str">
        <x:f>IF(B564="","",IF(COUNTIFS(Equipment[组合编号],B564)&lt;&gt;1,"组合编号无效",INDEX(Equipment[驱动品牌],MATCH(B564,Equipment[组合编号],0))))</x:f>
        <x:v>CDHD</x:v>
      </x:c>
      <x:c r="E564" s="20" t="str">
        <x:v>S07</x:v>
      </x:c>
      <x:c r="F564" s="20"/>
      <x:c r="G564" s="20"/>
      <x:c r="H564" s="20" t="str">
        <x:v>待判定</x:v>
      </x:c>
      <x:c r="I564" s="20"/>
      <x:c r="J564" s="20" t="str">
        <x:v>未测试</x:v>
      </x:c>
      <x:c r="K564" s="20"/>
      <x:c r="L564" s="20"/>
      <x:c r="M564" s="20"/>
      <x:c r="N564" s="20"/>
      <x:c r="O564" s="31"/>
      <x:c r="P564" s="20"/>
      <x:c r="Q564" s="20"/>
      <x:c r="R564" s="20" t="str">
        <x:v>待展开</x:v>
      </x:c>
      <x:c r="S564" s="20"/>
      <x:c r="T564" s="31"/>
      <x:c r="U564" s="30" t="str">
        <x:f>IF(A564="","缺记录编号",IF(COUNTIFS(PathRecords[记录编号],A564)&lt;&gt;1,"记录编号重复",IF(OR(B564="",E564=""),"缺组合/功能",IF(COUNTIFS(Equipment[组合编号],B564)&lt;&gt;1,"组合编号无效",IF(COUNTIFS(FunctionMatrix[编号],E564)=0,"功能编号无效",IF(H564="不适用",IF(J564="已实测","适用性冲突",IF(I564="","待补不适用依据","不适用（非实测）")),IF(J564="阻塞",IF(I564="","待补阻塞原因","阻塞（非实测）"),IF(J564&lt;&gt;"已实测",IF(F564="","待展开路径","未实测"),IF(H564&lt;&gt;"适用","待确认适用性",IF(INDEX(Equipment[登记状态（自动）],MATCH(B564,Equipment[组合编号],0))&lt;&gt;"已登记","待补设备组合",IF(AND(F564&lt;&gt;"",G564&lt;&gt;"",K564&lt;&gt;"",L564&lt;&gt;"",M564&lt;&gt;"",N564&lt;&gt;"",ISNUMBER(O564),O564&gt;0,P564&lt;&gt;""),"记录齐全","待补实测记录")))))))))))</x:f>
        <x:v>待展开路径</x:v>
      </x:c>
    </x:row>
    <x:row r="565" ht="43.5" customHeight="1">
      <x:c r="A565" s="20" t="str">
        <x:v>REC-00556</x:v>
      </x:c>
      <x:c r="B565" s="20" t="str">
        <x:v>P2-B1-01</x:v>
      </x:c>
      <x:c r="C565" s="30" t="str">
        <x:f>IF(B565="","",IF(COUNTIFS(Equipment[组合编号],B565)&lt;&gt;1,"组合编号无效",INDEX(Equipment[PLC组],MATCH(B565,Equipment[组合编号],0))))</x:f>
        <x:v>汇川中大型</x:v>
      </x:c>
      <x:c r="D565" s="30" t="str">
        <x:f>IF(B565="","",IF(COUNTIFS(Equipment[组合编号],B565)&lt;&gt;1,"组合编号无效",INDEX(Equipment[驱动品牌],MATCH(B565,Equipment[组合编号],0))))</x:f>
        <x:v>CDHD</x:v>
      </x:c>
      <x:c r="E565" s="20" t="str">
        <x:v>S08</x:v>
      </x:c>
      <x:c r="F565" s="20"/>
      <x:c r="G565" s="20"/>
      <x:c r="H565" s="20" t="str">
        <x:v>待判定</x:v>
      </x:c>
      <x:c r="I565" s="20"/>
      <x:c r="J565" s="20" t="str">
        <x:v>未测试</x:v>
      </x:c>
      <x:c r="K565" s="20"/>
      <x:c r="L565" s="20"/>
      <x:c r="M565" s="20"/>
      <x:c r="N565" s="20"/>
      <x:c r="O565" s="31"/>
      <x:c r="P565" s="20"/>
      <x:c r="Q565" s="20"/>
      <x:c r="R565" s="20" t="str">
        <x:v>待展开</x:v>
      </x:c>
      <x:c r="S565" s="20"/>
      <x:c r="T565" s="31"/>
      <x:c r="U565" s="30" t="str">
        <x:f>IF(A565="","缺记录编号",IF(COUNTIFS(PathRecords[记录编号],A565)&lt;&gt;1,"记录编号重复",IF(OR(B565="",E565=""),"缺组合/功能",IF(COUNTIFS(Equipment[组合编号],B565)&lt;&gt;1,"组合编号无效",IF(COUNTIFS(FunctionMatrix[编号],E565)=0,"功能编号无效",IF(H565="不适用",IF(J565="已实测","适用性冲突",IF(I565="","待补不适用依据","不适用（非实测）")),IF(J565="阻塞",IF(I565="","待补阻塞原因","阻塞（非实测）"),IF(J565&lt;&gt;"已实测",IF(F565="","待展开路径","未实测"),IF(H565&lt;&gt;"适用","待确认适用性",IF(INDEX(Equipment[登记状态（自动）],MATCH(B565,Equipment[组合编号],0))&lt;&gt;"已登记","待补设备组合",IF(AND(F565&lt;&gt;"",G565&lt;&gt;"",K565&lt;&gt;"",L565&lt;&gt;"",M565&lt;&gt;"",N565&lt;&gt;"",ISNUMBER(O565),O565&gt;0,P565&lt;&gt;""),"记录齐全","待补实测记录")))))))))))</x:f>
        <x:v>待展开路径</x:v>
      </x:c>
    </x:row>
    <x:row r="566" ht="43.5" customHeight="1">
      <x:c r="A566" s="20" t="str">
        <x:v>REC-00557</x:v>
      </x:c>
      <x:c r="B566" s="20" t="str">
        <x:v>P2-B1-01</x:v>
      </x:c>
      <x:c r="C566" s="30" t="str">
        <x:f>IF(B566="","",IF(COUNTIFS(Equipment[组合编号],B566)&lt;&gt;1,"组合编号无效",INDEX(Equipment[PLC组],MATCH(B566,Equipment[组合编号],0))))</x:f>
        <x:v>汇川中大型</x:v>
      </x:c>
      <x:c r="D566" s="30" t="str">
        <x:f>IF(B566="","",IF(COUNTIFS(Equipment[组合编号],B566)&lt;&gt;1,"组合编号无效",INDEX(Equipment[驱动品牌],MATCH(B566,Equipment[组合编号],0))))</x:f>
        <x:v>CDHD</x:v>
      </x:c>
      <x:c r="E566" s="20" t="str">
        <x:v>S09</x:v>
      </x:c>
      <x:c r="F566" s="20"/>
      <x:c r="G566" s="20"/>
      <x:c r="H566" s="20" t="str">
        <x:v>待判定</x:v>
      </x:c>
      <x:c r="I566" s="20"/>
      <x:c r="J566" s="20" t="str">
        <x:v>未测试</x:v>
      </x:c>
      <x:c r="K566" s="20"/>
      <x:c r="L566" s="20"/>
      <x:c r="M566" s="20"/>
      <x:c r="N566" s="20"/>
      <x:c r="O566" s="31"/>
      <x:c r="P566" s="20"/>
      <x:c r="Q566" s="20"/>
      <x:c r="R566" s="20" t="str">
        <x:v>待展开</x:v>
      </x:c>
      <x:c r="S566" s="20"/>
      <x:c r="T566" s="31"/>
      <x:c r="U566" s="30" t="str">
        <x:f>IF(A566="","缺记录编号",IF(COUNTIFS(PathRecords[记录编号],A566)&lt;&gt;1,"记录编号重复",IF(OR(B566="",E566=""),"缺组合/功能",IF(COUNTIFS(Equipment[组合编号],B566)&lt;&gt;1,"组合编号无效",IF(COUNTIFS(FunctionMatrix[编号],E566)=0,"功能编号无效",IF(H566="不适用",IF(J566="已实测","适用性冲突",IF(I566="","待补不适用依据","不适用（非实测）")),IF(J566="阻塞",IF(I566="","待补阻塞原因","阻塞（非实测）"),IF(J566&lt;&gt;"已实测",IF(F566="","待展开路径","未实测"),IF(H566&lt;&gt;"适用","待确认适用性",IF(INDEX(Equipment[登记状态（自动）],MATCH(B566,Equipment[组合编号],0))&lt;&gt;"已登记","待补设备组合",IF(AND(F566&lt;&gt;"",G566&lt;&gt;"",K566&lt;&gt;"",L566&lt;&gt;"",M566&lt;&gt;"",N566&lt;&gt;"",ISNUMBER(O566),O566&gt;0,P566&lt;&gt;""),"记录齐全","待补实测记录")))))))))))</x:f>
        <x:v>待展开路径</x:v>
      </x:c>
    </x:row>
    <x:row r="567" ht="43.5" customHeight="1">
      <x:c r="A567" s="20" t="str">
        <x:v>REC-00558</x:v>
      </x:c>
      <x:c r="B567" s="20" t="str">
        <x:v>P2-B1-01</x:v>
      </x:c>
      <x:c r="C567" s="30" t="str">
        <x:f>IF(B567="","",IF(COUNTIFS(Equipment[组合编号],B567)&lt;&gt;1,"组合编号无效",INDEX(Equipment[PLC组],MATCH(B567,Equipment[组合编号],0))))</x:f>
        <x:v>汇川中大型</x:v>
      </x:c>
      <x:c r="D567" s="30" t="str">
        <x:f>IF(B567="","",IF(COUNTIFS(Equipment[组合编号],B567)&lt;&gt;1,"组合编号无效",INDEX(Equipment[驱动品牌],MATCH(B567,Equipment[组合编号],0))))</x:f>
        <x:v>CDHD</x:v>
      </x:c>
      <x:c r="E567" s="20" t="str">
        <x:v>U01</x:v>
      </x:c>
      <x:c r="F567" s="20"/>
      <x:c r="G567" s="20"/>
      <x:c r="H567" s="20" t="str">
        <x:v>待判定</x:v>
      </x:c>
      <x:c r="I567" s="20"/>
      <x:c r="J567" s="20" t="str">
        <x:v>未测试</x:v>
      </x:c>
      <x:c r="K567" s="20"/>
      <x:c r="L567" s="20"/>
      <x:c r="M567" s="20"/>
      <x:c r="N567" s="20"/>
      <x:c r="O567" s="31"/>
      <x:c r="P567" s="20"/>
      <x:c r="Q567" s="20"/>
      <x:c r="R567" s="20" t="str">
        <x:v>待展开</x:v>
      </x:c>
      <x:c r="S567" s="20"/>
      <x:c r="T567" s="31"/>
      <x:c r="U567" s="30" t="str">
        <x:f>IF(A567="","缺记录编号",IF(COUNTIFS(PathRecords[记录编号],A567)&lt;&gt;1,"记录编号重复",IF(OR(B567="",E567=""),"缺组合/功能",IF(COUNTIFS(Equipment[组合编号],B567)&lt;&gt;1,"组合编号无效",IF(COUNTIFS(FunctionMatrix[编号],E567)=0,"功能编号无效",IF(H567="不适用",IF(J567="已实测","适用性冲突",IF(I567="","待补不适用依据","不适用（非实测）")),IF(J567="阻塞",IF(I567="","待补阻塞原因","阻塞（非实测）"),IF(J567&lt;&gt;"已实测",IF(F567="","待展开路径","未实测"),IF(H567&lt;&gt;"适用","待确认适用性",IF(INDEX(Equipment[登记状态（自动）],MATCH(B567,Equipment[组合编号],0))&lt;&gt;"已登记","待补设备组合",IF(AND(F567&lt;&gt;"",G567&lt;&gt;"",K567&lt;&gt;"",L567&lt;&gt;"",M567&lt;&gt;"",N567&lt;&gt;"",ISNUMBER(O567),O567&gt;0,P567&lt;&gt;""),"记录齐全","待补实测记录")))))))))))</x:f>
        <x:v>待展开路径</x:v>
      </x:c>
    </x:row>
    <x:row r="568" ht="43.5" customHeight="1">
      <x:c r="A568" s="20" t="str">
        <x:v>REC-00559</x:v>
      </x:c>
      <x:c r="B568" s="20" t="str">
        <x:v>P2-B1-01</x:v>
      </x:c>
      <x:c r="C568" s="30" t="str">
        <x:f>IF(B568="","",IF(COUNTIFS(Equipment[组合编号],B568)&lt;&gt;1,"组合编号无效",INDEX(Equipment[PLC组],MATCH(B568,Equipment[组合编号],0))))</x:f>
        <x:v>汇川中大型</x:v>
      </x:c>
      <x:c r="D568" s="30" t="str">
        <x:f>IF(B568="","",IF(COUNTIFS(Equipment[组合编号],B568)&lt;&gt;1,"组合编号无效",INDEX(Equipment[驱动品牌],MATCH(B568,Equipment[组合编号],0))))</x:f>
        <x:v>CDHD</x:v>
      </x:c>
      <x:c r="E568" s="20" t="str">
        <x:v>U02</x:v>
      </x:c>
      <x:c r="F568" s="20"/>
      <x:c r="G568" s="20"/>
      <x:c r="H568" s="20" t="str">
        <x:v>待判定</x:v>
      </x:c>
      <x:c r="I568" s="20"/>
      <x:c r="J568" s="20" t="str">
        <x:v>未测试</x:v>
      </x:c>
      <x:c r="K568" s="20"/>
      <x:c r="L568" s="20"/>
      <x:c r="M568" s="20"/>
      <x:c r="N568" s="20"/>
      <x:c r="O568" s="31"/>
      <x:c r="P568" s="20"/>
      <x:c r="Q568" s="20"/>
      <x:c r="R568" s="20" t="str">
        <x:v>待展开</x:v>
      </x:c>
      <x:c r="S568" s="20"/>
      <x:c r="T568" s="31"/>
      <x:c r="U568" s="30" t="str">
        <x:f>IF(A568="","缺记录编号",IF(COUNTIFS(PathRecords[记录编号],A568)&lt;&gt;1,"记录编号重复",IF(OR(B568="",E568=""),"缺组合/功能",IF(COUNTIFS(Equipment[组合编号],B568)&lt;&gt;1,"组合编号无效",IF(COUNTIFS(FunctionMatrix[编号],E568)=0,"功能编号无效",IF(H568="不适用",IF(J568="已实测","适用性冲突",IF(I568="","待补不适用依据","不适用（非实测）")),IF(J568="阻塞",IF(I568="","待补阻塞原因","阻塞（非实测）"),IF(J568&lt;&gt;"已实测",IF(F568="","待展开路径","未实测"),IF(H568&lt;&gt;"适用","待确认适用性",IF(INDEX(Equipment[登记状态（自动）],MATCH(B568,Equipment[组合编号],0))&lt;&gt;"已登记","待补设备组合",IF(AND(F568&lt;&gt;"",G568&lt;&gt;"",K568&lt;&gt;"",L568&lt;&gt;"",M568&lt;&gt;"",N568&lt;&gt;"",ISNUMBER(O568),O568&gt;0,P568&lt;&gt;""),"记录齐全","待补实测记录")))))))))))</x:f>
        <x:v>待展开路径</x:v>
      </x:c>
    </x:row>
    <x:row r="569" ht="43.5" customHeight="1">
      <x:c r="A569" s="20" t="str">
        <x:v>REC-00560</x:v>
      </x:c>
      <x:c r="B569" s="20" t="str">
        <x:v>P2-B1-01</x:v>
      </x:c>
      <x:c r="C569" s="30" t="str">
        <x:f>IF(B569="","",IF(COUNTIFS(Equipment[组合编号],B569)&lt;&gt;1,"组合编号无效",INDEX(Equipment[PLC组],MATCH(B569,Equipment[组合编号],0))))</x:f>
        <x:v>汇川中大型</x:v>
      </x:c>
      <x:c r="D569" s="30" t="str">
        <x:f>IF(B569="","",IF(COUNTIFS(Equipment[组合编号],B569)&lt;&gt;1,"组合编号无效",INDEX(Equipment[驱动品牌],MATCH(B569,Equipment[组合编号],0))))</x:f>
        <x:v>CDHD</x:v>
      </x:c>
      <x:c r="E569" s="20" t="str">
        <x:v>U03</x:v>
      </x:c>
      <x:c r="F569" s="20"/>
      <x:c r="G569" s="20"/>
      <x:c r="H569" s="20" t="str">
        <x:v>待判定</x:v>
      </x:c>
      <x:c r="I569" s="20"/>
      <x:c r="J569" s="20" t="str">
        <x:v>未测试</x:v>
      </x:c>
      <x:c r="K569" s="20"/>
      <x:c r="L569" s="20"/>
      <x:c r="M569" s="20"/>
      <x:c r="N569" s="20"/>
      <x:c r="O569" s="31"/>
      <x:c r="P569" s="20"/>
      <x:c r="Q569" s="20"/>
      <x:c r="R569" s="20" t="str">
        <x:v>待展开</x:v>
      </x:c>
      <x:c r="S569" s="20"/>
      <x:c r="T569" s="31"/>
      <x:c r="U569" s="30" t="str">
        <x:f>IF(A569="","缺记录编号",IF(COUNTIFS(PathRecords[记录编号],A569)&lt;&gt;1,"记录编号重复",IF(OR(B569="",E569=""),"缺组合/功能",IF(COUNTIFS(Equipment[组合编号],B569)&lt;&gt;1,"组合编号无效",IF(COUNTIFS(FunctionMatrix[编号],E569)=0,"功能编号无效",IF(H569="不适用",IF(J569="已实测","适用性冲突",IF(I569="","待补不适用依据","不适用（非实测）")),IF(J569="阻塞",IF(I569="","待补阻塞原因","阻塞（非实测）"),IF(J569&lt;&gt;"已实测",IF(F569="","待展开路径","未实测"),IF(H569&lt;&gt;"适用","待确认适用性",IF(INDEX(Equipment[登记状态（自动）],MATCH(B569,Equipment[组合编号],0))&lt;&gt;"已登记","待补设备组合",IF(AND(F569&lt;&gt;"",G569&lt;&gt;"",K569&lt;&gt;"",L569&lt;&gt;"",M569&lt;&gt;"",N569&lt;&gt;"",ISNUMBER(O569),O569&gt;0,P569&lt;&gt;""),"记录齐全","待补实测记录")))))))))))</x:f>
        <x:v>待展开路径</x:v>
      </x:c>
    </x:row>
    <x:row r="570" ht="43.5" customHeight="1">
      <x:c r="A570" s="20" t="str">
        <x:v>REC-00561</x:v>
      </x:c>
      <x:c r="B570" s="20" t="str">
        <x:v>P2-B1-01</x:v>
      </x:c>
      <x:c r="C570" s="30" t="str">
        <x:f>IF(B570="","",IF(COUNTIFS(Equipment[组合编号],B570)&lt;&gt;1,"组合编号无效",INDEX(Equipment[PLC组],MATCH(B570,Equipment[组合编号],0))))</x:f>
        <x:v>汇川中大型</x:v>
      </x:c>
      <x:c r="D570" s="30" t="str">
        <x:f>IF(B570="","",IF(COUNTIFS(Equipment[组合编号],B570)&lt;&gt;1,"组合编号无效",INDEX(Equipment[驱动品牌],MATCH(B570,Equipment[组合编号],0))))</x:f>
        <x:v>CDHD</x:v>
      </x:c>
      <x:c r="E570" s="20" t="str">
        <x:v>U04</x:v>
      </x:c>
      <x:c r="F570" s="20"/>
      <x:c r="G570" s="20"/>
      <x:c r="H570" s="20" t="str">
        <x:v>待判定</x:v>
      </x:c>
      <x:c r="I570" s="20"/>
      <x:c r="J570" s="20" t="str">
        <x:v>未测试</x:v>
      </x:c>
      <x:c r="K570" s="20"/>
      <x:c r="L570" s="20"/>
      <x:c r="M570" s="20"/>
      <x:c r="N570" s="20"/>
      <x:c r="O570" s="31"/>
      <x:c r="P570" s="20"/>
      <x:c r="Q570" s="20"/>
      <x:c r="R570" s="20" t="str">
        <x:v>待展开</x:v>
      </x:c>
      <x:c r="S570" s="20"/>
      <x:c r="T570" s="31"/>
      <x:c r="U570" s="30" t="str">
        <x:f>IF(A570="","缺记录编号",IF(COUNTIFS(PathRecords[记录编号],A570)&lt;&gt;1,"记录编号重复",IF(OR(B570="",E570=""),"缺组合/功能",IF(COUNTIFS(Equipment[组合编号],B570)&lt;&gt;1,"组合编号无效",IF(COUNTIFS(FunctionMatrix[编号],E570)=0,"功能编号无效",IF(H570="不适用",IF(J570="已实测","适用性冲突",IF(I570="","待补不适用依据","不适用（非实测）")),IF(J570="阻塞",IF(I570="","待补阻塞原因","阻塞（非实测）"),IF(J570&lt;&gt;"已实测",IF(F570="","待展开路径","未实测"),IF(H570&lt;&gt;"适用","待确认适用性",IF(INDEX(Equipment[登记状态（自动）],MATCH(B570,Equipment[组合编号],0))&lt;&gt;"已登记","待补设备组合",IF(AND(F570&lt;&gt;"",G570&lt;&gt;"",K570&lt;&gt;"",L570&lt;&gt;"",M570&lt;&gt;"",N570&lt;&gt;"",ISNUMBER(O570),O570&gt;0,P570&lt;&gt;""),"记录齐全","待补实测记录")))))))))))</x:f>
        <x:v>待展开路径</x:v>
      </x:c>
    </x:row>
    <x:row r="571" ht="43.5" customHeight="1">
      <x:c r="A571" s="20" t="str">
        <x:v>REC-00562</x:v>
      </x:c>
      <x:c r="B571" s="20" t="str">
        <x:v>P2-B1-01</x:v>
      </x:c>
      <x:c r="C571" s="30" t="str">
        <x:f>IF(B571="","",IF(COUNTIFS(Equipment[组合编号],B571)&lt;&gt;1,"组合编号无效",INDEX(Equipment[PLC组],MATCH(B571,Equipment[组合编号],0))))</x:f>
        <x:v>汇川中大型</x:v>
      </x:c>
      <x:c r="D571" s="30" t="str">
        <x:f>IF(B571="","",IF(COUNTIFS(Equipment[组合编号],B571)&lt;&gt;1,"组合编号无效",INDEX(Equipment[驱动品牌],MATCH(B571,Equipment[组合编号],0))))</x:f>
        <x:v>CDHD</x:v>
      </x:c>
      <x:c r="E571" s="20" t="str">
        <x:v>U05</x:v>
      </x:c>
      <x:c r="F571" s="20"/>
      <x:c r="G571" s="20"/>
      <x:c r="H571" s="20" t="str">
        <x:v>待判定</x:v>
      </x:c>
      <x:c r="I571" s="20"/>
      <x:c r="J571" s="20" t="str">
        <x:v>未测试</x:v>
      </x:c>
      <x:c r="K571" s="20"/>
      <x:c r="L571" s="20"/>
      <x:c r="M571" s="20"/>
      <x:c r="N571" s="20"/>
      <x:c r="O571" s="31"/>
      <x:c r="P571" s="20"/>
      <x:c r="Q571" s="20"/>
      <x:c r="R571" s="20" t="str">
        <x:v>待展开</x:v>
      </x:c>
      <x:c r="S571" s="20"/>
      <x:c r="T571" s="31"/>
      <x:c r="U571" s="30" t="str">
        <x:f>IF(A571="","缺记录编号",IF(COUNTIFS(PathRecords[记录编号],A571)&lt;&gt;1,"记录编号重复",IF(OR(B571="",E571=""),"缺组合/功能",IF(COUNTIFS(Equipment[组合编号],B571)&lt;&gt;1,"组合编号无效",IF(COUNTIFS(FunctionMatrix[编号],E571)=0,"功能编号无效",IF(H571="不适用",IF(J571="已实测","适用性冲突",IF(I571="","待补不适用依据","不适用（非实测）")),IF(J571="阻塞",IF(I571="","待补阻塞原因","阻塞（非实测）"),IF(J571&lt;&gt;"已实测",IF(F571="","待展开路径","未实测"),IF(H571&lt;&gt;"适用","待确认适用性",IF(INDEX(Equipment[登记状态（自动）],MATCH(B571,Equipment[组合编号],0))&lt;&gt;"已登记","待补设备组合",IF(AND(F571&lt;&gt;"",G571&lt;&gt;"",K571&lt;&gt;"",L571&lt;&gt;"",M571&lt;&gt;"",N571&lt;&gt;"",ISNUMBER(O571),O571&gt;0,P571&lt;&gt;""),"记录齐全","待补实测记录")))))))))))</x:f>
        <x:v>待展开路径</x:v>
      </x:c>
    </x:row>
    <x:row r="572" ht="43.5" customHeight="1">
      <x:c r="A572" s="20" t="str">
        <x:v>REC-00563</x:v>
      </x:c>
      <x:c r="B572" s="20" t="str">
        <x:v>P2-B1-01</x:v>
      </x:c>
      <x:c r="C572" s="30" t="str">
        <x:f>IF(B572="","",IF(COUNTIFS(Equipment[组合编号],B572)&lt;&gt;1,"组合编号无效",INDEX(Equipment[PLC组],MATCH(B572,Equipment[组合编号],0))))</x:f>
        <x:v>汇川中大型</x:v>
      </x:c>
      <x:c r="D572" s="30" t="str">
        <x:f>IF(B572="","",IF(COUNTIFS(Equipment[组合编号],B572)&lt;&gt;1,"组合编号无效",INDEX(Equipment[驱动品牌],MATCH(B572,Equipment[组合编号],0))))</x:f>
        <x:v>CDHD</x:v>
      </x:c>
      <x:c r="E572" s="20" t="str">
        <x:v>U06</x:v>
      </x:c>
      <x:c r="F572" s="20"/>
      <x:c r="G572" s="20"/>
      <x:c r="H572" s="20" t="str">
        <x:v>待判定</x:v>
      </x:c>
      <x:c r="I572" s="20"/>
      <x:c r="J572" s="20" t="str">
        <x:v>未测试</x:v>
      </x:c>
      <x:c r="K572" s="20"/>
      <x:c r="L572" s="20"/>
      <x:c r="M572" s="20"/>
      <x:c r="N572" s="20"/>
      <x:c r="O572" s="31"/>
      <x:c r="P572" s="20"/>
      <x:c r="Q572" s="20"/>
      <x:c r="R572" s="20" t="str">
        <x:v>待展开</x:v>
      </x:c>
      <x:c r="S572" s="20"/>
      <x:c r="T572" s="31"/>
      <x:c r="U572" s="30" t="str">
        <x:f>IF(A572="","缺记录编号",IF(COUNTIFS(PathRecords[记录编号],A572)&lt;&gt;1,"记录编号重复",IF(OR(B572="",E572=""),"缺组合/功能",IF(COUNTIFS(Equipment[组合编号],B572)&lt;&gt;1,"组合编号无效",IF(COUNTIFS(FunctionMatrix[编号],E572)=0,"功能编号无效",IF(H572="不适用",IF(J572="已实测","适用性冲突",IF(I572="","待补不适用依据","不适用（非实测）")),IF(J572="阻塞",IF(I572="","待补阻塞原因","阻塞（非实测）"),IF(J572&lt;&gt;"已实测",IF(F572="","待展开路径","未实测"),IF(H572&lt;&gt;"适用","待确认适用性",IF(INDEX(Equipment[登记状态（自动）],MATCH(B572,Equipment[组合编号],0))&lt;&gt;"已登记","待补设备组合",IF(AND(F572&lt;&gt;"",G572&lt;&gt;"",K572&lt;&gt;"",L572&lt;&gt;"",M572&lt;&gt;"",N572&lt;&gt;"",ISNUMBER(O572),O572&gt;0,P572&lt;&gt;""),"记录齐全","待补实测记录")))))))))))</x:f>
        <x:v>待展开路径</x:v>
      </x:c>
    </x:row>
    <x:row r="573" ht="43.5" customHeight="1">
      <x:c r="A573" s="20" t="str">
        <x:v>REC-00564</x:v>
      </x:c>
      <x:c r="B573" s="20" t="str">
        <x:v>P2-B1-01</x:v>
      </x:c>
      <x:c r="C573" s="30" t="str">
        <x:f>IF(B573="","",IF(COUNTIFS(Equipment[组合编号],B573)&lt;&gt;1,"组合编号无效",INDEX(Equipment[PLC组],MATCH(B573,Equipment[组合编号],0))))</x:f>
        <x:v>汇川中大型</x:v>
      </x:c>
      <x:c r="D573" s="30" t="str">
        <x:f>IF(B573="","",IF(COUNTIFS(Equipment[组合编号],B573)&lt;&gt;1,"组合编号无效",INDEX(Equipment[驱动品牌],MATCH(B573,Equipment[组合编号],0))))</x:f>
        <x:v>CDHD</x:v>
      </x:c>
      <x:c r="E573" s="20" t="str">
        <x:v>U07</x:v>
      </x:c>
      <x:c r="F573" s="20"/>
      <x:c r="G573" s="20"/>
      <x:c r="H573" s="20" t="str">
        <x:v>待判定</x:v>
      </x:c>
      <x:c r="I573" s="20"/>
      <x:c r="J573" s="20" t="str">
        <x:v>未测试</x:v>
      </x:c>
      <x:c r="K573" s="20"/>
      <x:c r="L573" s="20"/>
      <x:c r="M573" s="20"/>
      <x:c r="N573" s="20"/>
      <x:c r="O573" s="31"/>
      <x:c r="P573" s="20"/>
      <x:c r="Q573" s="20"/>
      <x:c r="R573" s="20" t="str">
        <x:v>待展开</x:v>
      </x:c>
      <x:c r="S573" s="20"/>
      <x:c r="T573" s="31"/>
      <x:c r="U573" s="30" t="str">
        <x:f>IF(A573="","缺记录编号",IF(COUNTIFS(PathRecords[记录编号],A573)&lt;&gt;1,"记录编号重复",IF(OR(B573="",E573=""),"缺组合/功能",IF(COUNTIFS(Equipment[组合编号],B573)&lt;&gt;1,"组合编号无效",IF(COUNTIFS(FunctionMatrix[编号],E573)=0,"功能编号无效",IF(H573="不适用",IF(J573="已实测","适用性冲突",IF(I573="","待补不适用依据","不适用（非实测）")),IF(J573="阻塞",IF(I573="","待补阻塞原因","阻塞（非实测）"),IF(J573&lt;&gt;"已实测",IF(F573="","待展开路径","未实测"),IF(H573&lt;&gt;"适用","待确认适用性",IF(INDEX(Equipment[登记状态（自动）],MATCH(B573,Equipment[组合编号],0))&lt;&gt;"已登记","待补设备组合",IF(AND(F573&lt;&gt;"",G573&lt;&gt;"",K573&lt;&gt;"",L573&lt;&gt;"",M573&lt;&gt;"",N573&lt;&gt;"",ISNUMBER(O573),O573&gt;0,P573&lt;&gt;""),"记录齐全","待补实测记录")))))))))))</x:f>
        <x:v>待展开路径</x:v>
      </x:c>
    </x:row>
    <x:row r="574" ht="43.5" customHeight="1">
      <x:c r="A574" s="20" t="str">
        <x:v>REC-00565</x:v>
      </x:c>
      <x:c r="B574" s="20" t="str">
        <x:v>P2-B1-01</x:v>
      </x:c>
      <x:c r="C574" s="30" t="str">
        <x:f>IF(B574="","",IF(COUNTIFS(Equipment[组合编号],B574)&lt;&gt;1,"组合编号无效",INDEX(Equipment[PLC组],MATCH(B574,Equipment[组合编号],0))))</x:f>
        <x:v>汇川中大型</x:v>
      </x:c>
      <x:c r="D574" s="30" t="str">
        <x:f>IF(B574="","",IF(COUNTIFS(Equipment[组合编号],B574)&lt;&gt;1,"组合编号无效",INDEX(Equipment[驱动品牌],MATCH(B574,Equipment[组合编号],0))))</x:f>
        <x:v>CDHD</x:v>
      </x:c>
      <x:c r="E574" s="20" t="str">
        <x:v>U08</x:v>
      </x:c>
      <x:c r="F574" s="20"/>
      <x:c r="G574" s="20"/>
      <x:c r="H574" s="20" t="str">
        <x:v>待判定</x:v>
      </x:c>
      <x:c r="I574" s="20"/>
      <x:c r="J574" s="20" t="str">
        <x:v>未测试</x:v>
      </x:c>
      <x:c r="K574" s="20"/>
      <x:c r="L574" s="20"/>
      <x:c r="M574" s="20"/>
      <x:c r="N574" s="20"/>
      <x:c r="O574" s="31"/>
      <x:c r="P574" s="20"/>
      <x:c r="Q574" s="20"/>
      <x:c r="R574" s="20" t="str">
        <x:v>待展开</x:v>
      </x:c>
      <x:c r="S574" s="20"/>
      <x:c r="T574" s="31"/>
      <x:c r="U574" s="30" t="str">
        <x:f>IF(A574="","缺记录编号",IF(COUNTIFS(PathRecords[记录编号],A574)&lt;&gt;1,"记录编号重复",IF(OR(B574="",E574=""),"缺组合/功能",IF(COUNTIFS(Equipment[组合编号],B574)&lt;&gt;1,"组合编号无效",IF(COUNTIFS(FunctionMatrix[编号],E574)=0,"功能编号无效",IF(H574="不适用",IF(J574="已实测","适用性冲突",IF(I574="","待补不适用依据","不适用（非实测）")),IF(J574="阻塞",IF(I574="","待补阻塞原因","阻塞（非实测）"),IF(J574&lt;&gt;"已实测",IF(F574="","待展开路径","未实测"),IF(H574&lt;&gt;"适用","待确认适用性",IF(INDEX(Equipment[登记状态（自动）],MATCH(B574,Equipment[组合编号],0))&lt;&gt;"已登记","待补设备组合",IF(AND(F574&lt;&gt;"",G574&lt;&gt;"",K574&lt;&gt;"",L574&lt;&gt;"",M574&lt;&gt;"",N574&lt;&gt;"",ISNUMBER(O574),O574&gt;0,P574&lt;&gt;""),"记录齐全","待补实测记录")))))))))))</x:f>
        <x:v>待展开路径</x:v>
      </x:c>
    </x:row>
    <x:row r="575" ht="43.5" customHeight="1">
      <x:c r="A575" s="20" t="str">
        <x:v>REC-00566</x:v>
      </x:c>
      <x:c r="B575" s="20" t="str">
        <x:v>P2-B1-01</x:v>
      </x:c>
      <x:c r="C575" s="30" t="str">
        <x:f>IF(B575="","",IF(COUNTIFS(Equipment[组合编号],B575)&lt;&gt;1,"组合编号无效",INDEX(Equipment[PLC组],MATCH(B575,Equipment[组合编号],0))))</x:f>
        <x:v>汇川中大型</x:v>
      </x:c>
      <x:c r="D575" s="30" t="str">
        <x:f>IF(B575="","",IF(COUNTIFS(Equipment[组合编号],B575)&lt;&gt;1,"组合编号无效",INDEX(Equipment[驱动品牌],MATCH(B575,Equipment[组合编号],0))))</x:f>
        <x:v>CDHD</x:v>
      </x:c>
      <x:c r="E575" s="20" t="str">
        <x:v>U09</x:v>
      </x:c>
      <x:c r="F575" s="20"/>
      <x:c r="G575" s="20"/>
      <x:c r="H575" s="20" t="str">
        <x:v>待判定</x:v>
      </x:c>
      <x:c r="I575" s="20"/>
      <x:c r="J575" s="20" t="str">
        <x:v>未测试</x:v>
      </x:c>
      <x:c r="K575" s="20"/>
      <x:c r="L575" s="20"/>
      <x:c r="M575" s="20"/>
      <x:c r="N575" s="20"/>
      <x:c r="O575" s="31"/>
      <x:c r="P575" s="20"/>
      <x:c r="Q575" s="20"/>
      <x:c r="R575" s="20" t="str">
        <x:v>待展开</x:v>
      </x:c>
      <x:c r="S575" s="20"/>
      <x:c r="T575" s="31"/>
      <x:c r="U575" s="30" t="str">
        <x:f>IF(A575="","缺记录编号",IF(COUNTIFS(PathRecords[记录编号],A575)&lt;&gt;1,"记录编号重复",IF(OR(B575="",E575=""),"缺组合/功能",IF(COUNTIFS(Equipment[组合编号],B575)&lt;&gt;1,"组合编号无效",IF(COUNTIFS(FunctionMatrix[编号],E575)=0,"功能编号无效",IF(H575="不适用",IF(J575="已实测","适用性冲突",IF(I575="","待补不适用依据","不适用（非实测）")),IF(J575="阻塞",IF(I575="","待补阻塞原因","阻塞（非实测）"),IF(J575&lt;&gt;"已实测",IF(F575="","待展开路径","未实测"),IF(H575&lt;&gt;"适用","待确认适用性",IF(INDEX(Equipment[登记状态（自动）],MATCH(B575,Equipment[组合编号],0))&lt;&gt;"已登记","待补设备组合",IF(AND(F575&lt;&gt;"",G575&lt;&gt;"",K575&lt;&gt;"",L575&lt;&gt;"",M575&lt;&gt;"",N575&lt;&gt;"",ISNUMBER(O575),O575&gt;0,P575&lt;&gt;""),"记录齐全","待补实测记录")))))))))))</x:f>
        <x:v>待展开路径</x:v>
      </x:c>
    </x:row>
    <x:row r="576" ht="43.5" customHeight="1">
      <x:c r="A576" s="20" t="str">
        <x:v>REC-00567</x:v>
      </x:c>
      <x:c r="B576" s="20" t="str">
        <x:v>P2-B1-01</x:v>
      </x:c>
      <x:c r="C576" s="30" t="str">
        <x:f>IF(B576="","",IF(COUNTIFS(Equipment[组合编号],B576)&lt;&gt;1,"组合编号无效",INDEX(Equipment[PLC组],MATCH(B576,Equipment[组合编号],0))))</x:f>
        <x:v>汇川中大型</x:v>
      </x:c>
      <x:c r="D576" s="30" t="str">
        <x:f>IF(B576="","",IF(COUNTIFS(Equipment[组合编号],B576)&lt;&gt;1,"组合编号无效",INDEX(Equipment[驱动品牌],MATCH(B576,Equipment[组合编号],0))))</x:f>
        <x:v>CDHD</x:v>
      </x:c>
      <x:c r="E576" s="20" t="str">
        <x:v>U10</x:v>
      </x:c>
      <x:c r="F576" s="20"/>
      <x:c r="G576" s="20"/>
      <x:c r="H576" s="20" t="str">
        <x:v>待判定</x:v>
      </x:c>
      <x:c r="I576" s="20"/>
      <x:c r="J576" s="20" t="str">
        <x:v>未测试</x:v>
      </x:c>
      <x:c r="K576" s="20"/>
      <x:c r="L576" s="20"/>
      <x:c r="M576" s="20"/>
      <x:c r="N576" s="20"/>
      <x:c r="O576" s="31"/>
      <x:c r="P576" s="20"/>
      <x:c r="Q576" s="20"/>
      <x:c r="R576" s="20" t="str">
        <x:v>待展开</x:v>
      </x:c>
      <x:c r="S576" s="20"/>
      <x:c r="T576" s="31"/>
      <x:c r="U576" s="30" t="str">
        <x:f>IF(A576="","缺记录编号",IF(COUNTIFS(PathRecords[记录编号],A576)&lt;&gt;1,"记录编号重复",IF(OR(B576="",E576=""),"缺组合/功能",IF(COUNTIFS(Equipment[组合编号],B576)&lt;&gt;1,"组合编号无效",IF(COUNTIFS(FunctionMatrix[编号],E576)=0,"功能编号无效",IF(H576="不适用",IF(J576="已实测","适用性冲突",IF(I576="","待补不适用依据","不适用（非实测）")),IF(J576="阻塞",IF(I576="","待补阻塞原因","阻塞（非实测）"),IF(J576&lt;&gt;"已实测",IF(F576="","待展开路径","未实测"),IF(H576&lt;&gt;"适用","待确认适用性",IF(INDEX(Equipment[登记状态（自动）],MATCH(B576,Equipment[组合编号],0))&lt;&gt;"已登记","待补设备组合",IF(AND(F576&lt;&gt;"",G576&lt;&gt;"",K576&lt;&gt;"",L576&lt;&gt;"",M576&lt;&gt;"",N576&lt;&gt;"",ISNUMBER(O576),O576&gt;0,P576&lt;&gt;""),"记录齐全","待补实测记录")))))))))))</x:f>
        <x:v>待展开路径</x:v>
      </x:c>
    </x:row>
    <x:row r="577" ht="43.5" customHeight="1">
      <x:c r="A577" s="20" t="str">
        <x:v>REC-00568</x:v>
      </x:c>
      <x:c r="B577" s="20" t="str">
        <x:v>P2-B1-01</x:v>
      </x:c>
      <x:c r="C577" s="30" t="str">
        <x:f>IF(B577="","",IF(COUNTIFS(Equipment[组合编号],B577)&lt;&gt;1,"组合编号无效",INDEX(Equipment[PLC组],MATCH(B577,Equipment[组合编号],0))))</x:f>
        <x:v>汇川中大型</x:v>
      </x:c>
      <x:c r="D577" s="30" t="str">
        <x:f>IF(B577="","",IF(COUNTIFS(Equipment[组合编号],B577)&lt;&gt;1,"组合编号无效",INDEX(Equipment[驱动品牌],MATCH(B577,Equipment[组合编号],0))))</x:f>
        <x:v>CDHD</x:v>
      </x:c>
      <x:c r="E577" s="20" t="str">
        <x:v>H01</x:v>
      </x:c>
      <x:c r="F577" s="20"/>
      <x:c r="G577" s="20"/>
      <x:c r="H577" s="20" t="str">
        <x:v>待判定</x:v>
      </x:c>
      <x:c r="I577" s="20"/>
      <x:c r="J577" s="20" t="str">
        <x:v>未测试</x:v>
      </x:c>
      <x:c r="K577" s="20"/>
      <x:c r="L577" s="20"/>
      <x:c r="M577" s="20"/>
      <x:c r="N577" s="20"/>
      <x:c r="O577" s="31"/>
      <x:c r="P577" s="20"/>
      <x:c r="Q577" s="20"/>
      <x:c r="R577" s="20" t="str">
        <x:v>待展开</x:v>
      </x:c>
      <x:c r="S577" s="20"/>
      <x:c r="T577" s="31"/>
      <x:c r="U577" s="30" t="str">
        <x:f>IF(A577="","缺记录编号",IF(COUNTIFS(PathRecords[记录编号],A577)&lt;&gt;1,"记录编号重复",IF(OR(B577="",E577=""),"缺组合/功能",IF(COUNTIFS(Equipment[组合编号],B577)&lt;&gt;1,"组合编号无效",IF(COUNTIFS(FunctionMatrix[编号],E577)=0,"功能编号无效",IF(H577="不适用",IF(J577="已实测","适用性冲突",IF(I577="","待补不适用依据","不适用（非实测）")),IF(J577="阻塞",IF(I577="","待补阻塞原因","阻塞（非实测）"),IF(J577&lt;&gt;"已实测",IF(F577="","待展开路径","未实测"),IF(H577&lt;&gt;"适用","待确认适用性",IF(INDEX(Equipment[登记状态（自动）],MATCH(B577,Equipment[组合编号],0))&lt;&gt;"已登记","待补设备组合",IF(AND(F577&lt;&gt;"",G577&lt;&gt;"",K577&lt;&gt;"",L577&lt;&gt;"",M577&lt;&gt;"",N577&lt;&gt;"",ISNUMBER(O577),O577&gt;0,P577&lt;&gt;""),"记录齐全","待补实测记录")))))))))))</x:f>
        <x:v>待展开路径</x:v>
      </x:c>
    </x:row>
    <x:row r="578" ht="43.5" customHeight="1">
      <x:c r="A578" s="20" t="str">
        <x:v>REC-00569</x:v>
      </x:c>
      <x:c r="B578" s="20" t="str">
        <x:v>P2-B1-01</x:v>
      </x:c>
      <x:c r="C578" s="30" t="str">
        <x:f>IF(B578="","",IF(COUNTIFS(Equipment[组合编号],B578)&lt;&gt;1,"组合编号无效",INDEX(Equipment[PLC组],MATCH(B578,Equipment[组合编号],0))))</x:f>
        <x:v>汇川中大型</x:v>
      </x:c>
      <x:c r="D578" s="30" t="str">
        <x:f>IF(B578="","",IF(COUNTIFS(Equipment[组合编号],B578)&lt;&gt;1,"组合编号无效",INDEX(Equipment[驱动品牌],MATCH(B578,Equipment[组合编号],0))))</x:f>
        <x:v>CDHD</x:v>
      </x:c>
      <x:c r="E578" s="20" t="str">
        <x:v>H02</x:v>
      </x:c>
      <x:c r="F578" s="20"/>
      <x:c r="G578" s="20"/>
      <x:c r="H578" s="20" t="str">
        <x:v>待判定</x:v>
      </x:c>
      <x:c r="I578" s="20"/>
      <x:c r="J578" s="20" t="str">
        <x:v>未测试</x:v>
      </x:c>
      <x:c r="K578" s="20"/>
      <x:c r="L578" s="20"/>
      <x:c r="M578" s="20"/>
      <x:c r="N578" s="20"/>
      <x:c r="O578" s="31"/>
      <x:c r="P578" s="20"/>
      <x:c r="Q578" s="20"/>
      <x:c r="R578" s="20" t="str">
        <x:v>待展开</x:v>
      </x:c>
      <x:c r="S578" s="20"/>
      <x:c r="T578" s="31"/>
      <x:c r="U578" s="30" t="str">
        <x:f>IF(A578="","缺记录编号",IF(COUNTIFS(PathRecords[记录编号],A578)&lt;&gt;1,"记录编号重复",IF(OR(B578="",E578=""),"缺组合/功能",IF(COUNTIFS(Equipment[组合编号],B578)&lt;&gt;1,"组合编号无效",IF(COUNTIFS(FunctionMatrix[编号],E578)=0,"功能编号无效",IF(H578="不适用",IF(J578="已实测","适用性冲突",IF(I578="","待补不适用依据","不适用（非实测）")),IF(J578="阻塞",IF(I578="","待补阻塞原因","阻塞（非实测）"),IF(J578&lt;&gt;"已实测",IF(F578="","待展开路径","未实测"),IF(H578&lt;&gt;"适用","待确认适用性",IF(INDEX(Equipment[登记状态（自动）],MATCH(B578,Equipment[组合编号],0))&lt;&gt;"已登记","待补设备组合",IF(AND(F578&lt;&gt;"",G578&lt;&gt;"",K578&lt;&gt;"",L578&lt;&gt;"",M578&lt;&gt;"",N578&lt;&gt;"",ISNUMBER(O578),O578&gt;0,P578&lt;&gt;""),"记录齐全","待补实测记录")))))))))))</x:f>
        <x:v>待展开路径</x:v>
      </x:c>
    </x:row>
    <x:row r="579" ht="43.5" customHeight="1">
      <x:c r="A579" s="20" t="str">
        <x:v>REC-00570</x:v>
      </x:c>
      <x:c r="B579" s="20" t="str">
        <x:v>P2-B1-01</x:v>
      </x:c>
      <x:c r="C579" s="30" t="str">
        <x:f>IF(B579="","",IF(COUNTIFS(Equipment[组合编号],B579)&lt;&gt;1,"组合编号无效",INDEX(Equipment[PLC组],MATCH(B579,Equipment[组合编号],0))))</x:f>
        <x:v>汇川中大型</x:v>
      </x:c>
      <x:c r="D579" s="30" t="str">
        <x:f>IF(B579="","",IF(COUNTIFS(Equipment[组合编号],B579)&lt;&gt;1,"组合编号无效",INDEX(Equipment[驱动品牌],MATCH(B579,Equipment[组合编号],0))))</x:f>
        <x:v>CDHD</x:v>
      </x:c>
      <x:c r="E579" s="20" t="str">
        <x:v>H03</x:v>
      </x:c>
      <x:c r="F579" s="20"/>
      <x:c r="G579" s="20"/>
      <x:c r="H579" s="20" t="str">
        <x:v>待判定</x:v>
      </x:c>
      <x:c r="I579" s="20"/>
      <x:c r="J579" s="20" t="str">
        <x:v>未测试</x:v>
      </x:c>
      <x:c r="K579" s="20"/>
      <x:c r="L579" s="20"/>
      <x:c r="M579" s="20"/>
      <x:c r="N579" s="20"/>
      <x:c r="O579" s="31"/>
      <x:c r="P579" s="20"/>
      <x:c r="Q579" s="20"/>
      <x:c r="R579" s="20" t="str">
        <x:v>待展开</x:v>
      </x:c>
      <x:c r="S579" s="20"/>
      <x:c r="T579" s="31"/>
      <x:c r="U579" s="30" t="str">
        <x:f>IF(A579="","缺记录编号",IF(COUNTIFS(PathRecords[记录编号],A579)&lt;&gt;1,"记录编号重复",IF(OR(B579="",E579=""),"缺组合/功能",IF(COUNTIFS(Equipment[组合编号],B579)&lt;&gt;1,"组合编号无效",IF(COUNTIFS(FunctionMatrix[编号],E579)=0,"功能编号无效",IF(H579="不适用",IF(J579="已实测","适用性冲突",IF(I579="","待补不适用依据","不适用（非实测）")),IF(J579="阻塞",IF(I579="","待补阻塞原因","阻塞（非实测）"),IF(J579&lt;&gt;"已实测",IF(F579="","待展开路径","未实测"),IF(H579&lt;&gt;"适用","待确认适用性",IF(INDEX(Equipment[登记状态（自动）],MATCH(B579,Equipment[组合编号],0))&lt;&gt;"已登记","待补设备组合",IF(AND(F579&lt;&gt;"",G579&lt;&gt;"",K579&lt;&gt;"",L579&lt;&gt;"",M579&lt;&gt;"",N579&lt;&gt;"",ISNUMBER(O579),O579&gt;0,P579&lt;&gt;""),"记录齐全","待补实测记录")))))))))))</x:f>
        <x:v>待展开路径</x:v>
      </x:c>
    </x:row>
    <x:row r="580" ht="43.5" customHeight="1">
      <x:c r="A580" s="20" t="str">
        <x:v>REC-00571</x:v>
      </x:c>
      <x:c r="B580" s="20" t="str">
        <x:v>P2-B1-01</x:v>
      </x:c>
      <x:c r="C580" s="30" t="str">
        <x:f>IF(B580="","",IF(COUNTIFS(Equipment[组合编号],B580)&lt;&gt;1,"组合编号无效",INDEX(Equipment[PLC组],MATCH(B580,Equipment[组合编号],0))))</x:f>
        <x:v>汇川中大型</x:v>
      </x:c>
      <x:c r="D580" s="30" t="str">
        <x:f>IF(B580="","",IF(COUNTIFS(Equipment[组合编号],B580)&lt;&gt;1,"组合编号无效",INDEX(Equipment[驱动品牌],MATCH(B580,Equipment[组合编号],0))))</x:f>
        <x:v>CDHD</x:v>
      </x:c>
      <x:c r="E580" s="20" t="str">
        <x:v>H04</x:v>
      </x:c>
      <x:c r="F580" s="20"/>
      <x:c r="G580" s="20"/>
      <x:c r="H580" s="20" t="str">
        <x:v>待判定</x:v>
      </x:c>
      <x:c r="I580" s="20"/>
      <x:c r="J580" s="20" t="str">
        <x:v>未测试</x:v>
      </x:c>
      <x:c r="K580" s="20"/>
      <x:c r="L580" s="20"/>
      <x:c r="M580" s="20"/>
      <x:c r="N580" s="20"/>
      <x:c r="O580" s="31"/>
      <x:c r="P580" s="20"/>
      <x:c r="Q580" s="20"/>
      <x:c r="R580" s="20" t="str">
        <x:v>待展开</x:v>
      </x:c>
      <x:c r="S580" s="20"/>
      <x:c r="T580" s="31"/>
      <x:c r="U580" s="30" t="str">
        <x:f>IF(A580="","缺记录编号",IF(COUNTIFS(PathRecords[记录编号],A580)&lt;&gt;1,"记录编号重复",IF(OR(B580="",E580=""),"缺组合/功能",IF(COUNTIFS(Equipment[组合编号],B580)&lt;&gt;1,"组合编号无效",IF(COUNTIFS(FunctionMatrix[编号],E580)=0,"功能编号无效",IF(H580="不适用",IF(J580="已实测","适用性冲突",IF(I580="","待补不适用依据","不适用（非实测）")),IF(J580="阻塞",IF(I580="","待补阻塞原因","阻塞（非实测）"),IF(J580&lt;&gt;"已实测",IF(F580="","待展开路径","未实测"),IF(H580&lt;&gt;"适用","待确认适用性",IF(INDEX(Equipment[登记状态（自动）],MATCH(B580,Equipment[组合编号],0))&lt;&gt;"已登记","待补设备组合",IF(AND(F580&lt;&gt;"",G580&lt;&gt;"",K580&lt;&gt;"",L580&lt;&gt;"",M580&lt;&gt;"",N580&lt;&gt;"",ISNUMBER(O580),O580&gt;0,P580&lt;&gt;""),"记录齐全","待补实测记录")))))))))))</x:f>
        <x:v>待展开路径</x:v>
      </x:c>
    </x:row>
    <x:row r="581" ht="43.5" customHeight="1">
      <x:c r="A581" s="20" t="str">
        <x:v>REC-00572</x:v>
      </x:c>
      <x:c r="B581" s="20" t="str">
        <x:v>P2-B1-01</x:v>
      </x:c>
      <x:c r="C581" s="30" t="str">
        <x:f>IF(B581="","",IF(COUNTIFS(Equipment[组合编号],B581)&lt;&gt;1,"组合编号无效",INDEX(Equipment[PLC组],MATCH(B581,Equipment[组合编号],0))))</x:f>
        <x:v>汇川中大型</x:v>
      </x:c>
      <x:c r="D581" s="30" t="str">
        <x:f>IF(B581="","",IF(COUNTIFS(Equipment[组合编号],B581)&lt;&gt;1,"组合编号无效",INDEX(Equipment[驱动品牌],MATCH(B581,Equipment[组合编号],0))))</x:f>
        <x:v>CDHD</x:v>
      </x:c>
      <x:c r="E581" s="20" t="str">
        <x:v>H05</x:v>
      </x:c>
      <x:c r="F581" s="20"/>
      <x:c r="G581" s="20"/>
      <x:c r="H581" s="20" t="str">
        <x:v>待判定</x:v>
      </x:c>
      <x:c r="I581" s="20"/>
      <x:c r="J581" s="20" t="str">
        <x:v>未测试</x:v>
      </x:c>
      <x:c r="K581" s="20"/>
      <x:c r="L581" s="20"/>
      <x:c r="M581" s="20"/>
      <x:c r="N581" s="20"/>
      <x:c r="O581" s="31"/>
      <x:c r="P581" s="20"/>
      <x:c r="Q581" s="20"/>
      <x:c r="R581" s="20" t="str">
        <x:v>待展开</x:v>
      </x:c>
      <x:c r="S581" s="20"/>
      <x:c r="T581" s="31"/>
      <x:c r="U581" s="30" t="str">
        <x:f>IF(A581="","缺记录编号",IF(COUNTIFS(PathRecords[记录编号],A581)&lt;&gt;1,"记录编号重复",IF(OR(B581="",E581=""),"缺组合/功能",IF(COUNTIFS(Equipment[组合编号],B581)&lt;&gt;1,"组合编号无效",IF(COUNTIFS(FunctionMatrix[编号],E581)=0,"功能编号无效",IF(H581="不适用",IF(J581="已实测","适用性冲突",IF(I581="","待补不适用依据","不适用（非实测）")),IF(J581="阻塞",IF(I581="","待补阻塞原因","阻塞（非实测）"),IF(J581&lt;&gt;"已实测",IF(F581="","待展开路径","未实测"),IF(H581&lt;&gt;"适用","待确认适用性",IF(INDEX(Equipment[登记状态（自动）],MATCH(B581,Equipment[组合编号],0))&lt;&gt;"已登记","待补设备组合",IF(AND(F581&lt;&gt;"",G581&lt;&gt;"",K581&lt;&gt;"",L581&lt;&gt;"",M581&lt;&gt;"",N581&lt;&gt;"",ISNUMBER(O581),O581&gt;0,P581&lt;&gt;""),"记录齐全","待补实测记录")))))))))))</x:f>
        <x:v>待展开路径</x:v>
      </x:c>
    </x:row>
    <x:row r="582" ht="43.5" customHeight="1">
      <x:c r="A582" s="20" t="str">
        <x:v>REC-00573</x:v>
      </x:c>
      <x:c r="B582" s="20" t="str">
        <x:v>P2-B1-01</x:v>
      </x:c>
      <x:c r="C582" s="30" t="str">
        <x:f>IF(B582="","",IF(COUNTIFS(Equipment[组合编号],B582)&lt;&gt;1,"组合编号无效",INDEX(Equipment[PLC组],MATCH(B582,Equipment[组合编号],0))))</x:f>
        <x:v>汇川中大型</x:v>
      </x:c>
      <x:c r="D582" s="30" t="str">
        <x:f>IF(B582="","",IF(COUNTIFS(Equipment[组合编号],B582)&lt;&gt;1,"组合编号无效",INDEX(Equipment[驱动品牌],MATCH(B582,Equipment[组合编号],0))))</x:f>
        <x:v>CDHD</x:v>
      </x:c>
      <x:c r="E582" s="20" t="str">
        <x:v>H06</x:v>
      </x:c>
      <x:c r="F582" s="20"/>
      <x:c r="G582" s="20"/>
      <x:c r="H582" s="20" t="str">
        <x:v>待判定</x:v>
      </x:c>
      <x:c r="I582" s="20"/>
      <x:c r="J582" s="20" t="str">
        <x:v>未测试</x:v>
      </x:c>
      <x:c r="K582" s="20"/>
      <x:c r="L582" s="20"/>
      <x:c r="M582" s="20"/>
      <x:c r="N582" s="20"/>
      <x:c r="O582" s="31"/>
      <x:c r="P582" s="20"/>
      <x:c r="Q582" s="20"/>
      <x:c r="R582" s="20" t="str">
        <x:v>待展开</x:v>
      </x:c>
      <x:c r="S582" s="20"/>
      <x:c r="T582" s="31"/>
      <x:c r="U582" s="30" t="str">
        <x:f>IF(A582="","缺记录编号",IF(COUNTIFS(PathRecords[记录编号],A582)&lt;&gt;1,"记录编号重复",IF(OR(B582="",E582=""),"缺组合/功能",IF(COUNTIFS(Equipment[组合编号],B582)&lt;&gt;1,"组合编号无效",IF(COUNTIFS(FunctionMatrix[编号],E582)=0,"功能编号无效",IF(H582="不适用",IF(J582="已实测","适用性冲突",IF(I582="","待补不适用依据","不适用（非实测）")),IF(J582="阻塞",IF(I582="","待补阻塞原因","阻塞（非实测）"),IF(J582&lt;&gt;"已实测",IF(F582="","待展开路径","未实测"),IF(H582&lt;&gt;"适用","待确认适用性",IF(INDEX(Equipment[登记状态（自动）],MATCH(B582,Equipment[组合编号],0))&lt;&gt;"已登记","待补设备组合",IF(AND(F582&lt;&gt;"",G582&lt;&gt;"",K582&lt;&gt;"",L582&lt;&gt;"",M582&lt;&gt;"",N582&lt;&gt;"",ISNUMBER(O582),O582&gt;0,P582&lt;&gt;""),"记录齐全","待补实测记录")))))))))))</x:f>
        <x:v>待展开路径</x:v>
      </x:c>
    </x:row>
    <x:row r="583" ht="43.5" customHeight="1">
      <x:c r="A583" s="20" t="str">
        <x:v>REC-00574</x:v>
      </x:c>
      <x:c r="B583" s="20" t="str">
        <x:v>P2-B1-01</x:v>
      </x:c>
      <x:c r="C583" s="30" t="str">
        <x:f>IF(B583="","",IF(COUNTIFS(Equipment[组合编号],B583)&lt;&gt;1,"组合编号无效",INDEX(Equipment[PLC组],MATCH(B583,Equipment[组合编号],0))))</x:f>
        <x:v>汇川中大型</x:v>
      </x:c>
      <x:c r="D583" s="30" t="str">
        <x:f>IF(B583="","",IF(COUNTIFS(Equipment[组合编号],B583)&lt;&gt;1,"组合编号无效",INDEX(Equipment[驱动品牌],MATCH(B583,Equipment[组合编号],0))))</x:f>
        <x:v>CDHD</x:v>
      </x:c>
      <x:c r="E583" s="20" t="str">
        <x:v>H07</x:v>
      </x:c>
      <x:c r="F583" s="20"/>
      <x:c r="G583" s="20"/>
      <x:c r="H583" s="20" t="str">
        <x:v>待判定</x:v>
      </x:c>
      <x:c r="I583" s="20"/>
      <x:c r="J583" s="20" t="str">
        <x:v>未测试</x:v>
      </x:c>
      <x:c r="K583" s="20"/>
      <x:c r="L583" s="20"/>
      <x:c r="M583" s="20"/>
      <x:c r="N583" s="20"/>
      <x:c r="O583" s="31"/>
      <x:c r="P583" s="20"/>
      <x:c r="Q583" s="20"/>
      <x:c r="R583" s="20" t="str">
        <x:v>待展开</x:v>
      </x:c>
      <x:c r="S583" s="20"/>
      <x:c r="T583" s="31"/>
      <x:c r="U583" s="30" t="str">
        <x:f>IF(A583="","缺记录编号",IF(COUNTIFS(PathRecords[记录编号],A583)&lt;&gt;1,"记录编号重复",IF(OR(B583="",E583=""),"缺组合/功能",IF(COUNTIFS(Equipment[组合编号],B583)&lt;&gt;1,"组合编号无效",IF(COUNTIFS(FunctionMatrix[编号],E583)=0,"功能编号无效",IF(H583="不适用",IF(J583="已实测","适用性冲突",IF(I583="","待补不适用依据","不适用（非实测）")),IF(J583="阻塞",IF(I583="","待补阻塞原因","阻塞（非实测）"),IF(J583&lt;&gt;"已实测",IF(F583="","待展开路径","未实测"),IF(H583&lt;&gt;"适用","待确认适用性",IF(INDEX(Equipment[登记状态（自动）],MATCH(B583,Equipment[组合编号],0))&lt;&gt;"已登记","待补设备组合",IF(AND(F583&lt;&gt;"",G583&lt;&gt;"",K583&lt;&gt;"",L583&lt;&gt;"",M583&lt;&gt;"",N583&lt;&gt;"",ISNUMBER(O583),O583&gt;0,P583&lt;&gt;""),"记录齐全","待补实测记录")))))))))))</x:f>
        <x:v>待展开路径</x:v>
      </x:c>
    </x:row>
    <x:row r="584" ht="43.5" customHeight="1">
      <x:c r="A584" s="20" t="str">
        <x:v>REC-00575</x:v>
      </x:c>
      <x:c r="B584" s="20" t="str">
        <x:v>P2-B1-01</x:v>
      </x:c>
      <x:c r="C584" s="30" t="str">
        <x:f>IF(B584="","",IF(COUNTIFS(Equipment[组合编号],B584)&lt;&gt;1,"组合编号无效",INDEX(Equipment[PLC组],MATCH(B584,Equipment[组合编号],0))))</x:f>
        <x:v>汇川中大型</x:v>
      </x:c>
      <x:c r="D584" s="30" t="str">
        <x:f>IF(B584="","",IF(COUNTIFS(Equipment[组合编号],B584)&lt;&gt;1,"组合编号无效",INDEX(Equipment[驱动品牌],MATCH(B584,Equipment[组合编号],0))))</x:f>
        <x:v>CDHD</x:v>
      </x:c>
      <x:c r="E584" s="20" t="str">
        <x:v>H08</x:v>
      </x:c>
      <x:c r="F584" s="20"/>
      <x:c r="G584" s="20"/>
      <x:c r="H584" s="20" t="str">
        <x:v>待判定</x:v>
      </x:c>
      <x:c r="I584" s="20"/>
      <x:c r="J584" s="20" t="str">
        <x:v>未测试</x:v>
      </x:c>
      <x:c r="K584" s="20"/>
      <x:c r="L584" s="20"/>
      <x:c r="M584" s="20"/>
      <x:c r="N584" s="20"/>
      <x:c r="O584" s="31"/>
      <x:c r="P584" s="20"/>
      <x:c r="Q584" s="20"/>
      <x:c r="R584" s="20" t="str">
        <x:v>待展开</x:v>
      </x:c>
      <x:c r="S584" s="20"/>
      <x:c r="T584" s="31"/>
      <x:c r="U584" s="30" t="str">
        <x:f>IF(A584="","缺记录编号",IF(COUNTIFS(PathRecords[记录编号],A584)&lt;&gt;1,"记录编号重复",IF(OR(B584="",E584=""),"缺组合/功能",IF(COUNTIFS(Equipment[组合编号],B584)&lt;&gt;1,"组合编号无效",IF(COUNTIFS(FunctionMatrix[编号],E584)=0,"功能编号无效",IF(H584="不适用",IF(J584="已实测","适用性冲突",IF(I584="","待补不适用依据","不适用（非实测）")),IF(J584="阻塞",IF(I584="","待补阻塞原因","阻塞（非实测）"),IF(J584&lt;&gt;"已实测",IF(F584="","待展开路径","未实测"),IF(H584&lt;&gt;"适用","待确认适用性",IF(INDEX(Equipment[登记状态（自动）],MATCH(B584,Equipment[组合编号],0))&lt;&gt;"已登记","待补设备组合",IF(AND(F584&lt;&gt;"",G584&lt;&gt;"",K584&lt;&gt;"",L584&lt;&gt;"",M584&lt;&gt;"",N584&lt;&gt;"",ISNUMBER(O584),O584&gt;0,P584&lt;&gt;""),"记录齐全","待补实测记录")))))))))))</x:f>
        <x:v>待展开路径</x:v>
      </x:c>
    </x:row>
    <x:row r="585" ht="43.5" customHeight="1">
      <x:c r="A585" s="20" t="str">
        <x:v>REC-00576</x:v>
      </x:c>
      <x:c r="B585" s="20" t="str">
        <x:v>P2-B1-01</x:v>
      </x:c>
      <x:c r="C585" s="30" t="str">
        <x:f>IF(B585="","",IF(COUNTIFS(Equipment[组合编号],B585)&lt;&gt;1,"组合编号无效",INDEX(Equipment[PLC组],MATCH(B585,Equipment[组合编号],0))))</x:f>
        <x:v>汇川中大型</x:v>
      </x:c>
      <x:c r="D585" s="30" t="str">
        <x:f>IF(B585="","",IF(COUNTIFS(Equipment[组合编号],B585)&lt;&gt;1,"组合编号无效",INDEX(Equipment[驱动品牌],MATCH(B585,Equipment[组合编号],0))))</x:f>
        <x:v>CDHD</x:v>
      </x:c>
      <x:c r="E585" s="20" t="str">
        <x:v>H09</x:v>
      </x:c>
      <x:c r="F585" s="20"/>
      <x:c r="G585" s="20"/>
      <x:c r="H585" s="20" t="str">
        <x:v>待判定</x:v>
      </x:c>
      <x:c r="I585" s="20"/>
      <x:c r="J585" s="20" t="str">
        <x:v>未测试</x:v>
      </x:c>
      <x:c r="K585" s="20"/>
      <x:c r="L585" s="20"/>
      <x:c r="M585" s="20"/>
      <x:c r="N585" s="20"/>
      <x:c r="O585" s="31"/>
      <x:c r="P585" s="20"/>
      <x:c r="Q585" s="20"/>
      <x:c r="R585" s="20" t="str">
        <x:v>待展开</x:v>
      </x:c>
      <x:c r="S585" s="20"/>
      <x:c r="T585" s="31"/>
      <x:c r="U585" s="30" t="str">
        <x:f>IF(A585="","缺记录编号",IF(COUNTIFS(PathRecords[记录编号],A585)&lt;&gt;1,"记录编号重复",IF(OR(B585="",E585=""),"缺组合/功能",IF(COUNTIFS(Equipment[组合编号],B585)&lt;&gt;1,"组合编号无效",IF(COUNTIFS(FunctionMatrix[编号],E585)=0,"功能编号无效",IF(H585="不适用",IF(J585="已实测","适用性冲突",IF(I585="","待补不适用依据","不适用（非实测）")),IF(J585="阻塞",IF(I585="","待补阻塞原因","阻塞（非实测）"),IF(J585&lt;&gt;"已实测",IF(F585="","待展开路径","未实测"),IF(H585&lt;&gt;"适用","待确认适用性",IF(INDEX(Equipment[登记状态（自动）],MATCH(B585,Equipment[组合编号],0))&lt;&gt;"已登记","待补设备组合",IF(AND(F585&lt;&gt;"",G585&lt;&gt;"",K585&lt;&gt;"",L585&lt;&gt;"",M585&lt;&gt;"",N585&lt;&gt;"",ISNUMBER(O585),O585&gt;0,P585&lt;&gt;""),"记录齐全","待补实测记录")))))))))))</x:f>
        <x:v>待展开路径</x:v>
      </x:c>
    </x:row>
    <x:row r="586" ht="43.5" customHeight="1">
      <x:c r="A586" s="20" t="str">
        <x:v>REC-00577</x:v>
      </x:c>
      <x:c r="B586" s="20" t="str">
        <x:v>P2-B1-01</x:v>
      </x:c>
      <x:c r="C586" s="30" t="str">
        <x:f>IF(B586="","",IF(COUNTIFS(Equipment[组合编号],B586)&lt;&gt;1,"组合编号无效",INDEX(Equipment[PLC组],MATCH(B586,Equipment[组合编号],0))))</x:f>
        <x:v>汇川中大型</x:v>
      </x:c>
      <x:c r="D586" s="30" t="str">
        <x:f>IF(B586="","",IF(COUNTIFS(Equipment[组合编号],B586)&lt;&gt;1,"组合编号无效",INDEX(Equipment[驱动品牌],MATCH(B586,Equipment[组合编号],0))))</x:f>
        <x:v>CDHD</x:v>
      </x:c>
      <x:c r="E586" s="20" t="str">
        <x:v>H10</x:v>
      </x:c>
      <x:c r="F586" s="20"/>
      <x:c r="G586" s="20"/>
      <x:c r="H586" s="20" t="str">
        <x:v>待判定</x:v>
      </x:c>
      <x:c r="I586" s="20"/>
      <x:c r="J586" s="20" t="str">
        <x:v>未测试</x:v>
      </x:c>
      <x:c r="K586" s="20"/>
      <x:c r="L586" s="20"/>
      <x:c r="M586" s="20"/>
      <x:c r="N586" s="20"/>
      <x:c r="O586" s="31"/>
      <x:c r="P586" s="20"/>
      <x:c r="Q586" s="20"/>
      <x:c r="R586" s="20" t="str">
        <x:v>待展开</x:v>
      </x:c>
      <x:c r="S586" s="20"/>
      <x:c r="T586" s="31"/>
      <x:c r="U586" s="30" t="str">
        <x:f>IF(A586="","缺记录编号",IF(COUNTIFS(PathRecords[记录编号],A586)&lt;&gt;1,"记录编号重复",IF(OR(B586="",E586=""),"缺组合/功能",IF(COUNTIFS(Equipment[组合编号],B586)&lt;&gt;1,"组合编号无效",IF(COUNTIFS(FunctionMatrix[编号],E586)=0,"功能编号无效",IF(H586="不适用",IF(J586="已实测","适用性冲突",IF(I586="","待补不适用依据","不适用（非实测）")),IF(J586="阻塞",IF(I586="","待补阻塞原因","阻塞（非实测）"),IF(J586&lt;&gt;"已实测",IF(F586="","待展开路径","未实测"),IF(H586&lt;&gt;"适用","待确认适用性",IF(INDEX(Equipment[登记状态（自动）],MATCH(B586,Equipment[组合编号],0))&lt;&gt;"已登记","待补设备组合",IF(AND(F586&lt;&gt;"",G586&lt;&gt;"",K586&lt;&gt;"",L586&lt;&gt;"",M586&lt;&gt;"",N586&lt;&gt;"",ISNUMBER(O586),O586&gt;0,P586&lt;&gt;""),"记录齐全","待补实测记录")))))))))))</x:f>
        <x:v>待展开路径</x:v>
      </x:c>
    </x:row>
    <x:row r="587" ht="43.5" customHeight="1">
      <x:c r="A587" s="20" t="str">
        <x:v>REC-00578</x:v>
      </x:c>
      <x:c r="B587" s="20" t="str">
        <x:v>P2-B1-01</x:v>
      </x:c>
      <x:c r="C587" s="30" t="str">
        <x:f>IF(B587="","",IF(COUNTIFS(Equipment[组合编号],B587)&lt;&gt;1,"组合编号无效",INDEX(Equipment[PLC组],MATCH(B587,Equipment[组合编号],0))))</x:f>
        <x:v>汇川中大型</x:v>
      </x:c>
      <x:c r="D587" s="30" t="str">
        <x:f>IF(B587="","",IF(COUNTIFS(Equipment[组合编号],B587)&lt;&gt;1,"组合编号无效",INDEX(Equipment[驱动品牌],MATCH(B587,Equipment[组合编号],0))))</x:f>
        <x:v>CDHD</x:v>
      </x:c>
      <x:c r="E587" s="20" t="str">
        <x:v>H11</x:v>
      </x:c>
      <x:c r="F587" s="20"/>
      <x:c r="G587" s="20"/>
      <x:c r="H587" s="20" t="str">
        <x:v>待判定</x:v>
      </x:c>
      <x:c r="I587" s="20"/>
      <x:c r="J587" s="20" t="str">
        <x:v>未测试</x:v>
      </x:c>
      <x:c r="K587" s="20"/>
      <x:c r="L587" s="20"/>
      <x:c r="M587" s="20"/>
      <x:c r="N587" s="20"/>
      <x:c r="O587" s="31"/>
      <x:c r="P587" s="20"/>
      <x:c r="Q587" s="20"/>
      <x:c r="R587" s="20" t="str">
        <x:v>待展开</x:v>
      </x:c>
      <x:c r="S587" s="20"/>
      <x:c r="T587" s="31"/>
      <x:c r="U587" s="30" t="str">
        <x:f>IF(A587="","缺记录编号",IF(COUNTIFS(PathRecords[记录编号],A587)&lt;&gt;1,"记录编号重复",IF(OR(B587="",E587=""),"缺组合/功能",IF(COUNTIFS(Equipment[组合编号],B587)&lt;&gt;1,"组合编号无效",IF(COUNTIFS(FunctionMatrix[编号],E587)=0,"功能编号无效",IF(H587="不适用",IF(J587="已实测","适用性冲突",IF(I587="","待补不适用依据","不适用（非实测）")),IF(J587="阻塞",IF(I587="","待补阻塞原因","阻塞（非实测）"),IF(J587&lt;&gt;"已实测",IF(F587="","待展开路径","未实测"),IF(H587&lt;&gt;"适用","待确认适用性",IF(INDEX(Equipment[登记状态（自动）],MATCH(B587,Equipment[组合编号],0))&lt;&gt;"已登记","待补设备组合",IF(AND(F587&lt;&gt;"",G587&lt;&gt;"",K587&lt;&gt;"",L587&lt;&gt;"",M587&lt;&gt;"",N587&lt;&gt;"",ISNUMBER(O587),O587&gt;0,P587&lt;&gt;""),"记录齐全","待补实测记录")))))))))))</x:f>
        <x:v>待展开路径</x:v>
      </x:c>
    </x:row>
    <x:row r="588" ht="43.5" customHeight="1">
      <x:c r="A588" s="20" t="str">
        <x:v>REC-00579</x:v>
      </x:c>
      <x:c r="B588" s="20" t="str">
        <x:v>P2-B1-01</x:v>
      </x:c>
      <x:c r="C588" s="30" t="str">
        <x:f>IF(B588="","",IF(COUNTIFS(Equipment[组合编号],B588)&lt;&gt;1,"组合编号无效",INDEX(Equipment[PLC组],MATCH(B588,Equipment[组合编号],0))))</x:f>
        <x:v>汇川中大型</x:v>
      </x:c>
      <x:c r="D588" s="30" t="str">
        <x:f>IF(B588="","",IF(COUNTIFS(Equipment[组合编号],B588)&lt;&gt;1,"组合编号无效",INDEX(Equipment[驱动品牌],MATCH(B588,Equipment[组合编号],0))))</x:f>
        <x:v>CDHD</x:v>
      </x:c>
      <x:c r="E588" s="20" t="str">
        <x:v>N01</x:v>
      </x:c>
      <x:c r="F588" s="20"/>
      <x:c r="G588" s="20"/>
      <x:c r="H588" s="20" t="str">
        <x:v>待判定</x:v>
      </x:c>
      <x:c r="I588" s="20"/>
      <x:c r="J588" s="20" t="str">
        <x:v>未测试</x:v>
      </x:c>
      <x:c r="K588" s="20"/>
      <x:c r="L588" s="20"/>
      <x:c r="M588" s="20"/>
      <x:c r="N588" s="20"/>
      <x:c r="O588" s="31"/>
      <x:c r="P588" s="20"/>
      <x:c r="Q588" s="20"/>
      <x:c r="R588" s="20" t="str">
        <x:v>待展开</x:v>
      </x:c>
      <x:c r="S588" s="20"/>
      <x:c r="T588" s="31"/>
      <x:c r="U588" s="30" t="str">
        <x:f>IF(A588="","缺记录编号",IF(COUNTIFS(PathRecords[记录编号],A588)&lt;&gt;1,"记录编号重复",IF(OR(B588="",E588=""),"缺组合/功能",IF(COUNTIFS(Equipment[组合编号],B588)&lt;&gt;1,"组合编号无效",IF(COUNTIFS(FunctionMatrix[编号],E588)=0,"功能编号无效",IF(H588="不适用",IF(J588="已实测","适用性冲突",IF(I588="","待补不适用依据","不适用（非实测）")),IF(J588="阻塞",IF(I588="","待补阻塞原因","阻塞（非实测）"),IF(J588&lt;&gt;"已实测",IF(F588="","待展开路径","未实测"),IF(H588&lt;&gt;"适用","待确认适用性",IF(INDEX(Equipment[登记状态（自动）],MATCH(B588,Equipment[组合编号],0))&lt;&gt;"已登记","待补设备组合",IF(AND(F588&lt;&gt;"",G588&lt;&gt;"",K588&lt;&gt;"",L588&lt;&gt;"",M588&lt;&gt;"",N588&lt;&gt;"",ISNUMBER(O588),O588&gt;0,P588&lt;&gt;""),"记录齐全","待补实测记录")))))))))))</x:f>
        <x:v>待展开路径</x:v>
      </x:c>
    </x:row>
    <x:row r="589" ht="43.5" customHeight="1">
      <x:c r="A589" s="20" t="str">
        <x:v>REC-00580</x:v>
      </x:c>
      <x:c r="B589" s="20" t="str">
        <x:v>P2-B1-01</x:v>
      </x:c>
      <x:c r="C589" s="30" t="str">
        <x:f>IF(B589="","",IF(COUNTIFS(Equipment[组合编号],B589)&lt;&gt;1,"组合编号无效",INDEX(Equipment[PLC组],MATCH(B589,Equipment[组合编号],0))))</x:f>
        <x:v>汇川中大型</x:v>
      </x:c>
      <x:c r="D589" s="30" t="str">
        <x:f>IF(B589="","",IF(COUNTIFS(Equipment[组合编号],B589)&lt;&gt;1,"组合编号无效",INDEX(Equipment[驱动品牌],MATCH(B589,Equipment[组合编号],0))))</x:f>
        <x:v>CDHD</x:v>
      </x:c>
      <x:c r="E589" s="20" t="str">
        <x:v>N02</x:v>
      </x:c>
      <x:c r="F589" s="20"/>
      <x:c r="G589" s="20"/>
      <x:c r="H589" s="20" t="str">
        <x:v>待判定</x:v>
      </x:c>
      <x:c r="I589" s="20"/>
      <x:c r="J589" s="20" t="str">
        <x:v>未测试</x:v>
      </x:c>
      <x:c r="K589" s="20"/>
      <x:c r="L589" s="20"/>
      <x:c r="M589" s="20"/>
      <x:c r="N589" s="20"/>
      <x:c r="O589" s="31"/>
      <x:c r="P589" s="20"/>
      <x:c r="Q589" s="20"/>
      <x:c r="R589" s="20" t="str">
        <x:v>待展开</x:v>
      </x:c>
      <x:c r="S589" s="20"/>
      <x:c r="T589" s="31"/>
      <x:c r="U589" s="30" t="str">
        <x:f>IF(A589="","缺记录编号",IF(COUNTIFS(PathRecords[记录编号],A589)&lt;&gt;1,"记录编号重复",IF(OR(B589="",E589=""),"缺组合/功能",IF(COUNTIFS(Equipment[组合编号],B589)&lt;&gt;1,"组合编号无效",IF(COUNTIFS(FunctionMatrix[编号],E589)=0,"功能编号无效",IF(H589="不适用",IF(J589="已实测","适用性冲突",IF(I589="","待补不适用依据","不适用（非实测）")),IF(J589="阻塞",IF(I589="","待补阻塞原因","阻塞（非实测）"),IF(J589&lt;&gt;"已实测",IF(F589="","待展开路径","未实测"),IF(H589&lt;&gt;"适用","待确认适用性",IF(INDEX(Equipment[登记状态（自动）],MATCH(B589,Equipment[组合编号],0))&lt;&gt;"已登记","待补设备组合",IF(AND(F589&lt;&gt;"",G589&lt;&gt;"",K589&lt;&gt;"",L589&lt;&gt;"",M589&lt;&gt;"",N589&lt;&gt;"",ISNUMBER(O589),O589&gt;0,P589&lt;&gt;""),"记录齐全","待补实测记录")))))))))))</x:f>
        <x:v>待展开路径</x:v>
      </x:c>
    </x:row>
    <x:row r="590" ht="43.5" customHeight="1">
      <x:c r="A590" s="20" t="str">
        <x:v>REC-00581</x:v>
      </x:c>
      <x:c r="B590" s="20" t="str">
        <x:v>P2-B1-01</x:v>
      </x:c>
      <x:c r="C590" s="30" t="str">
        <x:f>IF(B590="","",IF(COUNTIFS(Equipment[组合编号],B590)&lt;&gt;1,"组合编号无效",INDEX(Equipment[PLC组],MATCH(B590,Equipment[组合编号],0))))</x:f>
        <x:v>汇川中大型</x:v>
      </x:c>
      <x:c r="D590" s="30" t="str">
        <x:f>IF(B590="","",IF(COUNTIFS(Equipment[组合编号],B590)&lt;&gt;1,"组合编号无效",INDEX(Equipment[驱动品牌],MATCH(B590,Equipment[组合编号],0))))</x:f>
        <x:v>CDHD</x:v>
      </x:c>
      <x:c r="E590" s="20" t="str">
        <x:v>N03</x:v>
      </x:c>
      <x:c r="F590" s="20"/>
      <x:c r="G590" s="20"/>
      <x:c r="H590" s="20" t="str">
        <x:v>待判定</x:v>
      </x:c>
      <x:c r="I590" s="20"/>
      <x:c r="J590" s="20" t="str">
        <x:v>未测试</x:v>
      </x:c>
      <x:c r="K590" s="20"/>
      <x:c r="L590" s="20"/>
      <x:c r="M590" s="20"/>
      <x:c r="N590" s="20"/>
      <x:c r="O590" s="31"/>
      <x:c r="P590" s="20"/>
      <x:c r="Q590" s="20"/>
      <x:c r="R590" s="20" t="str">
        <x:v>待展开</x:v>
      </x:c>
      <x:c r="S590" s="20"/>
      <x:c r="T590" s="31"/>
      <x:c r="U590" s="30" t="str">
        <x:f>IF(A590="","缺记录编号",IF(COUNTIFS(PathRecords[记录编号],A590)&lt;&gt;1,"记录编号重复",IF(OR(B590="",E590=""),"缺组合/功能",IF(COUNTIFS(Equipment[组合编号],B590)&lt;&gt;1,"组合编号无效",IF(COUNTIFS(FunctionMatrix[编号],E590)=0,"功能编号无效",IF(H590="不适用",IF(J590="已实测","适用性冲突",IF(I590="","待补不适用依据","不适用（非实测）")),IF(J590="阻塞",IF(I590="","待补阻塞原因","阻塞（非实测）"),IF(J590&lt;&gt;"已实测",IF(F590="","待展开路径","未实测"),IF(H590&lt;&gt;"适用","待确认适用性",IF(INDEX(Equipment[登记状态（自动）],MATCH(B590,Equipment[组合编号],0))&lt;&gt;"已登记","待补设备组合",IF(AND(F590&lt;&gt;"",G590&lt;&gt;"",K590&lt;&gt;"",L590&lt;&gt;"",M590&lt;&gt;"",N590&lt;&gt;"",ISNUMBER(O590),O590&gt;0,P590&lt;&gt;""),"记录齐全","待补实测记录")))))))))))</x:f>
        <x:v>待展开路径</x:v>
      </x:c>
    </x:row>
    <x:row r="591" ht="43.5" customHeight="1">
      <x:c r="A591" s="20" t="str">
        <x:v>REC-00582</x:v>
      </x:c>
      <x:c r="B591" s="20" t="str">
        <x:v>P2-B1-01</x:v>
      </x:c>
      <x:c r="C591" s="30" t="str">
        <x:f>IF(B591="","",IF(COUNTIFS(Equipment[组合编号],B591)&lt;&gt;1,"组合编号无效",INDEX(Equipment[PLC组],MATCH(B591,Equipment[组合编号],0))))</x:f>
        <x:v>汇川中大型</x:v>
      </x:c>
      <x:c r="D591" s="30" t="str">
        <x:f>IF(B591="","",IF(COUNTIFS(Equipment[组合编号],B591)&lt;&gt;1,"组合编号无效",INDEX(Equipment[驱动品牌],MATCH(B591,Equipment[组合编号],0))))</x:f>
        <x:v>CDHD</x:v>
      </x:c>
      <x:c r="E591" s="20" t="str">
        <x:v>N04</x:v>
      </x:c>
      <x:c r="F591" s="20"/>
      <x:c r="G591" s="20"/>
      <x:c r="H591" s="20" t="str">
        <x:v>待判定</x:v>
      </x:c>
      <x:c r="I591" s="20"/>
      <x:c r="J591" s="20" t="str">
        <x:v>未测试</x:v>
      </x:c>
      <x:c r="K591" s="20"/>
      <x:c r="L591" s="20"/>
      <x:c r="M591" s="20"/>
      <x:c r="N591" s="20"/>
      <x:c r="O591" s="31"/>
      <x:c r="P591" s="20"/>
      <x:c r="Q591" s="20"/>
      <x:c r="R591" s="20" t="str">
        <x:v>待展开</x:v>
      </x:c>
      <x:c r="S591" s="20"/>
      <x:c r="T591" s="31"/>
      <x:c r="U591" s="30" t="str">
        <x:f>IF(A591="","缺记录编号",IF(COUNTIFS(PathRecords[记录编号],A591)&lt;&gt;1,"记录编号重复",IF(OR(B591="",E591=""),"缺组合/功能",IF(COUNTIFS(Equipment[组合编号],B591)&lt;&gt;1,"组合编号无效",IF(COUNTIFS(FunctionMatrix[编号],E591)=0,"功能编号无效",IF(H591="不适用",IF(J591="已实测","适用性冲突",IF(I591="","待补不适用依据","不适用（非实测）")),IF(J591="阻塞",IF(I591="","待补阻塞原因","阻塞（非实测）"),IF(J591&lt;&gt;"已实测",IF(F591="","待展开路径","未实测"),IF(H591&lt;&gt;"适用","待确认适用性",IF(INDEX(Equipment[登记状态（自动）],MATCH(B591,Equipment[组合编号],0))&lt;&gt;"已登记","待补设备组合",IF(AND(F591&lt;&gt;"",G591&lt;&gt;"",K591&lt;&gt;"",L591&lt;&gt;"",M591&lt;&gt;"",N591&lt;&gt;"",ISNUMBER(O591),O591&gt;0,P591&lt;&gt;""),"记录齐全","待补实测记录")))))))))))</x:f>
        <x:v>待展开路径</x:v>
      </x:c>
    </x:row>
    <x:row r="592" ht="43.5" customHeight="1">
      <x:c r="A592" s="20" t="str">
        <x:v>REC-00583</x:v>
      </x:c>
      <x:c r="B592" s="20" t="str">
        <x:v>P2-B1-01</x:v>
      </x:c>
      <x:c r="C592" s="30" t="str">
        <x:f>IF(B592="","",IF(COUNTIFS(Equipment[组合编号],B592)&lt;&gt;1,"组合编号无效",INDEX(Equipment[PLC组],MATCH(B592,Equipment[组合编号],0))))</x:f>
        <x:v>汇川中大型</x:v>
      </x:c>
      <x:c r="D592" s="30" t="str">
        <x:f>IF(B592="","",IF(COUNTIFS(Equipment[组合编号],B592)&lt;&gt;1,"组合编号无效",INDEX(Equipment[驱动品牌],MATCH(B592,Equipment[组合编号],0))))</x:f>
        <x:v>CDHD</x:v>
      </x:c>
      <x:c r="E592" s="20" t="str">
        <x:v>N05</x:v>
      </x:c>
      <x:c r="F592" s="20"/>
      <x:c r="G592" s="20"/>
      <x:c r="H592" s="20" t="str">
        <x:v>待判定</x:v>
      </x:c>
      <x:c r="I592" s="20"/>
      <x:c r="J592" s="20" t="str">
        <x:v>未测试</x:v>
      </x:c>
      <x:c r="K592" s="20"/>
      <x:c r="L592" s="20"/>
      <x:c r="M592" s="20"/>
      <x:c r="N592" s="20"/>
      <x:c r="O592" s="31"/>
      <x:c r="P592" s="20"/>
      <x:c r="Q592" s="20"/>
      <x:c r="R592" s="20" t="str">
        <x:v>待展开</x:v>
      </x:c>
      <x:c r="S592" s="20"/>
      <x:c r="T592" s="31"/>
      <x:c r="U592" s="30" t="str">
        <x:f>IF(A592="","缺记录编号",IF(COUNTIFS(PathRecords[记录编号],A592)&lt;&gt;1,"记录编号重复",IF(OR(B592="",E592=""),"缺组合/功能",IF(COUNTIFS(Equipment[组合编号],B592)&lt;&gt;1,"组合编号无效",IF(COUNTIFS(FunctionMatrix[编号],E592)=0,"功能编号无效",IF(H592="不适用",IF(J592="已实测","适用性冲突",IF(I592="","待补不适用依据","不适用（非实测）")),IF(J592="阻塞",IF(I592="","待补阻塞原因","阻塞（非实测）"),IF(J592&lt;&gt;"已实测",IF(F592="","待展开路径","未实测"),IF(H592&lt;&gt;"适用","待确认适用性",IF(INDEX(Equipment[登记状态（自动）],MATCH(B592,Equipment[组合编号],0))&lt;&gt;"已登记","待补设备组合",IF(AND(F592&lt;&gt;"",G592&lt;&gt;"",K592&lt;&gt;"",L592&lt;&gt;"",M592&lt;&gt;"",N592&lt;&gt;"",ISNUMBER(O592),O592&gt;0,P592&lt;&gt;""),"记录齐全","待补实测记录")))))))))))</x:f>
        <x:v>待展开路径</x:v>
      </x:c>
    </x:row>
    <x:row r="593" ht="43.5" customHeight="1">
      <x:c r="A593" s="20" t="str">
        <x:v>REC-00584</x:v>
      </x:c>
      <x:c r="B593" s="20" t="str">
        <x:v>P2-B1-01</x:v>
      </x:c>
      <x:c r="C593" s="30" t="str">
        <x:f>IF(B593="","",IF(COUNTIFS(Equipment[组合编号],B593)&lt;&gt;1,"组合编号无效",INDEX(Equipment[PLC组],MATCH(B593,Equipment[组合编号],0))))</x:f>
        <x:v>汇川中大型</x:v>
      </x:c>
      <x:c r="D593" s="30" t="str">
        <x:f>IF(B593="","",IF(COUNTIFS(Equipment[组合编号],B593)&lt;&gt;1,"组合编号无效",INDEX(Equipment[驱动品牌],MATCH(B593,Equipment[组合编号],0))))</x:f>
        <x:v>CDHD</x:v>
      </x:c>
      <x:c r="E593" s="20" t="str">
        <x:v>N06</x:v>
      </x:c>
      <x:c r="F593" s="20"/>
      <x:c r="G593" s="20"/>
      <x:c r="H593" s="20" t="str">
        <x:v>待判定</x:v>
      </x:c>
      <x:c r="I593" s="20"/>
      <x:c r="J593" s="20" t="str">
        <x:v>未测试</x:v>
      </x:c>
      <x:c r="K593" s="20"/>
      <x:c r="L593" s="20"/>
      <x:c r="M593" s="20"/>
      <x:c r="N593" s="20"/>
      <x:c r="O593" s="31"/>
      <x:c r="P593" s="20"/>
      <x:c r="Q593" s="20"/>
      <x:c r="R593" s="20" t="str">
        <x:v>待展开</x:v>
      </x:c>
      <x:c r="S593" s="20"/>
      <x:c r="T593" s="31"/>
      <x:c r="U593" s="30" t="str">
        <x:f>IF(A593="","缺记录编号",IF(COUNTIFS(PathRecords[记录编号],A593)&lt;&gt;1,"记录编号重复",IF(OR(B593="",E593=""),"缺组合/功能",IF(COUNTIFS(Equipment[组合编号],B593)&lt;&gt;1,"组合编号无效",IF(COUNTIFS(FunctionMatrix[编号],E593)=0,"功能编号无效",IF(H593="不适用",IF(J593="已实测","适用性冲突",IF(I593="","待补不适用依据","不适用（非实测）")),IF(J593="阻塞",IF(I593="","待补阻塞原因","阻塞（非实测）"),IF(J593&lt;&gt;"已实测",IF(F593="","待展开路径","未实测"),IF(H593&lt;&gt;"适用","待确认适用性",IF(INDEX(Equipment[登记状态（自动）],MATCH(B593,Equipment[组合编号],0))&lt;&gt;"已登记","待补设备组合",IF(AND(F593&lt;&gt;"",G593&lt;&gt;"",K593&lt;&gt;"",L593&lt;&gt;"",M593&lt;&gt;"",N593&lt;&gt;"",ISNUMBER(O593),O593&gt;0,P593&lt;&gt;""),"记录齐全","待补实测记录")))))))))))</x:f>
        <x:v>待展开路径</x:v>
      </x:c>
    </x:row>
    <x:row r="594" ht="43.5" customHeight="1">
      <x:c r="A594" s="20" t="str">
        <x:v>REC-00585</x:v>
      </x:c>
      <x:c r="B594" s="20" t="str">
        <x:v>P2-B1-01</x:v>
      </x:c>
      <x:c r="C594" s="30" t="str">
        <x:f>IF(B594="","",IF(COUNTIFS(Equipment[组合编号],B594)&lt;&gt;1,"组合编号无效",INDEX(Equipment[PLC组],MATCH(B594,Equipment[组合编号],0))))</x:f>
        <x:v>汇川中大型</x:v>
      </x:c>
      <x:c r="D594" s="30" t="str">
        <x:f>IF(B594="","",IF(COUNTIFS(Equipment[组合编号],B594)&lt;&gt;1,"组合编号无效",INDEX(Equipment[驱动品牌],MATCH(B594,Equipment[组合编号],0))))</x:f>
        <x:v>CDHD</x:v>
      </x:c>
      <x:c r="E594" s="20" t="str">
        <x:v>N07</x:v>
      </x:c>
      <x:c r="F594" s="20"/>
      <x:c r="G594" s="20"/>
      <x:c r="H594" s="20" t="str">
        <x:v>待判定</x:v>
      </x:c>
      <x:c r="I594" s="20"/>
      <x:c r="J594" s="20" t="str">
        <x:v>未测试</x:v>
      </x:c>
      <x:c r="K594" s="20"/>
      <x:c r="L594" s="20"/>
      <x:c r="M594" s="20"/>
      <x:c r="N594" s="20"/>
      <x:c r="O594" s="31"/>
      <x:c r="P594" s="20"/>
      <x:c r="Q594" s="20"/>
      <x:c r="R594" s="20" t="str">
        <x:v>待展开</x:v>
      </x:c>
      <x:c r="S594" s="20"/>
      <x:c r="T594" s="31"/>
      <x:c r="U594" s="30" t="str">
        <x:f>IF(A594="","缺记录编号",IF(COUNTIFS(PathRecords[记录编号],A594)&lt;&gt;1,"记录编号重复",IF(OR(B594="",E594=""),"缺组合/功能",IF(COUNTIFS(Equipment[组合编号],B594)&lt;&gt;1,"组合编号无效",IF(COUNTIFS(FunctionMatrix[编号],E594)=0,"功能编号无效",IF(H594="不适用",IF(J594="已实测","适用性冲突",IF(I594="","待补不适用依据","不适用（非实测）")),IF(J594="阻塞",IF(I594="","待补阻塞原因","阻塞（非实测）"),IF(J594&lt;&gt;"已实测",IF(F594="","待展开路径","未实测"),IF(H594&lt;&gt;"适用","待确认适用性",IF(INDEX(Equipment[登记状态（自动）],MATCH(B594,Equipment[组合编号],0))&lt;&gt;"已登记","待补设备组合",IF(AND(F594&lt;&gt;"",G594&lt;&gt;"",K594&lt;&gt;"",L594&lt;&gt;"",M594&lt;&gt;"",N594&lt;&gt;"",ISNUMBER(O594),O594&gt;0,P594&lt;&gt;""),"记录齐全","待补实测记录")))))))))))</x:f>
        <x:v>待展开路径</x:v>
      </x:c>
    </x:row>
    <x:row r="595" ht="43.5" customHeight="1">
      <x:c r="A595" s="20" t="str">
        <x:v>REC-00586</x:v>
      </x:c>
      <x:c r="B595" s="20" t="str">
        <x:v>P2-B1-01</x:v>
      </x:c>
      <x:c r="C595" s="30" t="str">
        <x:f>IF(B595="","",IF(COUNTIFS(Equipment[组合编号],B595)&lt;&gt;1,"组合编号无效",INDEX(Equipment[PLC组],MATCH(B595,Equipment[组合编号],0))))</x:f>
        <x:v>汇川中大型</x:v>
      </x:c>
      <x:c r="D595" s="30" t="str">
        <x:f>IF(B595="","",IF(COUNTIFS(Equipment[组合编号],B595)&lt;&gt;1,"组合编号无效",INDEX(Equipment[驱动品牌],MATCH(B595,Equipment[组合编号],0))))</x:f>
        <x:v>CDHD</x:v>
      </x:c>
      <x:c r="E595" s="20" t="str">
        <x:v>N08</x:v>
      </x:c>
      <x:c r="F595" s="20"/>
      <x:c r="G595" s="20"/>
      <x:c r="H595" s="20" t="str">
        <x:v>待判定</x:v>
      </x:c>
      <x:c r="I595" s="20"/>
      <x:c r="J595" s="20" t="str">
        <x:v>未测试</x:v>
      </x:c>
      <x:c r="K595" s="20"/>
      <x:c r="L595" s="20"/>
      <x:c r="M595" s="20"/>
      <x:c r="N595" s="20"/>
      <x:c r="O595" s="31"/>
      <x:c r="P595" s="20"/>
      <x:c r="Q595" s="20"/>
      <x:c r="R595" s="20" t="str">
        <x:v>待展开</x:v>
      </x:c>
      <x:c r="S595" s="20"/>
      <x:c r="T595" s="31"/>
      <x:c r="U595" s="30" t="str">
        <x:f>IF(A595="","缺记录编号",IF(COUNTIFS(PathRecords[记录编号],A595)&lt;&gt;1,"记录编号重复",IF(OR(B595="",E595=""),"缺组合/功能",IF(COUNTIFS(Equipment[组合编号],B595)&lt;&gt;1,"组合编号无效",IF(COUNTIFS(FunctionMatrix[编号],E595)=0,"功能编号无效",IF(H595="不适用",IF(J595="已实测","适用性冲突",IF(I595="","待补不适用依据","不适用（非实测）")),IF(J595="阻塞",IF(I595="","待补阻塞原因","阻塞（非实测）"),IF(J595&lt;&gt;"已实测",IF(F595="","待展开路径","未实测"),IF(H595&lt;&gt;"适用","待确认适用性",IF(INDEX(Equipment[登记状态（自动）],MATCH(B595,Equipment[组合编号],0))&lt;&gt;"已登记","待补设备组合",IF(AND(F595&lt;&gt;"",G595&lt;&gt;"",K595&lt;&gt;"",L595&lt;&gt;"",M595&lt;&gt;"",N595&lt;&gt;"",ISNUMBER(O595),O595&gt;0,P595&lt;&gt;""),"记录齐全","待补实测记录")))))))))))</x:f>
        <x:v>待展开路径</x:v>
      </x:c>
    </x:row>
    <x:row r="596" ht="43.5" customHeight="1">
      <x:c r="A596" s="20" t="str">
        <x:v>REC-00587</x:v>
      </x:c>
      <x:c r="B596" s="20" t="str">
        <x:v>P2-B1-01</x:v>
      </x:c>
      <x:c r="C596" s="30" t="str">
        <x:f>IF(B596="","",IF(COUNTIFS(Equipment[组合编号],B596)&lt;&gt;1,"组合编号无效",INDEX(Equipment[PLC组],MATCH(B596,Equipment[组合编号],0))))</x:f>
        <x:v>汇川中大型</x:v>
      </x:c>
      <x:c r="D596" s="30" t="str">
        <x:f>IF(B596="","",IF(COUNTIFS(Equipment[组合编号],B596)&lt;&gt;1,"组合编号无效",INDEX(Equipment[驱动品牌],MATCH(B596,Equipment[组合编号],0))))</x:f>
        <x:v>CDHD</x:v>
      </x:c>
      <x:c r="E596" s="20" t="str">
        <x:v>N09</x:v>
      </x:c>
      <x:c r="F596" s="20"/>
      <x:c r="G596" s="20"/>
      <x:c r="H596" s="20" t="str">
        <x:v>待判定</x:v>
      </x:c>
      <x:c r="I596" s="20"/>
      <x:c r="J596" s="20" t="str">
        <x:v>未测试</x:v>
      </x:c>
      <x:c r="K596" s="20"/>
      <x:c r="L596" s="20"/>
      <x:c r="M596" s="20"/>
      <x:c r="N596" s="20"/>
      <x:c r="O596" s="31"/>
      <x:c r="P596" s="20"/>
      <x:c r="Q596" s="20"/>
      <x:c r="R596" s="20" t="str">
        <x:v>待展开</x:v>
      </x:c>
      <x:c r="S596" s="20"/>
      <x:c r="T596" s="31"/>
      <x:c r="U596" s="30" t="str">
        <x:f>IF(A596="","缺记录编号",IF(COUNTIFS(PathRecords[记录编号],A596)&lt;&gt;1,"记录编号重复",IF(OR(B596="",E596=""),"缺组合/功能",IF(COUNTIFS(Equipment[组合编号],B596)&lt;&gt;1,"组合编号无效",IF(COUNTIFS(FunctionMatrix[编号],E596)=0,"功能编号无效",IF(H596="不适用",IF(J596="已实测","适用性冲突",IF(I596="","待补不适用依据","不适用（非实测）")),IF(J596="阻塞",IF(I596="","待补阻塞原因","阻塞（非实测）"),IF(J596&lt;&gt;"已实测",IF(F596="","待展开路径","未实测"),IF(H596&lt;&gt;"适用","待确认适用性",IF(INDEX(Equipment[登记状态（自动）],MATCH(B596,Equipment[组合编号],0))&lt;&gt;"已登记","待补设备组合",IF(AND(F596&lt;&gt;"",G596&lt;&gt;"",K596&lt;&gt;"",L596&lt;&gt;"",M596&lt;&gt;"",N596&lt;&gt;"",ISNUMBER(O596),O596&gt;0,P596&lt;&gt;""),"记录齐全","待补实测记录")))))))))))</x:f>
        <x:v>待展开路径</x:v>
      </x:c>
    </x:row>
    <x:row r="597" ht="43.5" customHeight="1">
      <x:c r="A597" s="20" t="str">
        <x:v>REC-00588</x:v>
      </x:c>
      <x:c r="B597" s="20" t="str">
        <x:v>P2-B1-01</x:v>
      </x:c>
      <x:c r="C597" s="30" t="str">
        <x:f>IF(B597="","",IF(COUNTIFS(Equipment[组合编号],B597)&lt;&gt;1,"组合编号无效",INDEX(Equipment[PLC组],MATCH(B597,Equipment[组合编号],0))))</x:f>
        <x:v>汇川中大型</x:v>
      </x:c>
      <x:c r="D597" s="30" t="str">
        <x:f>IF(B597="","",IF(COUNTIFS(Equipment[组合编号],B597)&lt;&gt;1,"组合编号无效",INDEX(Equipment[驱动品牌],MATCH(B597,Equipment[组合编号],0))))</x:f>
        <x:v>CDHD</x:v>
      </x:c>
      <x:c r="E597" s="20" t="str">
        <x:v>N10</x:v>
      </x:c>
      <x:c r="F597" s="20"/>
      <x:c r="G597" s="20"/>
      <x:c r="H597" s="20" t="str">
        <x:v>待判定</x:v>
      </x:c>
      <x:c r="I597" s="20"/>
      <x:c r="J597" s="20" t="str">
        <x:v>未测试</x:v>
      </x:c>
      <x:c r="K597" s="20"/>
      <x:c r="L597" s="20"/>
      <x:c r="M597" s="20"/>
      <x:c r="N597" s="20"/>
      <x:c r="O597" s="31"/>
      <x:c r="P597" s="20"/>
      <x:c r="Q597" s="20"/>
      <x:c r="R597" s="20" t="str">
        <x:v>待展开</x:v>
      </x:c>
      <x:c r="S597" s="20"/>
      <x:c r="T597" s="31"/>
      <x:c r="U597" s="30" t="str">
        <x:f>IF(A597="","缺记录编号",IF(COUNTIFS(PathRecords[记录编号],A597)&lt;&gt;1,"记录编号重复",IF(OR(B597="",E597=""),"缺组合/功能",IF(COUNTIFS(Equipment[组合编号],B597)&lt;&gt;1,"组合编号无效",IF(COUNTIFS(FunctionMatrix[编号],E597)=0,"功能编号无效",IF(H597="不适用",IF(J597="已实测","适用性冲突",IF(I597="","待补不适用依据","不适用（非实测）")),IF(J597="阻塞",IF(I597="","待补阻塞原因","阻塞（非实测）"),IF(J597&lt;&gt;"已实测",IF(F597="","待展开路径","未实测"),IF(H597&lt;&gt;"适用","待确认适用性",IF(INDEX(Equipment[登记状态（自动）],MATCH(B597,Equipment[组合编号],0))&lt;&gt;"已登记","待补设备组合",IF(AND(F597&lt;&gt;"",G597&lt;&gt;"",K597&lt;&gt;"",L597&lt;&gt;"",M597&lt;&gt;"",N597&lt;&gt;"",ISNUMBER(O597),O597&gt;0,P597&lt;&gt;""),"记录齐全","待补实测记录")))))))))))</x:f>
        <x:v>待展开路径</x:v>
      </x:c>
    </x:row>
    <x:row r="598" ht="43.5" customHeight="1">
      <x:c r="A598" s="20" t="str">
        <x:v>REC-00589</x:v>
      </x:c>
      <x:c r="B598" s="20" t="str">
        <x:v>P2-B1-01</x:v>
      </x:c>
      <x:c r="C598" s="30" t="str">
        <x:f>IF(B598="","",IF(COUNTIFS(Equipment[组合编号],B598)&lt;&gt;1,"组合编号无效",INDEX(Equipment[PLC组],MATCH(B598,Equipment[组合编号],0))))</x:f>
        <x:v>汇川中大型</x:v>
      </x:c>
      <x:c r="D598" s="30" t="str">
        <x:f>IF(B598="","",IF(COUNTIFS(Equipment[组合编号],B598)&lt;&gt;1,"组合编号无效",INDEX(Equipment[驱动品牌],MATCH(B598,Equipment[组合编号],0))))</x:f>
        <x:v>CDHD</x:v>
      </x:c>
      <x:c r="E598" s="20" t="str">
        <x:v>N11</x:v>
      </x:c>
      <x:c r="F598" s="20"/>
      <x:c r="G598" s="20"/>
      <x:c r="H598" s="20" t="str">
        <x:v>待判定</x:v>
      </x:c>
      <x:c r="I598" s="20"/>
      <x:c r="J598" s="20" t="str">
        <x:v>未测试</x:v>
      </x:c>
      <x:c r="K598" s="20"/>
      <x:c r="L598" s="20"/>
      <x:c r="M598" s="20"/>
      <x:c r="N598" s="20"/>
      <x:c r="O598" s="31"/>
      <x:c r="P598" s="20"/>
      <x:c r="Q598" s="20"/>
      <x:c r="R598" s="20" t="str">
        <x:v>待展开</x:v>
      </x:c>
      <x:c r="S598" s="20"/>
      <x:c r="T598" s="31"/>
      <x:c r="U598" s="30" t="str">
        <x:f>IF(A598="","缺记录编号",IF(COUNTIFS(PathRecords[记录编号],A598)&lt;&gt;1,"记录编号重复",IF(OR(B598="",E598=""),"缺组合/功能",IF(COUNTIFS(Equipment[组合编号],B598)&lt;&gt;1,"组合编号无效",IF(COUNTIFS(FunctionMatrix[编号],E598)=0,"功能编号无效",IF(H598="不适用",IF(J598="已实测","适用性冲突",IF(I598="","待补不适用依据","不适用（非实测）")),IF(J598="阻塞",IF(I598="","待补阻塞原因","阻塞（非实测）"),IF(J598&lt;&gt;"已实测",IF(F598="","待展开路径","未实测"),IF(H598&lt;&gt;"适用","待确认适用性",IF(INDEX(Equipment[登记状态（自动）],MATCH(B598,Equipment[组合编号],0))&lt;&gt;"已登记","待补设备组合",IF(AND(F598&lt;&gt;"",G598&lt;&gt;"",K598&lt;&gt;"",L598&lt;&gt;"",M598&lt;&gt;"",N598&lt;&gt;"",ISNUMBER(O598),O598&gt;0,P598&lt;&gt;""),"记录齐全","待补实测记录")))))))))))</x:f>
        <x:v>待展开路径</x:v>
      </x:c>
    </x:row>
    <x:row r="599" ht="43.5" customHeight="1">
      <x:c r="A599" s="20" t="str">
        <x:v>REC-00590</x:v>
      </x:c>
      <x:c r="B599" s="20" t="str">
        <x:v>P2-B1-01</x:v>
      </x:c>
      <x:c r="C599" s="30" t="str">
        <x:f>IF(B599="","",IF(COUNTIFS(Equipment[组合编号],B599)&lt;&gt;1,"组合编号无效",INDEX(Equipment[PLC组],MATCH(B599,Equipment[组合编号],0))))</x:f>
        <x:v>汇川中大型</x:v>
      </x:c>
      <x:c r="D599" s="30" t="str">
        <x:f>IF(B599="","",IF(COUNTIFS(Equipment[组合编号],B599)&lt;&gt;1,"组合编号无效",INDEX(Equipment[驱动品牌],MATCH(B599,Equipment[组合编号],0))))</x:f>
        <x:v>CDHD</x:v>
      </x:c>
      <x:c r="E599" s="20" t="str">
        <x:v>N12</x:v>
      </x:c>
      <x:c r="F599" s="20"/>
      <x:c r="G599" s="20"/>
      <x:c r="H599" s="20" t="str">
        <x:v>待判定</x:v>
      </x:c>
      <x:c r="I599" s="20"/>
      <x:c r="J599" s="20" t="str">
        <x:v>未测试</x:v>
      </x:c>
      <x:c r="K599" s="20"/>
      <x:c r="L599" s="20"/>
      <x:c r="M599" s="20"/>
      <x:c r="N599" s="20"/>
      <x:c r="O599" s="31"/>
      <x:c r="P599" s="20"/>
      <x:c r="Q599" s="20"/>
      <x:c r="R599" s="20" t="str">
        <x:v>待展开</x:v>
      </x:c>
      <x:c r="S599" s="20"/>
      <x:c r="T599" s="31"/>
      <x:c r="U599" s="30" t="str">
        <x:f>IF(A599="","缺记录编号",IF(COUNTIFS(PathRecords[记录编号],A599)&lt;&gt;1,"记录编号重复",IF(OR(B599="",E599=""),"缺组合/功能",IF(COUNTIFS(Equipment[组合编号],B599)&lt;&gt;1,"组合编号无效",IF(COUNTIFS(FunctionMatrix[编号],E599)=0,"功能编号无效",IF(H599="不适用",IF(J599="已实测","适用性冲突",IF(I599="","待补不适用依据","不适用（非实测）")),IF(J599="阻塞",IF(I599="","待补阻塞原因","阻塞（非实测）"),IF(J599&lt;&gt;"已实测",IF(F599="","待展开路径","未实测"),IF(H599&lt;&gt;"适用","待确认适用性",IF(INDEX(Equipment[登记状态（自动）],MATCH(B599,Equipment[组合编号],0))&lt;&gt;"已登记","待补设备组合",IF(AND(F599&lt;&gt;"",G599&lt;&gt;"",K599&lt;&gt;"",L599&lt;&gt;"",M599&lt;&gt;"",N599&lt;&gt;"",ISNUMBER(O599),O599&gt;0,P599&lt;&gt;""),"记录齐全","待补实测记录")))))))))))</x:f>
        <x:v>待展开路径</x:v>
      </x:c>
    </x:row>
    <x:row r="600" ht="43.5" customHeight="1">
      <x:c r="A600" s="20" t="str">
        <x:v>REC-00591</x:v>
      </x:c>
      <x:c r="B600" s="20" t="str">
        <x:v>P2-B1-01</x:v>
      </x:c>
      <x:c r="C600" s="30" t="str">
        <x:f>IF(B600="","",IF(COUNTIFS(Equipment[组合编号],B600)&lt;&gt;1,"组合编号无效",INDEX(Equipment[PLC组],MATCH(B600,Equipment[组合编号],0))))</x:f>
        <x:v>汇川中大型</x:v>
      </x:c>
      <x:c r="D600" s="30" t="str">
        <x:f>IF(B600="","",IF(COUNTIFS(Equipment[组合编号],B600)&lt;&gt;1,"组合编号无效",INDEX(Equipment[驱动品牌],MATCH(B600,Equipment[组合编号],0))))</x:f>
        <x:v>CDHD</x:v>
      </x:c>
      <x:c r="E600" s="20" t="str">
        <x:v>P01</x:v>
      </x:c>
      <x:c r="F600" s="20"/>
      <x:c r="G600" s="20"/>
      <x:c r="H600" s="20" t="str">
        <x:v>待判定</x:v>
      </x:c>
      <x:c r="I600" s="20"/>
      <x:c r="J600" s="20" t="str">
        <x:v>未测试</x:v>
      </x:c>
      <x:c r="K600" s="20"/>
      <x:c r="L600" s="20"/>
      <x:c r="M600" s="20"/>
      <x:c r="N600" s="20"/>
      <x:c r="O600" s="31"/>
      <x:c r="P600" s="20"/>
      <x:c r="Q600" s="20"/>
      <x:c r="R600" s="20" t="str">
        <x:v>待展开</x:v>
      </x:c>
      <x:c r="S600" s="20"/>
      <x:c r="T600" s="31"/>
      <x:c r="U600" s="30" t="str">
        <x:f>IF(A600="","缺记录编号",IF(COUNTIFS(PathRecords[记录编号],A600)&lt;&gt;1,"记录编号重复",IF(OR(B600="",E600=""),"缺组合/功能",IF(COUNTIFS(Equipment[组合编号],B600)&lt;&gt;1,"组合编号无效",IF(COUNTIFS(FunctionMatrix[编号],E600)=0,"功能编号无效",IF(H600="不适用",IF(J600="已实测","适用性冲突",IF(I600="","待补不适用依据","不适用（非实测）")),IF(J600="阻塞",IF(I600="","待补阻塞原因","阻塞（非实测）"),IF(J600&lt;&gt;"已实测",IF(F600="","待展开路径","未实测"),IF(H600&lt;&gt;"适用","待确认适用性",IF(INDEX(Equipment[登记状态（自动）],MATCH(B600,Equipment[组合编号],0))&lt;&gt;"已登记","待补设备组合",IF(AND(F600&lt;&gt;"",G600&lt;&gt;"",K600&lt;&gt;"",L600&lt;&gt;"",M600&lt;&gt;"",N600&lt;&gt;"",ISNUMBER(O600),O600&gt;0,P600&lt;&gt;""),"记录齐全","待补实测记录")))))))))))</x:f>
        <x:v>待展开路径</x:v>
      </x:c>
    </x:row>
    <x:row r="601" ht="43.5" customHeight="1">
      <x:c r="A601" s="20" t="str">
        <x:v>REC-00592</x:v>
      </x:c>
      <x:c r="B601" s="20" t="str">
        <x:v>P2-B1-01</x:v>
      </x:c>
      <x:c r="C601" s="30" t="str">
        <x:f>IF(B601="","",IF(COUNTIFS(Equipment[组合编号],B601)&lt;&gt;1,"组合编号无效",INDEX(Equipment[PLC组],MATCH(B601,Equipment[组合编号],0))))</x:f>
        <x:v>汇川中大型</x:v>
      </x:c>
      <x:c r="D601" s="30" t="str">
        <x:f>IF(B601="","",IF(COUNTIFS(Equipment[组合编号],B601)&lt;&gt;1,"组合编号无效",INDEX(Equipment[驱动品牌],MATCH(B601,Equipment[组合编号],0))))</x:f>
        <x:v>CDHD</x:v>
      </x:c>
      <x:c r="E601" s="20" t="str">
        <x:v>P02</x:v>
      </x:c>
      <x:c r="F601" s="20"/>
      <x:c r="G601" s="20"/>
      <x:c r="H601" s="20" t="str">
        <x:v>待判定</x:v>
      </x:c>
      <x:c r="I601" s="20"/>
      <x:c r="J601" s="20" t="str">
        <x:v>未测试</x:v>
      </x:c>
      <x:c r="K601" s="20"/>
      <x:c r="L601" s="20"/>
      <x:c r="M601" s="20"/>
      <x:c r="N601" s="20"/>
      <x:c r="O601" s="31"/>
      <x:c r="P601" s="20"/>
      <x:c r="Q601" s="20"/>
      <x:c r="R601" s="20" t="str">
        <x:v>待展开</x:v>
      </x:c>
      <x:c r="S601" s="20"/>
      <x:c r="T601" s="31"/>
      <x:c r="U601" s="30" t="str">
        <x:f>IF(A601="","缺记录编号",IF(COUNTIFS(PathRecords[记录编号],A601)&lt;&gt;1,"记录编号重复",IF(OR(B601="",E601=""),"缺组合/功能",IF(COUNTIFS(Equipment[组合编号],B601)&lt;&gt;1,"组合编号无效",IF(COUNTIFS(FunctionMatrix[编号],E601)=0,"功能编号无效",IF(H601="不适用",IF(J601="已实测","适用性冲突",IF(I601="","待补不适用依据","不适用（非实测）")),IF(J601="阻塞",IF(I601="","待补阻塞原因","阻塞（非实测）"),IF(J601&lt;&gt;"已实测",IF(F601="","待展开路径","未实测"),IF(H601&lt;&gt;"适用","待确认适用性",IF(INDEX(Equipment[登记状态（自动）],MATCH(B601,Equipment[组合编号],0))&lt;&gt;"已登记","待补设备组合",IF(AND(F601&lt;&gt;"",G601&lt;&gt;"",K601&lt;&gt;"",L601&lt;&gt;"",M601&lt;&gt;"",N601&lt;&gt;"",ISNUMBER(O601),O601&gt;0,P601&lt;&gt;""),"记录齐全","待补实测记录")))))))))))</x:f>
        <x:v>待展开路径</x:v>
      </x:c>
    </x:row>
    <x:row r="602" ht="43.5" customHeight="1">
      <x:c r="A602" s="20" t="str">
        <x:v>REC-00593</x:v>
      </x:c>
      <x:c r="B602" s="20" t="str">
        <x:v>P2-B1-01</x:v>
      </x:c>
      <x:c r="C602" s="30" t="str">
        <x:f>IF(B602="","",IF(COUNTIFS(Equipment[组合编号],B602)&lt;&gt;1,"组合编号无效",INDEX(Equipment[PLC组],MATCH(B602,Equipment[组合编号],0))))</x:f>
        <x:v>汇川中大型</x:v>
      </x:c>
      <x:c r="D602" s="30" t="str">
        <x:f>IF(B602="","",IF(COUNTIFS(Equipment[组合编号],B602)&lt;&gt;1,"组合编号无效",INDEX(Equipment[驱动品牌],MATCH(B602,Equipment[组合编号],0))))</x:f>
        <x:v>CDHD</x:v>
      </x:c>
      <x:c r="E602" s="20" t="str">
        <x:v>P03</x:v>
      </x:c>
      <x:c r="F602" s="20"/>
      <x:c r="G602" s="20"/>
      <x:c r="H602" s="20" t="str">
        <x:v>待判定</x:v>
      </x:c>
      <x:c r="I602" s="20"/>
      <x:c r="J602" s="20" t="str">
        <x:v>未测试</x:v>
      </x:c>
      <x:c r="K602" s="20"/>
      <x:c r="L602" s="20"/>
      <x:c r="M602" s="20"/>
      <x:c r="N602" s="20"/>
      <x:c r="O602" s="31"/>
      <x:c r="P602" s="20"/>
      <x:c r="Q602" s="20"/>
      <x:c r="R602" s="20" t="str">
        <x:v>待展开</x:v>
      </x:c>
      <x:c r="S602" s="20"/>
      <x:c r="T602" s="31"/>
      <x:c r="U602" s="30" t="str">
        <x:f>IF(A602="","缺记录编号",IF(COUNTIFS(PathRecords[记录编号],A602)&lt;&gt;1,"记录编号重复",IF(OR(B602="",E602=""),"缺组合/功能",IF(COUNTIFS(Equipment[组合编号],B602)&lt;&gt;1,"组合编号无效",IF(COUNTIFS(FunctionMatrix[编号],E602)=0,"功能编号无效",IF(H602="不适用",IF(J602="已实测","适用性冲突",IF(I602="","待补不适用依据","不适用（非实测）")),IF(J602="阻塞",IF(I602="","待补阻塞原因","阻塞（非实测）"),IF(J602&lt;&gt;"已实测",IF(F602="","待展开路径","未实测"),IF(H602&lt;&gt;"适用","待确认适用性",IF(INDEX(Equipment[登记状态（自动）],MATCH(B602,Equipment[组合编号],0))&lt;&gt;"已登记","待补设备组合",IF(AND(F602&lt;&gt;"",G602&lt;&gt;"",K602&lt;&gt;"",L602&lt;&gt;"",M602&lt;&gt;"",N602&lt;&gt;"",ISNUMBER(O602),O602&gt;0,P602&lt;&gt;""),"记录齐全","待补实测记录")))))))))))</x:f>
        <x:v>待展开路径</x:v>
      </x:c>
    </x:row>
    <x:row r="603" ht="43.5" customHeight="1">
      <x:c r="A603" s="20" t="str">
        <x:v>REC-00594</x:v>
      </x:c>
      <x:c r="B603" s="20" t="str">
        <x:v>P2-B1-01</x:v>
      </x:c>
      <x:c r="C603" s="30" t="str">
        <x:f>IF(B603="","",IF(COUNTIFS(Equipment[组合编号],B603)&lt;&gt;1,"组合编号无效",INDEX(Equipment[PLC组],MATCH(B603,Equipment[组合编号],0))))</x:f>
        <x:v>汇川中大型</x:v>
      </x:c>
      <x:c r="D603" s="30" t="str">
        <x:f>IF(B603="","",IF(COUNTIFS(Equipment[组合编号],B603)&lt;&gt;1,"组合编号无效",INDEX(Equipment[驱动品牌],MATCH(B603,Equipment[组合编号],0))))</x:f>
        <x:v>CDHD</x:v>
      </x:c>
      <x:c r="E603" s="20" t="str">
        <x:v>P04</x:v>
      </x:c>
      <x:c r="F603" s="20"/>
      <x:c r="G603" s="20"/>
      <x:c r="H603" s="20" t="str">
        <x:v>待判定</x:v>
      </x:c>
      <x:c r="I603" s="20"/>
      <x:c r="J603" s="20" t="str">
        <x:v>未测试</x:v>
      </x:c>
      <x:c r="K603" s="20"/>
      <x:c r="L603" s="20"/>
      <x:c r="M603" s="20"/>
      <x:c r="N603" s="20"/>
      <x:c r="O603" s="31"/>
      <x:c r="P603" s="20"/>
      <x:c r="Q603" s="20"/>
      <x:c r="R603" s="20" t="str">
        <x:v>待展开</x:v>
      </x:c>
      <x:c r="S603" s="20"/>
      <x:c r="T603" s="31"/>
      <x:c r="U603" s="30" t="str">
        <x:f>IF(A603="","缺记录编号",IF(COUNTIFS(PathRecords[记录编号],A603)&lt;&gt;1,"记录编号重复",IF(OR(B603="",E603=""),"缺组合/功能",IF(COUNTIFS(Equipment[组合编号],B603)&lt;&gt;1,"组合编号无效",IF(COUNTIFS(FunctionMatrix[编号],E603)=0,"功能编号无效",IF(H603="不适用",IF(J603="已实测","适用性冲突",IF(I603="","待补不适用依据","不适用（非实测）")),IF(J603="阻塞",IF(I603="","待补阻塞原因","阻塞（非实测）"),IF(J603&lt;&gt;"已实测",IF(F603="","待展开路径","未实测"),IF(H603&lt;&gt;"适用","待确认适用性",IF(INDEX(Equipment[登记状态（自动）],MATCH(B603,Equipment[组合编号],0))&lt;&gt;"已登记","待补设备组合",IF(AND(F603&lt;&gt;"",G603&lt;&gt;"",K603&lt;&gt;"",L603&lt;&gt;"",M603&lt;&gt;"",N603&lt;&gt;"",ISNUMBER(O603),O603&gt;0,P603&lt;&gt;""),"记录齐全","待补实测记录")))))))))))</x:f>
        <x:v>待展开路径</x:v>
      </x:c>
    </x:row>
    <x:row r="604" ht="43.5" customHeight="1">
      <x:c r="A604" s="20" t="str">
        <x:v>REC-00595</x:v>
      </x:c>
      <x:c r="B604" s="20" t="str">
        <x:v>P2-B1-01</x:v>
      </x:c>
      <x:c r="C604" s="30" t="str">
        <x:f>IF(B604="","",IF(COUNTIFS(Equipment[组合编号],B604)&lt;&gt;1,"组合编号无效",INDEX(Equipment[PLC组],MATCH(B604,Equipment[组合编号],0))))</x:f>
        <x:v>汇川中大型</x:v>
      </x:c>
      <x:c r="D604" s="30" t="str">
        <x:f>IF(B604="","",IF(COUNTIFS(Equipment[组合编号],B604)&lt;&gt;1,"组合编号无效",INDEX(Equipment[驱动品牌],MATCH(B604,Equipment[组合编号],0))))</x:f>
        <x:v>CDHD</x:v>
      </x:c>
      <x:c r="E604" s="20" t="str">
        <x:v>P05</x:v>
      </x:c>
      <x:c r="F604" s="20"/>
      <x:c r="G604" s="20"/>
      <x:c r="H604" s="20" t="str">
        <x:v>待判定</x:v>
      </x:c>
      <x:c r="I604" s="20"/>
      <x:c r="J604" s="20" t="str">
        <x:v>未测试</x:v>
      </x:c>
      <x:c r="K604" s="20"/>
      <x:c r="L604" s="20"/>
      <x:c r="M604" s="20"/>
      <x:c r="N604" s="20"/>
      <x:c r="O604" s="31"/>
      <x:c r="P604" s="20"/>
      <x:c r="Q604" s="20"/>
      <x:c r="R604" s="20" t="str">
        <x:v>待展开</x:v>
      </x:c>
      <x:c r="S604" s="20"/>
      <x:c r="T604" s="31"/>
      <x:c r="U604" s="30" t="str">
        <x:f>IF(A604="","缺记录编号",IF(COUNTIFS(PathRecords[记录编号],A604)&lt;&gt;1,"记录编号重复",IF(OR(B604="",E604=""),"缺组合/功能",IF(COUNTIFS(Equipment[组合编号],B604)&lt;&gt;1,"组合编号无效",IF(COUNTIFS(FunctionMatrix[编号],E604)=0,"功能编号无效",IF(H604="不适用",IF(J604="已实测","适用性冲突",IF(I604="","待补不适用依据","不适用（非实测）")),IF(J604="阻塞",IF(I604="","待补阻塞原因","阻塞（非实测）"),IF(J604&lt;&gt;"已实测",IF(F604="","待展开路径","未实测"),IF(H604&lt;&gt;"适用","待确认适用性",IF(INDEX(Equipment[登记状态（自动）],MATCH(B604,Equipment[组合编号],0))&lt;&gt;"已登记","待补设备组合",IF(AND(F604&lt;&gt;"",G604&lt;&gt;"",K604&lt;&gt;"",L604&lt;&gt;"",M604&lt;&gt;"",N604&lt;&gt;"",ISNUMBER(O604),O604&gt;0,P604&lt;&gt;""),"记录齐全","待补实测记录")))))))))))</x:f>
        <x:v>待展开路径</x:v>
      </x:c>
    </x:row>
    <x:row r="605" ht="43.5" customHeight="1">
      <x:c r="A605" s="20" t="str">
        <x:v>REC-00596</x:v>
      </x:c>
      <x:c r="B605" s="20" t="str">
        <x:v>P2-B1-01</x:v>
      </x:c>
      <x:c r="C605" s="30" t="str">
        <x:f>IF(B605="","",IF(COUNTIFS(Equipment[组合编号],B605)&lt;&gt;1,"组合编号无效",INDEX(Equipment[PLC组],MATCH(B605,Equipment[组合编号],0))))</x:f>
        <x:v>汇川中大型</x:v>
      </x:c>
      <x:c r="D605" s="30" t="str">
        <x:f>IF(B605="","",IF(COUNTIFS(Equipment[组合编号],B605)&lt;&gt;1,"组合编号无效",INDEX(Equipment[驱动品牌],MATCH(B605,Equipment[组合编号],0))))</x:f>
        <x:v>CDHD</x:v>
      </x:c>
      <x:c r="E605" s="20" t="str">
        <x:v>P06</x:v>
      </x:c>
      <x:c r="F605" s="20"/>
      <x:c r="G605" s="20"/>
      <x:c r="H605" s="20" t="str">
        <x:v>待判定</x:v>
      </x:c>
      <x:c r="I605" s="20"/>
      <x:c r="J605" s="20" t="str">
        <x:v>未测试</x:v>
      </x:c>
      <x:c r="K605" s="20"/>
      <x:c r="L605" s="20"/>
      <x:c r="M605" s="20"/>
      <x:c r="N605" s="20"/>
      <x:c r="O605" s="31"/>
      <x:c r="P605" s="20"/>
      <x:c r="Q605" s="20"/>
      <x:c r="R605" s="20" t="str">
        <x:v>待展开</x:v>
      </x:c>
      <x:c r="S605" s="20"/>
      <x:c r="T605" s="31"/>
      <x:c r="U605" s="30" t="str">
        <x:f>IF(A605="","缺记录编号",IF(COUNTIFS(PathRecords[记录编号],A605)&lt;&gt;1,"记录编号重复",IF(OR(B605="",E605=""),"缺组合/功能",IF(COUNTIFS(Equipment[组合编号],B605)&lt;&gt;1,"组合编号无效",IF(COUNTIFS(FunctionMatrix[编号],E605)=0,"功能编号无效",IF(H605="不适用",IF(J605="已实测","适用性冲突",IF(I605="","待补不适用依据","不适用（非实测）")),IF(J605="阻塞",IF(I605="","待补阻塞原因","阻塞（非实测）"),IF(J605&lt;&gt;"已实测",IF(F605="","待展开路径","未实测"),IF(H605&lt;&gt;"适用","待确认适用性",IF(INDEX(Equipment[登记状态（自动）],MATCH(B605,Equipment[组合编号],0))&lt;&gt;"已登记","待补设备组合",IF(AND(F605&lt;&gt;"",G605&lt;&gt;"",K605&lt;&gt;"",L605&lt;&gt;"",M605&lt;&gt;"",N605&lt;&gt;"",ISNUMBER(O605),O605&gt;0,P605&lt;&gt;""),"记录齐全","待补实测记录")))))))))))</x:f>
        <x:v>待展开路径</x:v>
      </x:c>
    </x:row>
    <x:row r="606" ht="43.5" customHeight="1">
      <x:c r="A606" s="20" t="str">
        <x:v>REC-00597</x:v>
      </x:c>
      <x:c r="B606" s="20" t="str">
        <x:v>P2-B1-01</x:v>
      </x:c>
      <x:c r="C606" s="30" t="str">
        <x:f>IF(B606="","",IF(COUNTIFS(Equipment[组合编号],B606)&lt;&gt;1,"组合编号无效",INDEX(Equipment[PLC组],MATCH(B606,Equipment[组合编号],0))))</x:f>
        <x:v>汇川中大型</x:v>
      </x:c>
      <x:c r="D606" s="30" t="str">
        <x:f>IF(B606="","",IF(COUNTIFS(Equipment[组合编号],B606)&lt;&gt;1,"组合编号无效",INDEX(Equipment[驱动品牌],MATCH(B606,Equipment[组合编号],0))))</x:f>
        <x:v>CDHD</x:v>
      </x:c>
      <x:c r="E606" s="20" t="str">
        <x:v>P07</x:v>
      </x:c>
      <x:c r="F606" s="20"/>
      <x:c r="G606" s="20"/>
      <x:c r="H606" s="20" t="str">
        <x:v>待判定</x:v>
      </x:c>
      <x:c r="I606" s="20"/>
      <x:c r="J606" s="20" t="str">
        <x:v>未测试</x:v>
      </x:c>
      <x:c r="K606" s="20"/>
      <x:c r="L606" s="20"/>
      <x:c r="M606" s="20"/>
      <x:c r="N606" s="20"/>
      <x:c r="O606" s="31"/>
      <x:c r="P606" s="20"/>
      <x:c r="Q606" s="20"/>
      <x:c r="R606" s="20" t="str">
        <x:v>待展开</x:v>
      </x:c>
      <x:c r="S606" s="20"/>
      <x:c r="T606" s="31"/>
      <x:c r="U606" s="30" t="str">
        <x:f>IF(A606="","缺记录编号",IF(COUNTIFS(PathRecords[记录编号],A606)&lt;&gt;1,"记录编号重复",IF(OR(B606="",E606=""),"缺组合/功能",IF(COUNTIFS(Equipment[组合编号],B606)&lt;&gt;1,"组合编号无效",IF(COUNTIFS(FunctionMatrix[编号],E606)=0,"功能编号无效",IF(H606="不适用",IF(J606="已实测","适用性冲突",IF(I606="","待补不适用依据","不适用（非实测）")),IF(J606="阻塞",IF(I606="","待补阻塞原因","阻塞（非实测）"),IF(J606&lt;&gt;"已实测",IF(F606="","待展开路径","未实测"),IF(H606&lt;&gt;"适用","待确认适用性",IF(INDEX(Equipment[登记状态（自动）],MATCH(B606,Equipment[组合编号],0))&lt;&gt;"已登记","待补设备组合",IF(AND(F606&lt;&gt;"",G606&lt;&gt;"",K606&lt;&gt;"",L606&lt;&gt;"",M606&lt;&gt;"",N606&lt;&gt;"",ISNUMBER(O606),O606&gt;0,P606&lt;&gt;""),"记录齐全","待补实测记录")))))))))))</x:f>
        <x:v>待展开路径</x:v>
      </x:c>
    </x:row>
    <x:row r="607" ht="43.5" customHeight="1">
      <x:c r="A607" s="20" t="str">
        <x:v>REC-00598</x:v>
      </x:c>
      <x:c r="B607" s="20" t="str">
        <x:v>P2-B1-01</x:v>
      </x:c>
      <x:c r="C607" s="30" t="str">
        <x:f>IF(B607="","",IF(COUNTIFS(Equipment[组合编号],B607)&lt;&gt;1,"组合编号无效",INDEX(Equipment[PLC组],MATCH(B607,Equipment[组合编号],0))))</x:f>
        <x:v>汇川中大型</x:v>
      </x:c>
      <x:c r="D607" s="30" t="str">
        <x:f>IF(B607="","",IF(COUNTIFS(Equipment[组合编号],B607)&lt;&gt;1,"组合编号无效",INDEX(Equipment[驱动品牌],MATCH(B607,Equipment[组合编号],0))))</x:f>
        <x:v>CDHD</x:v>
      </x:c>
      <x:c r="E607" s="20" t="str">
        <x:v>P08</x:v>
      </x:c>
      <x:c r="F607" s="20"/>
      <x:c r="G607" s="20"/>
      <x:c r="H607" s="20" t="str">
        <x:v>待判定</x:v>
      </x:c>
      <x:c r="I607" s="20"/>
      <x:c r="J607" s="20" t="str">
        <x:v>未测试</x:v>
      </x:c>
      <x:c r="K607" s="20"/>
      <x:c r="L607" s="20"/>
      <x:c r="M607" s="20"/>
      <x:c r="N607" s="20"/>
      <x:c r="O607" s="31"/>
      <x:c r="P607" s="20"/>
      <x:c r="Q607" s="20"/>
      <x:c r="R607" s="20" t="str">
        <x:v>待展开</x:v>
      </x:c>
      <x:c r="S607" s="20"/>
      <x:c r="T607" s="31"/>
      <x:c r="U607" s="30" t="str">
        <x:f>IF(A607="","缺记录编号",IF(COUNTIFS(PathRecords[记录编号],A607)&lt;&gt;1,"记录编号重复",IF(OR(B607="",E607=""),"缺组合/功能",IF(COUNTIFS(Equipment[组合编号],B607)&lt;&gt;1,"组合编号无效",IF(COUNTIFS(FunctionMatrix[编号],E607)=0,"功能编号无效",IF(H607="不适用",IF(J607="已实测","适用性冲突",IF(I607="","待补不适用依据","不适用（非实测）")),IF(J607="阻塞",IF(I607="","待补阻塞原因","阻塞（非实测）"),IF(J607&lt;&gt;"已实测",IF(F607="","待展开路径","未实测"),IF(H607&lt;&gt;"适用","待确认适用性",IF(INDEX(Equipment[登记状态（自动）],MATCH(B607,Equipment[组合编号],0))&lt;&gt;"已登记","待补设备组合",IF(AND(F607&lt;&gt;"",G607&lt;&gt;"",K607&lt;&gt;"",L607&lt;&gt;"",M607&lt;&gt;"",N607&lt;&gt;"",ISNUMBER(O607),O607&gt;0,P607&lt;&gt;""),"记录齐全","待补实测记录")))))))))))</x:f>
        <x:v>待展开路径</x:v>
      </x:c>
    </x:row>
    <x:row r="608" ht="43.5" customHeight="1">
      <x:c r="A608" s="20" t="str">
        <x:v>REC-00599</x:v>
      </x:c>
      <x:c r="B608" s="20" t="str">
        <x:v>P2-B1-01</x:v>
      </x:c>
      <x:c r="C608" s="30" t="str">
        <x:f>IF(B608="","",IF(COUNTIFS(Equipment[组合编号],B608)&lt;&gt;1,"组合编号无效",INDEX(Equipment[PLC组],MATCH(B608,Equipment[组合编号],0))))</x:f>
        <x:v>汇川中大型</x:v>
      </x:c>
      <x:c r="D608" s="30" t="str">
        <x:f>IF(B608="","",IF(COUNTIFS(Equipment[组合编号],B608)&lt;&gt;1,"组合编号无效",INDEX(Equipment[驱动品牌],MATCH(B608,Equipment[组合编号],0))))</x:f>
        <x:v>CDHD</x:v>
      </x:c>
      <x:c r="E608" s="20" t="str">
        <x:v>P09</x:v>
      </x:c>
      <x:c r="F608" s="20"/>
      <x:c r="G608" s="20"/>
      <x:c r="H608" s="20" t="str">
        <x:v>待判定</x:v>
      </x:c>
      <x:c r="I608" s="20"/>
      <x:c r="J608" s="20" t="str">
        <x:v>未测试</x:v>
      </x:c>
      <x:c r="K608" s="20"/>
      <x:c r="L608" s="20"/>
      <x:c r="M608" s="20"/>
      <x:c r="N608" s="20"/>
      <x:c r="O608" s="31"/>
      <x:c r="P608" s="20"/>
      <x:c r="Q608" s="20"/>
      <x:c r="R608" s="20" t="str">
        <x:v>待展开</x:v>
      </x:c>
      <x:c r="S608" s="20"/>
      <x:c r="T608" s="31"/>
      <x:c r="U608" s="30" t="str">
        <x:f>IF(A608="","缺记录编号",IF(COUNTIFS(PathRecords[记录编号],A608)&lt;&gt;1,"记录编号重复",IF(OR(B608="",E608=""),"缺组合/功能",IF(COUNTIFS(Equipment[组合编号],B608)&lt;&gt;1,"组合编号无效",IF(COUNTIFS(FunctionMatrix[编号],E608)=0,"功能编号无效",IF(H608="不适用",IF(J608="已实测","适用性冲突",IF(I608="","待补不适用依据","不适用（非实测）")),IF(J608="阻塞",IF(I608="","待补阻塞原因","阻塞（非实测）"),IF(J608&lt;&gt;"已实测",IF(F608="","待展开路径","未实测"),IF(H608&lt;&gt;"适用","待确认适用性",IF(INDEX(Equipment[登记状态（自动）],MATCH(B608,Equipment[组合编号],0))&lt;&gt;"已登记","待补设备组合",IF(AND(F608&lt;&gt;"",G608&lt;&gt;"",K608&lt;&gt;"",L608&lt;&gt;"",M608&lt;&gt;"",N608&lt;&gt;"",ISNUMBER(O608),O608&gt;0,P608&lt;&gt;""),"记录齐全","待补实测记录")))))))))))</x:f>
        <x:v>待展开路径</x:v>
      </x:c>
    </x:row>
    <x:row r="609" ht="43.5" customHeight="1">
      <x:c r="A609" s="20" t="str">
        <x:v>REC-00600</x:v>
      </x:c>
      <x:c r="B609" s="20" t="str">
        <x:v>P2-B1-01</x:v>
      </x:c>
      <x:c r="C609" s="30" t="str">
        <x:f>IF(B609="","",IF(COUNTIFS(Equipment[组合编号],B609)&lt;&gt;1,"组合编号无效",INDEX(Equipment[PLC组],MATCH(B609,Equipment[组合编号],0))))</x:f>
        <x:v>汇川中大型</x:v>
      </x:c>
      <x:c r="D609" s="30" t="str">
        <x:f>IF(B609="","",IF(COUNTIFS(Equipment[组合编号],B609)&lt;&gt;1,"组合编号无效",INDEX(Equipment[驱动品牌],MATCH(B609,Equipment[组合编号],0))))</x:f>
        <x:v>CDHD</x:v>
      </x:c>
      <x:c r="E609" s="20" t="str">
        <x:v>P10</x:v>
      </x:c>
      <x:c r="F609" s="20"/>
      <x:c r="G609" s="20"/>
      <x:c r="H609" s="20" t="str">
        <x:v>待判定</x:v>
      </x:c>
      <x:c r="I609" s="20"/>
      <x:c r="J609" s="20" t="str">
        <x:v>未测试</x:v>
      </x:c>
      <x:c r="K609" s="20"/>
      <x:c r="L609" s="20"/>
      <x:c r="M609" s="20"/>
      <x:c r="N609" s="20"/>
      <x:c r="O609" s="31"/>
      <x:c r="P609" s="20"/>
      <x:c r="Q609" s="20"/>
      <x:c r="R609" s="20" t="str">
        <x:v>待展开</x:v>
      </x:c>
      <x:c r="S609" s="20"/>
      <x:c r="T609" s="31"/>
      <x:c r="U609" s="30" t="str">
        <x:f>IF(A609="","缺记录编号",IF(COUNTIFS(PathRecords[记录编号],A609)&lt;&gt;1,"记录编号重复",IF(OR(B609="",E609=""),"缺组合/功能",IF(COUNTIFS(Equipment[组合编号],B609)&lt;&gt;1,"组合编号无效",IF(COUNTIFS(FunctionMatrix[编号],E609)=0,"功能编号无效",IF(H609="不适用",IF(J609="已实测","适用性冲突",IF(I609="","待补不适用依据","不适用（非实测）")),IF(J609="阻塞",IF(I609="","待补阻塞原因","阻塞（非实测）"),IF(J609&lt;&gt;"已实测",IF(F609="","待展开路径","未实测"),IF(H609&lt;&gt;"适用","待确认适用性",IF(INDEX(Equipment[登记状态（自动）],MATCH(B609,Equipment[组合编号],0))&lt;&gt;"已登记","待补设备组合",IF(AND(F609&lt;&gt;"",G609&lt;&gt;"",K609&lt;&gt;"",L609&lt;&gt;"",M609&lt;&gt;"",N609&lt;&gt;"",ISNUMBER(O609),O609&gt;0,P609&lt;&gt;""),"记录齐全","待补实测记录")))))))))))</x:f>
        <x:v>待展开路径</x:v>
      </x:c>
    </x:row>
    <x:row r="610" ht="43.5" customHeight="1">
      <x:c r="A610" s="20" t="str">
        <x:v>REC-00601</x:v>
      </x:c>
      <x:c r="B610" s="20" t="str">
        <x:v>P2-B1-01</x:v>
      </x:c>
      <x:c r="C610" s="30" t="str">
        <x:f>IF(B610="","",IF(COUNTIFS(Equipment[组合编号],B610)&lt;&gt;1,"组合编号无效",INDEX(Equipment[PLC组],MATCH(B610,Equipment[组合编号],0))))</x:f>
        <x:v>汇川中大型</x:v>
      </x:c>
      <x:c r="D610" s="30" t="str">
        <x:f>IF(B610="","",IF(COUNTIFS(Equipment[组合编号],B610)&lt;&gt;1,"组合编号无效",INDEX(Equipment[驱动品牌],MATCH(B610,Equipment[组合编号],0))))</x:f>
        <x:v>CDHD</x:v>
      </x:c>
      <x:c r="E610" s="20" t="str">
        <x:v>A01</x:v>
      </x:c>
      <x:c r="F610" s="20"/>
      <x:c r="G610" s="20"/>
      <x:c r="H610" s="20" t="str">
        <x:v>待判定</x:v>
      </x:c>
      <x:c r="I610" s="20"/>
      <x:c r="J610" s="20" t="str">
        <x:v>未测试</x:v>
      </x:c>
      <x:c r="K610" s="20"/>
      <x:c r="L610" s="20"/>
      <x:c r="M610" s="20"/>
      <x:c r="N610" s="20"/>
      <x:c r="O610" s="31"/>
      <x:c r="P610" s="20"/>
      <x:c r="Q610" s="20"/>
      <x:c r="R610" s="20" t="str">
        <x:v>待展开</x:v>
      </x:c>
      <x:c r="S610" s="20"/>
      <x:c r="T610" s="31"/>
      <x:c r="U610" s="30" t="str">
        <x:f>IF(A610="","缺记录编号",IF(COUNTIFS(PathRecords[记录编号],A610)&lt;&gt;1,"记录编号重复",IF(OR(B610="",E610=""),"缺组合/功能",IF(COUNTIFS(Equipment[组合编号],B610)&lt;&gt;1,"组合编号无效",IF(COUNTIFS(FunctionMatrix[编号],E610)=0,"功能编号无效",IF(H610="不适用",IF(J610="已实测","适用性冲突",IF(I610="","待补不适用依据","不适用（非实测）")),IF(J610="阻塞",IF(I610="","待补阻塞原因","阻塞（非实测）"),IF(J610&lt;&gt;"已实测",IF(F610="","待展开路径","未实测"),IF(H610&lt;&gt;"适用","待确认适用性",IF(INDEX(Equipment[登记状态（自动）],MATCH(B610,Equipment[组合编号],0))&lt;&gt;"已登记","待补设备组合",IF(AND(F610&lt;&gt;"",G610&lt;&gt;"",K610&lt;&gt;"",L610&lt;&gt;"",M610&lt;&gt;"",N610&lt;&gt;"",ISNUMBER(O610),O610&gt;0,P610&lt;&gt;""),"记录齐全","待补实测记录")))))))))))</x:f>
        <x:v>待展开路径</x:v>
      </x:c>
    </x:row>
    <x:row r="611" ht="43.5" customHeight="1">
      <x:c r="A611" s="20" t="str">
        <x:v>REC-00602</x:v>
      </x:c>
      <x:c r="B611" s="20" t="str">
        <x:v>P2-B1-01</x:v>
      </x:c>
      <x:c r="C611" s="30" t="str">
        <x:f>IF(B611="","",IF(COUNTIFS(Equipment[组合编号],B611)&lt;&gt;1,"组合编号无效",INDEX(Equipment[PLC组],MATCH(B611,Equipment[组合编号],0))))</x:f>
        <x:v>汇川中大型</x:v>
      </x:c>
      <x:c r="D611" s="30" t="str">
        <x:f>IF(B611="","",IF(COUNTIFS(Equipment[组合编号],B611)&lt;&gt;1,"组合编号无效",INDEX(Equipment[驱动品牌],MATCH(B611,Equipment[组合编号],0))))</x:f>
        <x:v>CDHD</x:v>
      </x:c>
      <x:c r="E611" s="20" t="str">
        <x:v>A02</x:v>
      </x:c>
      <x:c r="F611" s="20"/>
      <x:c r="G611" s="20"/>
      <x:c r="H611" s="20" t="str">
        <x:v>待判定</x:v>
      </x:c>
      <x:c r="I611" s="20"/>
      <x:c r="J611" s="20" t="str">
        <x:v>未测试</x:v>
      </x:c>
      <x:c r="K611" s="20"/>
      <x:c r="L611" s="20"/>
      <x:c r="M611" s="20"/>
      <x:c r="N611" s="20"/>
      <x:c r="O611" s="31"/>
      <x:c r="P611" s="20"/>
      <x:c r="Q611" s="20"/>
      <x:c r="R611" s="20" t="str">
        <x:v>待展开</x:v>
      </x:c>
      <x:c r="S611" s="20"/>
      <x:c r="T611" s="31"/>
      <x:c r="U611" s="30" t="str">
        <x:f>IF(A611="","缺记录编号",IF(COUNTIFS(PathRecords[记录编号],A611)&lt;&gt;1,"记录编号重复",IF(OR(B611="",E611=""),"缺组合/功能",IF(COUNTIFS(Equipment[组合编号],B611)&lt;&gt;1,"组合编号无效",IF(COUNTIFS(FunctionMatrix[编号],E611)=0,"功能编号无效",IF(H611="不适用",IF(J611="已实测","适用性冲突",IF(I611="","待补不适用依据","不适用（非实测）")),IF(J611="阻塞",IF(I611="","待补阻塞原因","阻塞（非实测）"),IF(J611&lt;&gt;"已实测",IF(F611="","待展开路径","未实测"),IF(H611&lt;&gt;"适用","待确认适用性",IF(INDEX(Equipment[登记状态（自动）],MATCH(B611,Equipment[组合编号],0))&lt;&gt;"已登记","待补设备组合",IF(AND(F611&lt;&gt;"",G611&lt;&gt;"",K611&lt;&gt;"",L611&lt;&gt;"",M611&lt;&gt;"",N611&lt;&gt;"",ISNUMBER(O611),O611&gt;0,P611&lt;&gt;""),"记录齐全","待补实测记录")))))))))))</x:f>
        <x:v>待展开路径</x:v>
      </x:c>
    </x:row>
    <x:row r="612" ht="43.5" customHeight="1">
      <x:c r="A612" s="20" t="str">
        <x:v>REC-00603</x:v>
      </x:c>
      <x:c r="B612" s="20" t="str">
        <x:v>P2-B1-01</x:v>
      </x:c>
      <x:c r="C612" s="30" t="str">
        <x:f>IF(B612="","",IF(COUNTIFS(Equipment[组合编号],B612)&lt;&gt;1,"组合编号无效",INDEX(Equipment[PLC组],MATCH(B612,Equipment[组合编号],0))))</x:f>
        <x:v>汇川中大型</x:v>
      </x:c>
      <x:c r="D612" s="30" t="str">
        <x:f>IF(B612="","",IF(COUNTIFS(Equipment[组合编号],B612)&lt;&gt;1,"组合编号无效",INDEX(Equipment[驱动品牌],MATCH(B612,Equipment[组合编号],0))))</x:f>
        <x:v>CDHD</x:v>
      </x:c>
      <x:c r="E612" s="20" t="str">
        <x:v>A03</x:v>
      </x:c>
      <x:c r="F612" s="20"/>
      <x:c r="G612" s="20"/>
      <x:c r="H612" s="20" t="str">
        <x:v>待判定</x:v>
      </x:c>
      <x:c r="I612" s="20"/>
      <x:c r="J612" s="20" t="str">
        <x:v>未测试</x:v>
      </x:c>
      <x:c r="K612" s="20"/>
      <x:c r="L612" s="20"/>
      <x:c r="M612" s="20"/>
      <x:c r="N612" s="20"/>
      <x:c r="O612" s="31"/>
      <x:c r="P612" s="20"/>
      <x:c r="Q612" s="20"/>
      <x:c r="R612" s="20" t="str">
        <x:v>待展开</x:v>
      </x:c>
      <x:c r="S612" s="20"/>
      <x:c r="T612" s="31"/>
      <x:c r="U612" s="30" t="str">
        <x:f>IF(A612="","缺记录编号",IF(COUNTIFS(PathRecords[记录编号],A612)&lt;&gt;1,"记录编号重复",IF(OR(B612="",E612=""),"缺组合/功能",IF(COUNTIFS(Equipment[组合编号],B612)&lt;&gt;1,"组合编号无效",IF(COUNTIFS(FunctionMatrix[编号],E612)=0,"功能编号无效",IF(H612="不适用",IF(J612="已实测","适用性冲突",IF(I612="","待补不适用依据","不适用（非实测）")),IF(J612="阻塞",IF(I612="","待补阻塞原因","阻塞（非实测）"),IF(J612&lt;&gt;"已实测",IF(F612="","待展开路径","未实测"),IF(H612&lt;&gt;"适用","待确认适用性",IF(INDEX(Equipment[登记状态（自动）],MATCH(B612,Equipment[组合编号],0))&lt;&gt;"已登记","待补设备组合",IF(AND(F612&lt;&gt;"",G612&lt;&gt;"",K612&lt;&gt;"",L612&lt;&gt;"",M612&lt;&gt;"",N612&lt;&gt;"",ISNUMBER(O612),O612&gt;0,P612&lt;&gt;""),"记录齐全","待补实测记录")))))))))))</x:f>
        <x:v>待展开路径</x:v>
      </x:c>
    </x:row>
    <x:row r="613" ht="43.5" customHeight="1">
      <x:c r="A613" s="20" t="str">
        <x:v>REC-00604</x:v>
      </x:c>
      <x:c r="B613" s="20" t="str">
        <x:v>P2-B1-01</x:v>
      </x:c>
      <x:c r="C613" s="30" t="str">
        <x:f>IF(B613="","",IF(COUNTIFS(Equipment[组合编号],B613)&lt;&gt;1,"组合编号无效",INDEX(Equipment[PLC组],MATCH(B613,Equipment[组合编号],0))))</x:f>
        <x:v>汇川中大型</x:v>
      </x:c>
      <x:c r="D613" s="30" t="str">
        <x:f>IF(B613="","",IF(COUNTIFS(Equipment[组合编号],B613)&lt;&gt;1,"组合编号无效",INDEX(Equipment[驱动品牌],MATCH(B613,Equipment[组合编号],0))))</x:f>
        <x:v>CDHD</x:v>
      </x:c>
      <x:c r="E613" s="20" t="str">
        <x:v>A04</x:v>
      </x:c>
      <x:c r="F613" s="20"/>
      <x:c r="G613" s="20"/>
      <x:c r="H613" s="20" t="str">
        <x:v>待判定</x:v>
      </x:c>
      <x:c r="I613" s="20"/>
      <x:c r="J613" s="20" t="str">
        <x:v>未测试</x:v>
      </x:c>
      <x:c r="K613" s="20"/>
      <x:c r="L613" s="20"/>
      <x:c r="M613" s="20"/>
      <x:c r="N613" s="20"/>
      <x:c r="O613" s="31"/>
      <x:c r="P613" s="20"/>
      <x:c r="Q613" s="20"/>
      <x:c r="R613" s="20" t="str">
        <x:v>待展开</x:v>
      </x:c>
      <x:c r="S613" s="20"/>
      <x:c r="T613" s="31"/>
      <x:c r="U613" s="30" t="str">
        <x:f>IF(A613="","缺记录编号",IF(COUNTIFS(PathRecords[记录编号],A613)&lt;&gt;1,"记录编号重复",IF(OR(B613="",E613=""),"缺组合/功能",IF(COUNTIFS(Equipment[组合编号],B613)&lt;&gt;1,"组合编号无效",IF(COUNTIFS(FunctionMatrix[编号],E613)=0,"功能编号无效",IF(H613="不适用",IF(J613="已实测","适用性冲突",IF(I613="","待补不适用依据","不适用（非实测）")),IF(J613="阻塞",IF(I613="","待补阻塞原因","阻塞（非实测）"),IF(J613&lt;&gt;"已实测",IF(F613="","待展开路径","未实测"),IF(H613&lt;&gt;"适用","待确认适用性",IF(INDEX(Equipment[登记状态（自动）],MATCH(B613,Equipment[组合编号],0))&lt;&gt;"已登记","待补设备组合",IF(AND(F613&lt;&gt;"",G613&lt;&gt;"",K613&lt;&gt;"",L613&lt;&gt;"",M613&lt;&gt;"",N613&lt;&gt;"",ISNUMBER(O613),O613&gt;0,P613&lt;&gt;""),"记录齐全","待补实测记录")))))))))))</x:f>
        <x:v>待展开路径</x:v>
      </x:c>
    </x:row>
    <x:row r="614" ht="43.5" customHeight="1">
      <x:c r="A614" s="20" t="str">
        <x:v>REC-00605</x:v>
      </x:c>
      <x:c r="B614" s="20" t="str">
        <x:v>P2-B1-01</x:v>
      </x:c>
      <x:c r="C614" s="30" t="str">
        <x:f>IF(B614="","",IF(COUNTIFS(Equipment[组合编号],B614)&lt;&gt;1,"组合编号无效",INDEX(Equipment[PLC组],MATCH(B614,Equipment[组合编号],0))))</x:f>
        <x:v>汇川中大型</x:v>
      </x:c>
      <x:c r="D614" s="30" t="str">
        <x:f>IF(B614="","",IF(COUNTIFS(Equipment[组合编号],B614)&lt;&gt;1,"组合编号无效",INDEX(Equipment[驱动品牌],MATCH(B614,Equipment[组合编号],0))))</x:f>
        <x:v>CDHD</x:v>
      </x:c>
      <x:c r="E614" s="20" t="str">
        <x:v>A05</x:v>
      </x:c>
      <x:c r="F614" s="20"/>
      <x:c r="G614" s="20"/>
      <x:c r="H614" s="20" t="str">
        <x:v>待判定</x:v>
      </x:c>
      <x:c r="I614" s="20"/>
      <x:c r="J614" s="20" t="str">
        <x:v>未测试</x:v>
      </x:c>
      <x:c r="K614" s="20"/>
      <x:c r="L614" s="20"/>
      <x:c r="M614" s="20"/>
      <x:c r="N614" s="20"/>
      <x:c r="O614" s="31"/>
      <x:c r="P614" s="20"/>
      <x:c r="Q614" s="20"/>
      <x:c r="R614" s="20" t="str">
        <x:v>待展开</x:v>
      </x:c>
      <x:c r="S614" s="20"/>
      <x:c r="T614" s="31"/>
      <x:c r="U614" s="30" t="str">
        <x:f>IF(A614="","缺记录编号",IF(COUNTIFS(PathRecords[记录编号],A614)&lt;&gt;1,"记录编号重复",IF(OR(B614="",E614=""),"缺组合/功能",IF(COUNTIFS(Equipment[组合编号],B614)&lt;&gt;1,"组合编号无效",IF(COUNTIFS(FunctionMatrix[编号],E614)=0,"功能编号无效",IF(H614="不适用",IF(J614="已实测","适用性冲突",IF(I614="","待补不适用依据","不适用（非实测）")),IF(J614="阻塞",IF(I614="","待补阻塞原因","阻塞（非实测）"),IF(J614&lt;&gt;"已实测",IF(F614="","待展开路径","未实测"),IF(H614&lt;&gt;"适用","待确认适用性",IF(INDEX(Equipment[登记状态（自动）],MATCH(B614,Equipment[组合编号],0))&lt;&gt;"已登记","待补设备组合",IF(AND(F614&lt;&gt;"",G614&lt;&gt;"",K614&lt;&gt;"",L614&lt;&gt;"",M614&lt;&gt;"",N614&lt;&gt;"",ISNUMBER(O614),O614&gt;0,P614&lt;&gt;""),"记录齐全","待补实测记录")))))))))))</x:f>
        <x:v>待展开路径</x:v>
      </x:c>
    </x:row>
    <x:row r="615" ht="43.5" customHeight="1">
      <x:c r="A615" s="20" t="str">
        <x:v>REC-00606</x:v>
      </x:c>
      <x:c r="B615" s="20" t="str">
        <x:v>P2-B1-01</x:v>
      </x:c>
      <x:c r="C615" s="30" t="str">
        <x:f>IF(B615="","",IF(COUNTIFS(Equipment[组合编号],B615)&lt;&gt;1,"组合编号无效",INDEX(Equipment[PLC组],MATCH(B615,Equipment[组合编号],0))))</x:f>
        <x:v>汇川中大型</x:v>
      </x:c>
      <x:c r="D615" s="30" t="str">
        <x:f>IF(B615="","",IF(COUNTIFS(Equipment[组合编号],B615)&lt;&gt;1,"组合编号无效",INDEX(Equipment[驱动品牌],MATCH(B615,Equipment[组合编号],0))))</x:f>
        <x:v>CDHD</x:v>
      </x:c>
      <x:c r="E615" s="20" t="str">
        <x:v>A06</x:v>
      </x:c>
      <x:c r="F615" s="20"/>
      <x:c r="G615" s="20"/>
      <x:c r="H615" s="20" t="str">
        <x:v>待判定</x:v>
      </x:c>
      <x:c r="I615" s="20"/>
      <x:c r="J615" s="20" t="str">
        <x:v>未测试</x:v>
      </x:c>
      <x:c r="K615" s="20"/>
      <x:c r="L615" s="20"/>
      <x:c r="M615" s="20"/>
      <x:c r="N615" s="20"/>
      <x:c r="O615" s="31"/>
      <x:c r="P615" s="20"/>
      <x:c r="Q615" s="20"/>
      <x:c r="R615" s="20" t="str">
        <x:v>待展开</x:v>
      </x:c>
      <x:c r="S615" s="20"/>
      <x:c r="T615" s="31"/>
      <x:c r="U615" s="30" t="str">
        <x:f>IF(A615="","缺记录编号",IF(COUNTIFS(PathRecords[记录编号],A615)&lt;&gt;1,"记录编号重复",IF(OR(B615="",E615=""),"缺组合/功能",IF(COUNTIFS(Equipment[组合编号],B615)&lt;&gt;1,"组合编号无效",IF(COUNTIFS(FunctionMatrix[编号],E615)=0,"功能编号无效",IF(H615="不适用",IF(J615="已实测","适用性冲突",IF(I615="","待补不适用依据","不适用（非实测）")),IF(J615="阻塞",IF(I615="","待补阻塞原因","阻塞（非实测）"),IF(J615&lt;&gt;"已实测",IF(F615="","待展开路径","未实测"),IF(H615&lt;&gt;"适用","待确认适用性",IF(INDEX(Equipment[登记状态（自动）],MATCH(B615,Equipment[组合编号],0))&lt;&gt;"已登记","待补设备组合",IF(AND(F615&lt;&gt;"",G615&lt;&gt;"",K615&lt;&gt;"",L615&lt;&gt;"",M615&lt;&gt;"",N615&lt;&gt;"",ISNUMBER(O615),O615&gt;0,P615&lt;&gt;""),"记录齐全","待补实测记录")))))))))))</x:f>
        <x:v>待展开路径</x:v>
      </x:c>
    </x:row>
    <x:row r="616" ht="43.5" customHeight="1">
      <x:c r="A616" s="20" t="str">
        <x:v>REC-00607</x:v>
      </x:c>
      <x:c r="B616" s="20" t="str">
        <x:v>P2-B1-01</x:v>
      </x:c>
      <x:c r="C616" s="30" t="str">
        <x:f>IF(B616="","",IF(COUNTIFS(Equipment[组合编号],B616)&lt;&gt;1,"组合编号无效",INDEX(Equipment[PLC组],MATCH(B616,Equipment[组合编号],0))))</x:f>
        <x:v>汇川中大型</x:v>
      </x:c>
      <x:c r="D616" s="30" t="str">
        <x:f>IF(B616="","",IF(COUNTIFS(Equipment[组合编号],B616)&lt;&gt;1,"组合编号无效",INDEX(Equipment[驱动品牌],MATCH(B616,Equipment[组合编号],0))))</x:f>
        <x:v>CDHD</x:v>
      </x:c>
      <x:c r="E616" s="20" t="str">
        <x:v>A07</x:v>
      </x:c>
      <x:c r="F616" s="20"/>
      <x:c r="G616" s="20"/>
      <x:c r="H616" s="20" t="str">
        <x:v>待判定</x:v>
      </x:c>
      <x:c r="I616" s="20"/>
      <x:c r="J616" s="20" t="str">
        <x:v>未测试</x:v>
      </x:c>
      <x:c r="K616" s="20"/>
      <x:c r="L616" s="20"/>
      <x:c r="M616" s="20"/>
      <x:c r="N616" s="20"/>
      <x:c r="O616" s="31"/>
      <x:c r="P616" s="20"/>
      <x:c r="Q616" s="20"/>
      <x:c r="R616" s="20" t="str">
        <x:v>待展开</x:v>
      </x:c>
      <x:c r="S616" s="20"/>
      <x:c r="T616" s="31"/>
      <x:c r="U616" s="30" t="str">
        <x:f>IF(A616="","缺记录编号",IF(COUNTIFS(PathRecords[记录编号],A616)&lt;&gt;1,"记录编号重复",IF(OR(B616="",E616=""),"缺组合/功能",IF(COUNTIFS(Equipment[组合编号],B616)&lt;&gt;1,"组合编号无效",IF(COUNTIFS(FunctionMatrix[编号],E616)=0,"功能编号无效",IF(H616="不适用",IF(J616="已实测","适用性冲突",IF(I616="","待补不适用依据","不适用（非实测）")),IF(J616="阻塞",IF(I616="","待补阻塞原因","阻塞（非实测）"),IF(J616&lt;&gt;"已实测",IF(F616="","待展开路径","未实测"),IF(H616&lt;&gt;"适用","待确认适用性",IF(INDEX(Equipment[登记状态（自动）],MATCH(B616,Equipment[组合编号],0))&lt;&gt;"已登记","待补设备组合",IF(AND(F616&lt;&gt;"",G616&lt;&gt;"",K616&lt;&gt;"",L616&lt;&gt;"",M616&lt;&gt;"",N616&lt;&gt;"",ISNUMBER(O616),O616&gt;0,P616&lt;&gt;""),"记录齐全","待补实测记录")))))))))))</x:f>
        <x:v>待展开路径</x:v>
      </x:c>
    </x:row>
    <x:row r="617" ht="43.5" customHeight="1">
      <x:c r="A617" s="20" t="str">
        <x:v>REC-00608</x:v>
      </x:c>
      <x:c r="B617" s="20" t="str">
        <x:v>P2-B1-01</x:v>
      </x:c>
      <x:c r="C617" s="30" t="str">
        <x:f>IF(B617="","",IF(COUNTIFS(Equipment[组合编号],B617)&lt;&gt;1,"组合编号无效",INDEX(Equipment[PLC组],MATCH(B617,Equipment[组合编号],0))))</x:f>
        <x:v>汇川中大型</x:v>
      </x:c>
      <x:c r="D617" s="30" t="str">
        <x:f>IF(B617="","",IF(COUNTIFS(Equipment[组合编号],B617)&lt;&gt;1,"组合编号无效",INDEX(Equipment[驱动品牌],MATCH(B617,Equipment[组合编号],0))))</x:f>
        <x:v>CDHD</x:v>
      </x:c>
      <x:c r="E617" s="20" t="str">
        <x:v>A08</x:v>
      </x:c>
      <x:c r="F617" s="20"/>
      <x:c r="G617" s="20"/>
      <x:c r="H617" s="20" t="str">
        <x:v>待判定</x:v>
      </x:c>
      <x:c r="I617" s="20"/>
      <x:c r="J617" s="20" t="str">
        <x:v>未测试</x:v>
      </x:c>
      <x:c r="K617" s="20"/>
      <x:c r="L617" s="20"/>
      <x:c r="M617" s="20"/>
      <x:c r="N617" s="20"/>
      <x:c r="O617" s="31"/>
      <x:c r="P617" s="20"/>
      <x:c r="Q617" s="20"/>
      <x:c r="R617" s="20" t="str">
        <x:v>待展开</x:v>
      </x:c>
      <x:c r="S617" s="20"/>
      <x:c r="T617" s="31"/>
      <x:c r="U617" s="30" t="str">
        <x:f>IF(A617="","缺记录编号",IF(COUNTIFS(PathRecords[记录编号],A617)&lt;&gt;1,"记录编号重复",IF(OR(B617="",E617=""),"缺组合/功能",IF(COUNTIFS(Equipment[组合编号],B617)&lt;&gt;1,"组合编号无效",IF(COUNTIFS(FunctionMatrix[编号],E617)=0,"功能编号无效",IF(H617="不适用",IF(J617="已实测","适用性冲突",IF(I617="","待补不适用依据","不适用（非实测）")),IF(J617="阻塞",IF(I617="","待补阻塞原因","阻塞（非实测）"),IF(J617&lt;&gt;"已实测",IF(F617="","待展开路径","未实测"),IF(H617&lt;&gt;"适用","待确认适用性",IF(INDEX(Equipment[登记状态（自动）],MATCH(B617,Equipment[组合编号],0))&lt;&gt;"已登记","待补设备组合",IF(AND(F617&lt;&gt;"",G617&lt;&gt;"",K617&lt;&gt;"",L617&lt;&gt;"",M617&lt;&gt;"",N617&lt;&gt;"",ISNUMBER(O617),O617&gt;0,P617&lt;&gt;""),"记录齐全","待补实测记录")))))))))))</x:f>
        <x:v>待展开路径</x:v>
      </x:c>
    </x:row>
    <x:row r="618" ht="43.5" customHeight="1">
      <x:c r="A618" s="20" t="str">
        <x:v>REC-00609</x:v>
      </x:c>
      <x:c r="B618" s="20" t="str">
        <x:v>P2-B1-01</x:v>
      </x:c>
      <x:c r="C618" s="30" t="str">
        <x:f>IF(B618="","",IF(COUNTIFS(Equipment[组合编号],B618)&lt;&gt;1,"组合编号无效",INDEX(Equipment[PLC组],MATCH(B618,Equipment[组合编号],0))))</x:f>
        <x:v>汇川中大型</x:v>
      </x:c>
      <x:c r="D618" s="30" t="str">
        <x:f>IF(B618="","",IF(COUNTIFS(Equipment[组合编号],B618)&lt;&gt;1,"组合编号无效",INDEX(Equipment[驱动品牌],MATCH(B618,Equipment[组合编号],0))))</x:f>
        <x:v>CDHD</x:v>
      </x:c>
      <x:c r="E618" s="20" t="str">
        <x:v>A09</x:v>
      </x:c>
      <x:c r="F618" s="20"/>
      <x:c r="G618" s="20"/>
      <x:c r="H618" s="20" t="str">
        <x:v>待判定</x:v>
      </x:c>
      <x:c r="I618" s="20"/>
      <x:c r="J618" s="20" t="str">
        <x:v>未测试</x:v>
      </x:c>
      <x:c r="K618" s="20"/>
      <x:c r="L618" s="20"/>
      <x:c r="M618" s="20"/>
      <x:c r="N618" s="20"/>
      <x:c r="O618" s="31"/>
      <x:c r="P618" s="20"/>
      <x:c r="Q618" s="20"/>
      <x:c r="R618" s="20" t="str">
        <x:v>待展开</x:v>
      </x:c>
      <x:c r="S618" s="20"/>
      <x:c r="T618" s="31"/>
      <x:c r="U618" s="30" t="str">
        <x:f>IF(A618="","缺记录编号",IF(COUNTIFS(PathRecords[记录编号],A618)&lt;&gt;1,"记录编号重复",IF(OR(B618="",E618=""),"缺组合/功能",IF(COUNTIFS(Equipment[组合编号],B618)&lt;&gt;1,"组合编号无效",IF(COUNTIFS(FunctionMatrix[编号],E618)=0,"功能编号无效",IF(H618="不适用",IF(J618="已实测","适用性冲突",IF(I618="","待补不适用依据","不适用（非实测）")),IF(J618="阻塞",IF(I618="","待补阻塞原因","阻塞（非实测）"),IF(J618&lt;&gt;"已实测",IF(F618="","待展开路径","未实测"),IF(H618&lt;&gt;"适用","待确认适用性",IF(INDEX(Equipment[登记状态（自动）],MATCH(B618,Equipment[组合编号],0))&lt;&gt;"已登记","待补设备组合",IF(AND(F618&lt;&gt;"",G618&lt;&gt;"",K618&lt;&gt;"",L618&lt;&gt;"",M618&lt;&gt;"",N618&lt;&gt;"",ISNUMBER(O618),O618&gt;0,P618&lt;&gt;""),"记录齐全","待补实测记录")))))))))))</x:f>
        <x:v>待展开路径</x:v>
      </x:c>
    </x:row>
    <x:row r="619" ht="43.5" customHeight="1">
      <x:c r="A619" s="20" t="str">
        <x:v>REC-00610</x:v>
      </x:c>
      <x:c r="B619" s="20" t="str">
        <x:v>P2-B1-01</x:v>
      </x:c>
      <x:c r="C619" s="30" t="str">
        <x:f>IF(B619="","",IF(COUNTIFS(Equipment[组合编号],B619)&lt;&gt;1,"组合编号无效",INDEX(Equipment[PLC组],MATCH(B619,Equipment[组合编号],0))))</x:f>
        <x:v>汇川中大型</x:v>
      </x:c>
      <x:c r="D619" s="30" t="str">
        <x:f>IF(B619="","",IF(COUNTIFS(Equipment[组合编号],B619)&lt;&gt;1,"组合编号无效",INDEX(Equipment[驱动品牌],MATCH(B619,Equipment[组合编号],0))))</x:f>
        <x:v>CDHD</x:v>
      </x:c>
      <x:c r="E619" s="20" t="str">
        <x:v>C01</x:v>
      </x:c>
      <x:c r="F619" s="20"/>
      <x:c r="G619" s="20"/>
      <x:c r="H619" s="20" t="str">
        <x:v>待判定</x:v>
      </x:c>
      <x:c r="I619" s="20"/>
      <x:c r="J619" s="20" t="str">
        <x:v>未测试</x:v>
      </x:c>
      <x:c r="K619" s="20"/>
      <x:c r="L619" s="20"/>
      <x:c r="M619" s="20"/>
      <x:c r="N619" s="20"/>
      <x:c r="O619" s="31"/>
      <x:c r="P619" s="20"/>
      <x:c r="Q619" s="20"/>
      <x:c r="R619" s="20" t="str">
        <x:v>待展开</x:v>
      </x:c>
      <x:c r="S619" s="20"/>
      <x:c r="T619" s="31"/>
      <x:c r="U619" s="30" t="str">
        <x:f>IF(A619="","缺记录编号",IF(COUNTIFS(PathRecords[记录编号],A619)&lt;&gt;1,"记录编号重复",IF(OR(B619="",E619=""),"缺组合/功能",IF(COUNTIFS(Equipment[组合编号],B619)&lt;&gt;1,"组合编号无效",IF(COUNTIFS(FunctionMatrix[编号],E619)=0,"功能编号无效",IF(H619="不适用",IF(J619="已实测","适用性冲突",IF(I619="","待补不适用依据","不适用（非实测）")),IF(J619="阻塞",IF(I619="","待补阻塞原因","阻塞（非实测）"),IF(J619&lt;&gt;"已实测",IF(F619="","待展开路径","未实测"),IF(H619&lt;&gt;"适用","待确认适用性",IF(INDEX(Equipment[登记状态（自动）],MATCH(B619,Equipment[组合编号],0))&lt;&gt;"已登记","待补设备组合",IF(AND(F619&lt;&gt;"",G619&lt;&gt;"",K619&lt;&gt;"",L619&lt;&gt;"",M619&lt;&gt;"",N619&lt;&gt;"",ISNUMBER(O619),O619&gt;0,P619&lt;&gt;""),"记录齐全","待补实测记录")))))))))))</x:f>
        <x:v>待展开路径</x:v>
      </x:c>
    </x:row>
    <x:row r="620" ht="43.5" customHeight="1">
      <x:c r="A620" s="20" t="str">
        <x:v>REC-00611</x:v>
      </x:c>
      <x:c r="B620" s="20" t="str">
        <x:v>P2-B1-01</x:v>
      </x:c>
      <x:c r="C620" s="30" t="str">
        <x:f>IF(B620="","",IF(COUNTIFS(Equipment[组合编号],B620)&lt;&gt;1,"组合编号无效",INDEX(Equipment[PLC组],MATCH(B620,Equipment[组合编号],0))))</x:f>
        <x:v>汇川中大型</x:v>
      </x:c>
      <x:c r="D620" s="30" t="str">
        <x:f>IF(B620="","",IF(COUNTIFS(Equipment[组合编号],B620)&lt;&gt;1,"组合编号无效",INDEX(Equipment[驱动品牌],MATCH(B620,Equipment[组合编号],0))))</x:f>
        <x:v>CDHD</x:v>
      </x:c>
      <x:c r="E620" s="20" t="str">
        <x:v>C02</x:v>
      </x:c>
      <x:c r="F620" s="20"/>
      <x:c r="G620" s="20"/>
      <x:c r="H620" s="20" t="str">
        <x:v>待判定</x:v>
      </x:c>
      <x:c r="I620" s="20"/>
      <x:c r="J620" s="20" t="str">
        <x:v>未测试</x:v>
      </x:c>
      <x:c r="K620" s="20"/>
      <x:c r="L620" s="20"/>
      <x:c r="M620" s="20"/>
      <x:c r="N620" s="20"/>
      <x:c r="O620" s="31"/>
      <x:c r="P620" s="20"/>
      <x:c r="Q620" s="20"/>
      <x:c r="R620" s="20" t="str">
        <x:v>待展开</x:v>
      </x:c>
      <x:c r="S620" s="20"/>
      <x:c r="T620" s="31"/>
      <x:c r="U620" s="30" t="str">
        <x:f>IF(A620="","缺记录编号",IF(COUNTIFS(PathRecords[记录编号],A620)&lt;&gt;1,"记录编号重复",IF(OR(B620="",E620=""),"缺组合/功能",IF(COUNTIFS(Equipment[组合编号],B620)&lt;&gt;1,"组合编号无效",IF(COUNTIFS(FunctionMatrix[编号],E620)=0,"功能编号无效",IF(H620="不适用",IF(J620="已实测","适用性冲突",IF(I620="","待补不适用依据","不适用（非实测）")),IF(J620="阻塞",IF(I620="","待补阻塞原因","阻塞（非实测）"),IF(J620&lt;&gt;"已实测",IF(F620="","待展开路径","未实测"),IF(H620&lt;&gt;"适用","待确认适用性",IF(INDEX(Equipment[登记状态（自动）],MATCH(B620,Equipment[组合编号],0))&lt;&gt;"已登记","待补设备组合",IF(AND(F620&lt;&gt;"",G620&lt;&gt;"",K620&lt;&gt;"",L620&lt;&gt;"",M620&lt;&gt;"",N620&lt;&gt;"",ISNUMBER(O620),O620&gt;0,P620&lt;&gt;""),"记录齐全","待补实测记录")))))))))))</x:f>
        <x:v>待展开路径</x:v>
      </x:c>
    </x:row>
    <x:row r="621" ht="43.5" customHeight="1">
      <x:c r="A621" s="20" t="str">
        <x:v>REC-00612</x:v>
      </x:c>
      <x:c r="B621" s="20" t="str">
        <x:v>P2-B1-01</x:v>
      </x:c>
      <x:c r="C621" s="30" t="str">
        <x:f>IF(B621="","",IF(COUNTIFS(Equipment[组合编号],B621)&lt;&gt;1,"组合编号无效",INDEX(Equipment[PLC组],MATCH(B621,Equipment[组合编号],0))))</x:f>
        <x:v>汇川中大型</x:v>
      </x:c>
      <x:c r="D621" s="30" t="str">
        <x:f>IF(B621="","",IF(COUNTIFS(Equipment[组合编号],B621)&lt;&gt;1,"组合编号无效",INDEX(Equipment[驱动品牌],MATCH(B621,Equipment[组合编号],0))))</x:f>
        <x:v>CDHD</x:v>
      </x:c>
      <x:c r="E621" s="20" t="str">
        <x:v>C03</x:v>
      </x:c>
      <x:c r="F621" s="20"/>
      <x:c r="G621" s="20"/>
      <x:c r="H621" s="20" t="str">
        <x:v>待判定</x:v>
      </x:c>
      <x:c r="I621" s="20"/>
      <x:c r="J621" s="20" t="str">
        <x:v>未测试</x:v>
      </x:c>
      <x:c r="K621" s="20"/>
      <x:c r="L621" s="20"/>
      <x:c r="M621" s="20"/>
      <x:c r="N621" s="20"/>
      <x:c r="O621" s="31"/>
      <x:c r="P621" s="20"/>
      <x:c r="Q621" s="20"/>
      <x:c r="R621" s="20" t="str">
        <x:v>待展开</x:v>
      </x:c>
      <x:c r="S621" s="20"/>
      <x:c r="T621" s="31"/>
      <x:c r="U621" s="30" t="str">
        <x:f>IF(A621="","缺记录编号",IF(COUNTIFS(PathRecords[记录编号],A621)&lt;&gt;1,"记录编号重复",IF(OR(B621="",E621=""),"缺组合/功能",IF(COUNTIFS(Equipment[组合编号],B621)&lt;&gt;1,"组合编号无效",IF(COUNTIFS(FunctionMatrix[编号],E621)=0,"功能编号无效",IF(H621="不适用",IF(J621="已实测","适用性冲突",IF(I621="","待补不适用依据","不适用（非实测）")),IF(J621="阻塞",IF(I621="","待补阻塞原因","阻塞（非实测）"),IF(J621&lt;&gt;"已实测",IF(F621="","待展开路径","未实测"),IF(H621&lt;&gt;"适用","待确认适用性",IF(INDEX(Equipment[登记状态（自动）],MATCH(B621,Equipment[组合编号],0))&lt;&gt;"已登记","待补设备组合",IF(AND(F621&lt;&gt;"",G621&lt;&gt;"",K621&lt;&gt;"",L621&lt;&gt;"",M621&lt;&gt;"",N621&lt;&gt;"",ISNUMBER(O621),O621&gt;0,P621&lt;&gt;""),"记录齐全","待补实测记录")))))))))))</x:f>
        <x:v>待展开路径</x:v>
      </x:c>
    </x:row>
    <x:row r="622" ht="43.5" customHeight="1">
      <x:c r="A622" s="20" t="str">
        <x:v>REC-00613</x:v>
      </x:c>
      <x:c r="B622" s="20" t="str">
        <x:v>P2-B1-01</x:v>
      </x:c>
      <x:c r="C622" s="30" t="str">
        <x:f>IF(B622="","",IF(COUNTIFS(Equipment[组合编号],B622)&lt;&gt;1,"组合编号无效",INDEX(Equipment[PLC组],MATCH(B622,Equipment[组合编号],0))))</x:f>
        <x:v>汇川中大型</x:v>
      </x:c>
      <x:c r="D622" s="30" t="str">
        <x:f>IF(B622="","",IF(COUNTIFS(Equipment[组合编号],B622)&lt;&gt;1,"组合编号无效",INDEX(Equipment[驱动品牌],MATCH(B622,Equipment[组合编号],0))))</x:f>
        <x:v>CDHD</x:v>
      </x:c>
      <x:c r="E622" s="20" t="str">
        <x:v>C04</x:v>
      </x:c>
      <x:c r="F622" s="20"/>
      <x:c r="G622" s="20"/>
      <x:c r="H622" s="20" t="str">
        <x:v>待判定</x:v>
      </x:c>
      <x:c r="I622" s="20"/>
      <x:c r="J622" s="20" t="str">
        <x:v>未测试</x:v>
      </x:c>
      <x:c r="K622" s="20"/>
      <x:c r="L622" s="20"/>
      <x:c r="M622" s="20"/>
      <x:c r="N622" s="20"/>
      <x:c r="O622" s="31"/>
      <x:c r="P622" s="20"/>
      <x:c r="Q622" s="20"/>
      <x:c r="R622" s="20" t="str">
        <x:v>待展开</x:v>
      </x:c>
      <x:c r="S622" s="20"/>
      <x:c r="T622" s="31"/>
      <x:c r="U622" s="30" t="str">
        <x:f>IF(A622="","缺记录编号",IF(COUNTIFS(PathRecords[记录编号],A622)&lt;&gt;1,"记录编号重复",IF(OR(B622="",E622=""),"缺组合/功能",IF(COUNTIFS(Equipment[组合编号],B622)&lt;&gt;1,"组合编号无效",IF(COUNTIFS(FunctionMatrix[编号],E622)=0,"功能编号无效",IF(H622="不适用",IF(J622="已实测","适用性冲突",IF(I622="","待补不适用依据","不适用（非实测）")),IF(J622="阻塞",IF(I622="","待补阻塞原因","阻塞（非实测）"),IF(J622&lt;&gt;"已实测",IF(F622="","待展开路径","未实测"),IF(H622&lt;&gt;"适用","待确认适用性",IF(INDEX(Equipment[登记状态（自动）],MATCH(B622,Equipment[组合编号],0))&lt;&gt;"已登记","待补设备组合",IF(AND(F622&lt;&gt;"",G622&lt;&gt;"",K622&lt;&gt;"",L622&lt;&gt;"",M622&lt;&gt;"",N622&lt;&gt;"",ISNUMBER(O622),O622&gt;0,P622&lt;&gt;""),"记录齐全","待补实测记录")))))))))))</x:f>
        <x:v>待展开路径</x:v>
      </x:c>
    </x:row>
    <x:row r="623" ht="43.5" customHeight="1">
      <x:c r="A623" s="20" t="str">
        <x:v>REC-00614</x:v>
      </x:c>
      <x:c r="B623" s="20" t="str">
        <x:v>P2-B1-01</x:v>
      </x:c>
      <x:c r="C623" s="30" t="str">
        <x:f>IF(B623="","",IF(COUNTIFS(Equipment[组合编号],B623)&lt;&gt;1,"组合编号无效",INDEX(Equipment[PLC组],MATCH(B623,Equipment[组合编号],0))))</x:f>
        <x:v>汇川中大型</x:v>
      </x:c>
      <x:c r="D623" s="30" t="str">
        <x:f>IF(B623="","",IF(COUNTIFS(Equipment[组合编号],B623)&lt;&gt;1,"组合编号无效",INDEX(Equipment[驱动品牌],MATCH(B623,Equipment[组合编号],0))))</x:f>
        <x:v>CDHD</x:v>
      </x:c>
      <x:c r="E623" s="20" t="str">
        <x:v>C05</x:v>
      </x:c>
      <x:c r="F623" s="20"/>
      <x:c r="G623" s="20"/>
      <x:c r="H623" s="20" t="str">
        <x:v>待判定</x:v>
      </x:c>
      <x:c r="I623" s="20"/>
      <x:c r="J623" s="20" t="str">
        <x:v>未测试</x:v>
      </x:c>
      <x:c r="K623" s="20"/>
      <x:c r="L623" s="20"/>
      <x:c r="M623" s="20"/>
      <x:c r="N623" s="20"/>
      <x:c r="O623" s="31"/>
      <x:c r="P623" s="20"/>
      <x:c r="Q623" s="20"/>
      <x:c r="R623" s="20" t="str">
        <x:v>待展开</x:v>
      </x:c>
      <x:c r="S623" s="20"/>
      <x:c r="T623" s="31"/>
      <x:c r="U623" s="30" t="str">
        <x:f>IF(A623="","缺记录编号",IF(COUNTIFS(PathRecords[记录编号],A623)&lt;&gt;1,"记录编号重复",IF(OR(B623="",E623=""),"缺组合/功能",IF(COUNTIFS(Equipment[组合编号],B623)&lt;&gt;1,"组合编号无效",IF(COUNTIFS(FunctionMatrix[编号],E623)=0,"功能编号无效",IF(H623="不适用",IF(J623="已实测","适用性冲突",IF(I623="","待补不适用依据","不适用（非实测）")),IF(J623="阻塞",IF(I623="","待补阻塞原因","阻塞（非实测）"),IF(J623&lt;&gt;"已实测",IF(F623="","待展开路径","未实测"),IF(H623&lt;&gt;"适用","待确认适用性",IF(INDEX(Equipment[登记状态（自动）],MATCH(B623,Equipment[组合编号],0))&lt;&gt;"已登记","待补设备组合",IF(AND(F623&lt;&gt;"",G623&lt;&gt;"",K623&lt;&gt;"",L623&lt;&gt;"",M623&lt;&gt;"",N623&lt;&gt;"",ISNUMBER(O623),O623&gt;0,P623&lt;&gt;""),"记录齐全","待补实测记录")))))))))))</x:f>
        <x:v>待展开路径</x:v>
      </x:c>
    </x:row>
    <x:row r="624" ht="43.5" customHeight="1">
      <x:c r="A624" s="20" t="str">
        <x:v>REC-00615</x:v>
      </x:c>
      <x:c r="B624" s="20" t="str">
        <x:v>P2-B1-01</x:v>
      </x:c>
      <x:c r="C624" s="30" t="str">
        <x:f>IF(B624="","",IF(COUNTIFS(Equipment[组合编号],B624)&lt;&gt;1,"组合编号无效",INDEX(Equipment[PLC组],MATCH(B624,Equipment[组合编号],0))))</x:f>
        <x:v>汇川中大型</x:v>
      </x:c>
      <x:c r="D624" s="30" t="str">
        <x:f>IF(B624="","",IF(COUNTIFS(Equipment[组合编号],B624)&lt;&gt;1,"组合编号无效",INDEX(Equipment[驱动品牌],MATCH(B624,Equipment[组合编号],0))))</x:f>
        <x:v>CDHD</x:v>
      </x:c>
      <x:c r="E624" s="20" t="str">
        <x:v>C06</x:v>
      </x:c>
      <x:c r="F624" s="20"/>
      <x:c r="G624" s="20"/>
      <x:c r="H624" s="20" t="str">
        <x:v>待判定</x:v>
      </x:c>
      <x:c r="I624" s="20"/>
      <x:c r="J624" s="20" t="str">
        <x:v>未测试</x:v>
      </x:c>
      <x:c r="K624" s="20"/>
      <x:c r="L624" s="20"/>
      <x:c r="M624" s="20"/>
      <x:c r="N624" s="20"/>
      <x:c r="O624" s="31"/>
      <x:c r="P624" s="20"/>
      <x:c r="Q624" s="20"/>
      <x:c r="R624" s="20" t="str">
        <x:v>待展开</x:v>
      </x:c>
      <x:c r="S624" s="20"/>
      <x:c r="T624" s="31"/>
      <x:c r="U624" s="30" t="str">
        <x:f>IF(A624="","缺记录编号",IF(COUNTIFS(PathRecords[记录编号],A624)&lt;&gt;1,"记录编号重复",IF(OR(B624="",E624=""),"缺组合/功能",IF(COUNTIFS(Equipment[组合编号],B624)&lt;&gt;1,"组合编号无效",IF(COUNTIFS(FunctionMatrix[编号],E624)=0,"功能编号无效",IF(H624="不适用",IF(J624="已实测","适用性冲突",IF(I624="","待补不适用依据","不适用（非实测）")),IF(J624="阻塞",IF(I624="","待补阻塞原因","阻塞（非实测）"),IF(J624&lt;&gt;"已实测",IF(F624="","待展开路径","未实测"),IF(H624&lt;&gt;"适用","待确认适用性",IF(INDEX(Equipment[登记状态（自动）],MATCH(B624,Equipment[组合编号],0))&lt;&gt;"已登记","待补设备组合",IF(AND(F624&lt;&gt;"",G624&lt;&gt;"",K624&lt;&gt;"",L624&lt;&gt;"",M624&lt;&gt;"",N624&lt;&gt;"",ISNUMBER(O624),O624&gt;0,P624&lt;&gt;""),"记录齐全","待补实测记录")))))))))))</x:f>
        <x:v>待展开路径</x:v>
      </x:c>
    </x:row>
    <x:row r="625" ht="43.5" customHeight="1">
      <x:c r="A625" s="20" t="str">
        <x:v>REC-00616</x:v>
      </x:c>
      <x:c r="B625" s="20" t="str">
        <x:v>P2-B1-01</x:v>
      </x:c>
      <x:c r="C625" s="30" t="str">
        <x:f>IF(B625="","",IF(COUNTIFS(Equipment[组合编号],B625)&lt;&gt;1,"组合编号无效",INDEX(Equipment[PLC组],MATCH(B625,Equipment[组合编号],0))))</x:f>
        <x:v>汇川中大型</x:v>
      </x:c>
      <x:c r="D625" s="30" t="str">
        <x:f>IF(B625="","",IF(COUNTIFS(Equipment[组合编号],B625)&lt;&gt;1,"组合编号无效",INDEX(Equipment[驱动品牌],MATCH(B625,Equipment[组合编号],0))))</x:f>
        <x:v>CDHD</x:v>
      </x:c>
      <x:c r="E625" s="20" t="str">
        <x:v>C07</x:v>
      </x:c>
      <x:c r="F625" s="20"/>
      <x:c r="G625" s="20"/>
      <x:c r="H625" s="20" t="str">
        <x:v>待判定</x:v>
      </x:c>
      <x:c r="I625" s="20"/>
      <x:c r="J625" s="20" t="str">
        <x:v>未测试</x:v>
      </x:c>
      <x:c r="K625" s="20"/>
      <x:c r="L625" s="20"/>
      <x:c r="M625" s="20"/>
      <x:c r="N625" s="20"/>
      <x:c r="O625" s="31"/>
      <x:c r="P625" s="20"/>
      <x:c r="Q625" s="20"/>
      <x:c r="R625" s="20" t="str">
        <x:v>待展开</x:v>
      </x:c>
      <x:c r="S625" s="20"/>
      <x:c r="T625" s="31"/>
      <x:c r="U625" s="30" t="str">
        <x:f>IF(A625="","缺记录编号",IF(COUNTIFS(PathRecords[记录编号],A625)&lt;&gt;1,"记录编号重复",IF(OR(B625="",E625=""),"缺组合/功能",IF(COUNTIFS(Equipment[组合编号],B625)&lt;&gt;1,"组合编号无效",IF(COUNTIFS(FunctionMatrix[编号],E625)=0,"功能编号无效",IF(H625="不适用",IF(J625="已实测","适用性冲突",IF(I625="","待补不适用依据","不适用（非实测）")),IF(J625="阻塞",IF(I625="","待补阻塞原因","阻塞（非实测）"),IF(J625&lt;&gt;"已实测",IF(F625="","待展开路径","未实测"),IF(H625&lt;&gt;"适用","待确认适用性",IF(INDEX(Equipment[登记状态（自动）],MATCH(B625,Equipment[组合编号],0))&lt;&gt;"已登记","待补设备组合",IF(AND(F625&lt;&gt;"",G625&lt;&gt;"",K625&lt;&gt;"",L625&lt;&gt;"",M625&lt;&gt;"",N625&lt;&gt;"",ISNUMBER(O625),O625&gt;0,P625&lt;&gt;""),"记录齐全","待补实测记录")))))))))))</x:f>
        <x:v>待展开路径</x:v>
      </x:c>
    </x:row>
    <x:row r="626" ht="43.5" customHeight="1">
      <x:c r="A626" s="20" t="str">
        <x:v>REC-00617</x:v>
      </x:c>
      <x:c r="B626" s="20" t="str">
        <x:v>P2-B1-01</x:v>
      </x:c>
      <x:c r="C626" s="30" t="str">
        <x:f>IF(B626="","",IF(COUNTIFS(Equipment[组合编号],B626)&lt;&gt;1,"组合编号无效",INDEX(Equipment[PLC组],MATCH(B626,Equipment[组合编号],0))))</x:f>
        <x:v>汇川中大型</x:v>
      </x:c>
      <x:c r="D626" s="30" t="str">
        <x:f>IF(B626="","",IF(COUNTIFS(Equipment[组合编号],B626)&lt;&gt;1,"组合编号无效",INDEX(Equipment[驱动品牌],MATCH(B626,Equipment[组合编号],0))))</x:f>
        <x:v>CDHD</x:v>
      </x:c>
      <x:c r="E626" s="20" t="str">
        <x:v>C08</x:v>
      </x:c>
      <x:c r="F626" s="20"/>
      <x:c r="G626" s="20"/>
      <x:c r="H626" s="20" t="str">
        <x:v>待判定</x:v>
      </x:c>
      <x:c r="I626" s="20"/>
      <x:c r="J626" s="20" t="str">
        <x:v>未测试</x:v>
      </x:c>
      <x:c r="K626" s="20"/>
      <x:c r="L626" s="20"/>
      <x:c r="M626" s="20"/>
      <x:c r="N626" s="20"/>
      <x:c r="O626" s="31"/>
      <x:c r="P626" s="20"/>
      <x:c r="Q626" s="20"/>
      <x:c r="R626" s="20" t="str">
        <x:v>待展开</x:v>
      </x:c>
      <x:c r="S626" s="20"/>
      <x:c r="T626" s="31"/>
      <x:c r="U626" s="30" t="str">
        <x:f>IF(A626="","缺记录编号",IF(COUNTIFS(PathRecords[记录编号],A626)&lt;&gt;1,"记录编号重复",IF(OR(B626="",E626=""),"缺组合/功能",IF(COUNTIFS(Equipment[组合编号],B626)&lt;&gt;1,"组合编号无效",IF(COUNTIFS(FunctionMatrix[编号],E626)=0,"功能编号无效",IF(H626="不适用",IF(J626="已实测","适用性冲突",IF(I626="","待补不适用依据","不适用（非实测）")),IF(J626="阻塞",IF(I626="","待补阻塞原因","阻塞（非实测）"),IF(J626&lt;&gt;"已实测",IF(F626="","待展开路径","未实测"),IF(H626&lt;&gt;"适用","待确认适用性",IF(INDEX(Equipment[登记状态（自动）],MATCH(B626,Equipment[组合编号],0))&lt;&gt;"已登记","待补设备组合",IF(AND(F626&lt;&gt;"",G626&lt;&gt;"",K626&lt;&gt;"",L626&lt;&gt;"",M626&lt;&gt;"",N626&lt;&gt;"",ISNUMBER(O626),O626&gt;0,P626&lt;&gt;""),"记录齐全","待补实测记录")))))))))))</x:f>
        <x:v>待展开路径</x:v>
      </x:c>
    </x:row>
    <x:row r="627" ht="43.5" customHeight="1">
      <x:c r="A627" s="20" t="str">
        <x:v>REC-00618</x:v>
      </x:c>
      <x:c r="B627" s="20" t="str">
        <x:v>P2-B1-01</x:v>
      </x:c>
      <x:c r="C627" s="30" t="str">
        <x:f>IF(B627="","",IF(COUNTIFS(Equipment[组合编号],B627)&lt;&gt;1,"组合编号无效",INDEX(Equipment[PLC组],MATCH(B627,Equipment[组合编号],0))))</x:f>
        <x:v>汇川中大型</x:v>
      </x:c>
      <x:c r="D627" s="30" t="str">
        <x:f>IF(B627="","",IF(COUNTIFS(Equipment[组合编号],B627)&lt;&gt;1,"组合编号无效",INDEX(Equipment[驱动品牌],MATCH(B627,Equipment[组合编号],0))))</x:f>
        <x:v>CDHD</x:v>
      </x:c>
      <x:c r="E627" s="20" t="str">
        <x:v>C09</x:v>
      </x:c>
      <x:c r="F627" s="20"/>
      <x:c r="G627" s="20"/>
      <x:c r="H627" s="20" t="str">
        <x:v>待判定</x:v>
      </x:c>
      <x:c r="I627" s="20"/>
      <x:c r="J627" s="20" t="str">
        <x:v>未测试</x:v>
      </x:c>
      <x:c r="K627" s="20"/>
      <x:c r="L627" s="20"/>
      <x:c r="M627" s="20"/>
      <x:c r="N627" s="20"/>
      <x:c r="O627" s="31"/>
      <x:c r="P627" s="20"/>
      <x:c r="Q627" s="20"/>
      <x:c r="R627" s="20" t="str">
        <x:v>待展开</x:v>
      </x:c>
      <x:c r="S627" s="20"/>
      <x:c r="T627" s="31"/>
      <x:c r="U627" s="30" t="str">
        <x:f>IF(A627="","缺记录编号",IF(COUNTIFS(PathRecords[记录编号],A627)&lt;&gt;1,"记录编号重复",IF(OR(B627="",E627=""),"缺组合/功能",IF(COUNTIFS(Equipment[组合编号],B627)&lt;&gt;1,"组合编号无效",IF(COUNTIFS(FunctionMatrix[编号],E627)=0,"功能编号无效",IF(H627="不适用",IF(J627="已实测","适用性冲突",IF(I627="","待补不适用依据","不适用（非实测）")),IF(J627="阻塞",IF(I627="","待补阻塞原因","阻塞（非实测）"),IF(J627&lt;&gt;"已实测",IF(F627="","待展开路径","未实测"),IF(H627&lt;&gt;"适用","待确认适用性",IF(INDEX(Equipment[登记状态（自动）],MATCH(B627,Equipment[组合编号],0))&lt;&gt;"已登记","待补设备组合",IF(AND(F627&lt;&gt;"",G627&lt;&gt;"",K627&lt;&gt;"",L627&lt;&gt;"",M627&lt;&gt;"",N627&lt;&gt;"",ISNUMBER(O627),O627&gt;0,P627&lt;&gt;""),"记录齐全","待补实测记录")))))))))))</x:f>
        <x:v>待展开路径</x:v>
      </x:c>
    </x:row>
    <x:row r="628" ht="43.5" customHeight="1">
      <x:c r="A628" s="20" t="str">
        <x:v>REC-00619</x:v>
      </x:c>
      <x:c r="B628" s="20" t="str">
        <x:v>P2-B1-01</x:v>
      </x:c>
      <x:c r="C628" s="30" t="str">
        <x:f>IF(B628="","",IF(COUNTIFS(Equipment[组合编号],B628)&lt;&gt;1,"组合编号无效",INDEX(Equipment[PLC组],MATCH(B628,Equipment[组合编号],0))))</x:f>
        <x:v>汇川中大型</x:v>
      </x:c>
      <x:c r="D628" s="30" t="str">
        <x:f>IF(B628="","",IF(COUNTIFS(Equipment[组合编号],B628)&lt;&gt;1,"组合编号无效",INDEX(Equipment[驱动品牌],MATCH(B628,Equipment[组合编号],0))))</x:f>
        <x:v>CDHD</x:v>
      </x:c>
      <x:c r="E628" s="20" t="str">
        <x:v>C10</x:v>
      </x:c>
      <x:c r="F628" s="20"/>
      <x:c r="G628" s="20"/>
      <x:c r="H628" s="20" t="str">
        <x:v>待判定</x:v>
      </x:c>
      <x:c r="I628" s="20"/>
      <x:c r="J628" s="20" t="str">
        <x:v>未测试</x:v>
      </x:c>
      <x:c r="K628" s="20"/>
      <x:c r="L628" s="20"/>
      <x:c r="M628" s="20"/>
      <x:c r="N628" s="20"/>
      <x:c r="O628" s="31"/>
      <x:c r="P628" s="20"/>
      <x:c r="Q628" s="20"/>
      <x:c r="R628" s="20" t="str">
        <x:v>待展开</x:v>
      </x:c>
      <x:c r="S628" s="20"/>
      <x:c r="T628" s="31"/>
      <x:c r="U628" s="30" t="str">
        <x:f>IF(A628="","缺记录编号",IF(COUNTIFS(PathRecords[记录编号],A628)&lt;&gt;1,"记录编号重复",IF(OR(B628="",E628=""),"缺组合/功能",IF(COUNTIFS(Equipment[组合编号],B628)&lt;&gt;1,"组合编号无效",IF(COUNTIFS(FunctionMatrix[编号],E628)=0,"功能编号无效",IF(H628="不适用",IF(J628="已实测","适用性冲突",IF(I628="","待补不适用依据","不适用（非实测）")),IF(J628="阻塞",IF(I628="","待补阻塞原因","阻塞（非实测）"),IF(J628&lt;&gt;"已实测",IF(F628="","待展开路径","未实测"),IF(H628&lt;&gt;"适用","待确认适用性",IF(INDEX(Equipment[登记状态（自动）],MATCH(B628,Equipment[组合编号],0))&lt;&gt;"已登记","待补设备组合",IF(AND(F628&lt;&gt;"",G628&lt;&gt;"",K628&lt;&gt;"",L628&lt;&gt;"",M628&lt;&gt;"",N628&lt;&gt;"",ISNUMBER(O628),O628&gt;0,P628&lt;&gt;""),"记录齐全","待补实测记录")))))))))))</x:f>
        <x:v>待展开路径</x:v>
      </x:c>
    </x:row>
    <x:row r="629" ht="43.5" customHeight="1">
      <x:c r="A629" s="20" t="str">
        <x:v>REC-00620</x:v>
      </x:c>
      <x:c r="B629" s="20" t="str">
        <x:v>P2-B1-01</x:v>
      </x:c>
      <x:c r="C629" s="30" t="str">
        <x:f>IF(B629="","",IF(COUNTIFS(Equipment[组合编号],B629)&lt;&gt;1,"组合编号无效",INDEX(Equipment[PLC组],MATCH(B629,Equipment[组合编号],0))))</x:f>
        <x:v>汇川中大型</x:v>
      </x:c>
      <x:c r="D629" s="30" t="str">
        <x:f>IF(B629="","",IF(COUNTIFS(Equipment[组合编号],B629)&lt;&gt;1,"组合编号无效",INDEX(Equipment[驱动品牌],MATCH(B629,Equipment[组合编号],0))))</x:f>
        <x:v>CDHD</x:v>
      </x:c>
      <x:c r="E629" s="20" t="str">
        <x:v>T01</x:v>
      </x:c>
      <x:c r="F629" s="20"/>
      <x:c r="G629" s="20"/>
      <x:c r="H629" s="20" t="str">
        <x:v>待判定</x:v>
      </x:c>
      <x:c r="I629" s="20"/>
      <x:c r="J629" s="20" t="str">
        <x:v>未测试</x:v>
      </x:c>
      <x:c r="K629" s="20"/>
      <x:c r="L629" s="20"/>
      <x:c r="M629" s="20"/>
      <x:c r="N629" s="20"/>
      <x:c r="O629" s="31"/>
      <x:c r="P629" s="20"/>
      <x:c r="Q629" s="20"/>
      <x:c r="R629" s="20" t="str">
        <x:v>待展开</x:v>
      </x:c>
      <x:c r="S629" s="20"/>
      <x:c r="T629" s="31"/>
      <x:c r="U629" s="30" t="str">
        <x:f>IF(A629="","缺记录编号",IF(COUNTIFS(PathRecords[记录编号],A629)&lt;&gt;1,"记录编号重复",IF(OR(B629="",E629=""),"缺组合/功能",IF(COUNTIFS(Equipment[组合编号],B629)&lt;&gt;1,"组合编号无效",IF(COUNTIFS(FunctionMatrix[编号],E629)=0,"功能编号无效",IF(H629="不适用",IF(J629="已实测","适用性冲突",IF(I629="","待补不适用依据","不适用（非实测）")),IF(J629="阻塞",IF(I629="","待补阻塞原因","阻塞（非实测）"),IF(J629&lt;&gt;"已实测",IF(F629="","待展开路径","未实测"),IF(H629&lt;&gt;"适用","待确认适用性",IF(INDEX(Equipment[登记状态（自动）],MATCH(B629,Equipment[组合编号],0))&lt;&gt;"已登记","待补设备组合",IF(AND(F629&lt;&gt;"",G629&lt;&gt;"",K629&lt;&gt;"",L629&lt;&gt;"",M629&lt;&gt;"",N629&lt;&gt;"",ISNUMBER(O629),O629&gt;0,P629&lt;&gt;""),"记录齐全","待补实测记录")))))))))))</x:f>
        <x:v>待展开路径</x:v>
      </x:c>
    </x:row>
    <x:row r="630" ht="43.5" customHeight="1">
      <x:c r="A630" s="20" t="str">
        <x:v>REC-00621</x:v>
      </x:c>
      <x:c r="B630" s="20" t="str">
        <x:v>P2-B1-01</x:v>
      </x:c>
      <x:c r="C630" s="30" t="str">
        <x:f>IF(B630="","",IF(COUNTIFS(Equipment[组合编号],B630)&lt;&gt;1,"组合编号无效",INDEX(Equipment[PLC组],MATCH(B630,Equipment[组合编号],0))))</x:f>
        <x:v>汇川中大型</x:v>
      </x:c>
      <x:c r="D630" s="30" t="str">
        <x:f>IF(B630="","",IF(COUNTIFS(Equipment[组合编号],B630)&lt;&gt;1,"组合编号无效",INDEX(Equipment[驱动品牌],MATCH(B630,Equipment[组合编号],0))))</x:f>
        <x:v>CDHD</x:v>
      </x:c>
      <x:c r="E630" s="20" t="str">
        <x:v>T02</x:v>
      </x:c>
      <x:c r="F630" s="20"/>
      <x:c r="G630" s="20"/>
      <x:c r="H630" s="20" t="str">
        <x:v>待判定</x:v>
      </x:c>
      <x:c r="I630" s="20"/>
      <x:c r="J630" s="20" t="str">
        <x:v>未测试</x:v>
      </x:c>
      <x:c r="K630" s="20"/>
      <x:c r="L630" s="20"/>
      <x:c r="M630" s="20"/>
      <x:c r="N630" s="20"/>
      <x:c r="O630" s="31"/>
      <x:c r="P630" s="20"/>
      <x:c r="Q630" s="20"/>
      <x:c r="R630" s="20" t="str">
        <x:v>待展开</x:v>
      </x:c>
      <x:c r="S630" s="20"/>
      <x:c r="T630" s="31"/>
      <x:c r="U630" s="30" t="str">
        <x:f>IF(A630="","缺记录编号",IF(COUNTIFS(PathRecords[记录编号],A630)&lt;&gt;1,"记录编号重复",IF(OR(B630="",E630=""),"缺组合/功能",IF(COUNTIFS(Equipment[组合编号],B630)&lt;&gt;1,"组合编号无效",IF(COUNTIFS(FunctionMatrix[编号],E630)=0,"功能编号无效",IF(H630="不适用",IF(J630="已实测","适用性冲突",IF(I630="","待补不适用依据","不适用（非实测）")),IF(J630="阻塞",IF(I630="","待补阻塞原因","阻塞（非实测）"),IF(J630&lt;&gt;"已实测",IF(F630="","待展开路径","未实测"),IF(H630&lt;&gt;"适用","待确认适用性",IF(INDEX(Equipment[登记状态（自动）],MATCH(B630,Equipment[组合编号],0))&lt;&gt;"已登记","待补设备组合",IF(AND(F630&lt;&gt;"",G630&lt;&gt;"",K630&lt;&gt;"",L630&lt;&gt;"",M630&lt;&gt;"",N630&lt;&gt;"",ISNUMBER(O630),O630&gt;0,P630&lt;&gt;""),"记录齐全","待补实测记录")))))))))))</x:f>
        <x:v>待展开路径</x:v>
      </x:c>
    </x:row>
    <x:row r="631" ht="43.5" customHeight="1">
      <x:c r="A631" s="20" t="str">
        <x:v>REC-00622</x:v>
      </x:c>
      <x:c r="B631" s="20" t="str">
        <x:v>P2-B1-01</x:v>
      </x:c>
      <x:c r="C631" s="30" t="str">
        <x:f>IF(B631="","",IF(COUNTIFS(Equipment[组合编号],B631)&lt;&gt;1,"组合编号无效",INDEX(Equipment[PLC组],MATCH(B631,Equipment[组合编号],0))))</x:f>
        <x:v>汇川中大型</x:v>
      </x:c>
      <x:c r="D631" s="30" t="str">
        <x:f>IF(B631="","",IF(COUNTIFS(Equipment[组合编号],B631)&lt;&gt;1,"组合编号无效",INDEX(Equipment[驱动品牌],MATCH(B631,Equipment[组合编号],0))))</x:f>
        <x:v>CDHD</x:v>
      </x:c>
      <x:c r="E631" s="20" t="str">
        <x:v>T03</x:v>
      </x:c>
      <x:c r="F631" s="20"/>
      <x:c r="G631" s="20"/>
      <x:c r="H631" s="20" t="str">
        <x:v>待判定</x:v>
      </x:c>
      <x:c r="I631" s="20"/>
      <x:c r="J631" s="20" t="str">
        <x:v>未测试</x:v>
      </x:c>
      <x:c r="K631" s="20"/>
      <x:c r="L631" s="20"/>
      <x:c r="M631" s="20"/>
      <x:c r="N631" s="20"/>
      <x:c r="O631" s="31"/>
      <x:c r="P631" s="20"/>
      <x:c r="Q631" s="20"/>
      <x:c r="R631" s="20" t="str">
        <x:v>待展开</x:v>
      </x:c>
      <x:c r="S631" s="20"/>
      <x:c r="T631" s="31"/>
      <x:c r="U631" s="30" t="str">
        <x:f>IF(A631="","缺记录编号",IF(COUNTIFS(PathRecords[记录编号],A631)&lt;&gt;1,"记录编号重复",IF(OR(B631="",E631=""),"缺组合/功能",IF(COUNTIFS(Equipment[组合编号],B631)&lt;&gt;1,"组合编号无效",IF(COUNTIFS(FunctionMatrix[编号],E631)=0,"功能编号无效",IF(H631="不适用",IF(J631="已实测","适用性冲突",IF(I631="","待补不适用依据","不适用（非实测）")),IF(J631="阻塞",IF(I631="","待补阻塞原因","阻塞（非实测）"),IF(J631&lt;&gt;"已实测",IF(F631="","待展开路径","未实测"),IF(H631&lt;&gt;"适用","待确认适用性",IF(INDEX(Equipment[登记状态（自动）],MATCH(B631,Equipment[组合编号],0))&lt;&gt;"已登记","待补设备组合",IF(AND(F631&lt;&gt;"",G631&lt;&gt;"",K631&lt;&gt;"",L631&lt;&gt;"",M631&lt;&gt;"",N631&lt;&gt;"",ISNUMBER(O631),O631&gt;0,P631&lt;&gt;""),"记录齐全","待补实测记录")))))))))))</x:f>
        <x:v>待展开路径</x:v>
      </x:c>
    </x:row>
    <x:row r="632" ht="43.5" customHeight="1">
      <x:c r="A632" s="20" t="str">
        <x:v>REC-00623</x:v>
      </x:c>
      <x:c r="B632" s="20" t="str">
        <x:v>P2-B1-01</x:v>
      </x:c>
      <x:c r="C632" s="30" t="str">
        <x:f>IF(B632="","",IF(COUNTIFS(Equipment[组合编号],B632)&lt;&gt;1,"组合编号无效",INDEX(Equipment[PLC组],MATCH(B632,Equipment[组合编号],0))))</x:f>
        <x:v>汇川中大型</x:v>
      </x:c>
      <x:c r="D632" s="30" t="str">
        <x:f>IF(B632="","",IF(COUNTIFS(Equipment[组合编号],B632)&lt;&gt;1,"组合编号无效",INDEX(Equipment[驱动品牌],MATCH(B632,Equipment[组合编号],0))))</x:f>
        <x:v>CDHD</x:v>
      </x:c>
      <x:c r="E632" s="20" t="str">
        <x:v>T04</x:v>
      </x:c>
      <x:c r="F632" s="20"/>
      <x:c r="G632" s="20"/>
      <x:c r="H632" s="20" t="str">
        <x:v>待判定</x:v>
      </x:c>
      <x:c r="I632" s="20"/>
      <x:c r="J632" s="20" t="str">
        <x:v>未测试</x:v>
      </x:c>
      <x:c r="K632" s="20"/>
      <x:c r="L632" s="20"/>
      <x:c r="M632" s="20"/>
      <x:c r="N632" s="20"/>
      <x:c r="O632" s="31"/>
      <x:c r="P632" s="20"/>
      <x:c r="Q632" s="20"/>
      <x:c r="R632" s="20" t="str">
        <x:v>待展开</x:v>
      </x:c>
      <x:c r="S632" s="20"/>
      <x:c r="T632" s="31"/>
      <x:c r="U632" s="30" t="str">
        <x:f>IF(A632="","缺记录编号",IF(COUNTIFS(PathRecords[记录编号],A632)&lt;&gt;1,"记录编号重复",IF(OR(B632="",E632=""),"缺组合/功能",IF(COUNTIFS(Equipment[组合编号],B632)&lt;&gt;1,"组合编号无效",IF(COUNTIFS(FunctionMatrix[编号],E632)=0,"功能编号无效",IF(H632="不适用",IF(J632="已实测","适用性冲突",IF(I632="","待补不适用依据","不适用（非实测）")),IF(J632="阻塞",IF(I632="","待补阻塞原因","阻塞（非实测）"),IF(J632&lt;&gt;"已实测",IF(F632="","待展开路径","未实测"),IF(H632&lt;&gt;"适用","待确认适用性",IF(INDEX(Equipment[登记状态（自动）],MATCH(B632,Equipment[组合编号],0))&lt;&gt;"已登记","待补设备组合",IF(AND(F632&lt;&gt;"",G632&lt;&gt;"",K632&lt;&gt;"",L632&lt;&gt;"",M632&lt;&gt;"",N632&lt;&gt;"",ISNUMBER(O632),O632&gt;0,P632&lt;&gt;""),"记录齐全","待补实测记录")))))))))))</x:f>
        <x:v>待展开路径</x:v>
      </x:c>
    </x:row>
    <x:row r="633" ht="43.5" customHeight="1">
      <x:c r="A633" s="20" t="str">
        <x:v>REC-00624</x:v>
      </x:c>
      <x:c r="B633" s="20" t="str">
        <x:v>P2-B1-01</x:v>
      </x:c>
      <x:c r="C633" s="30" t="str">
        <x:f>IF(B633="","",IF(COUNTIFS(Equipment[组合编号],B633)&lt;&gt;1,"组合编号无效",INDEX(Equipment[PLC组],MATCH(B633,Equipment[组合编号],0))))</x:f>
        <x:v>汇川中大型</x:v>
      </x:c>
      <x:c r="D633" s="30" t="str">
        <x:f>IF(B633="","",IF(COUNTIFS(Equipment[组合编号],B633)&lt;&gt;1,"组合编号无效",INDEX(Equipment[驱动品牌],MATCH(B633,Equipment[组合编号],0))))</x:f>
        <x:v>CDHD</x:v>
      </x:c>
      <x:c r="E633" s="20" t="str">
        <x:v>T05</x:v>
      </x:c>
      <x:c r="F633" s="20"/>
      <x:c r="G633" s="20"/>
      <x:c r="H633" s="20" t="str">
        <x:v>待判定</x:v>
      </x:c>
      <x:c r="I633" s="20"/>
      <x:c r="J633" s="20" t="str">
        <x:v>未测试</x:v>
      </x:c>
      <x:c r="K633" s="20"/>
      <x:c r="L633" s="20"/>
      <x:c r="M633" s="20"/>
      <x:c r="N633" s="20"/>
      <x:c r="O633" s="31"/>
      <x:c r="P633" s="20"/>
      <x:c r="Q633" s="20"/>
      <x:c r="R633" s="20" t="str">
        <x:v>待展开</x:v>
      </x:c>
      <x:c r="S633" s="20"/>
      <x:c r="T633" s="31"/>
      <x:c r="U633" s="30" t="str">
        <x:f>IF(A633="","缺记录编号",IF(COUNTIFS(PathRecords[记录编号],A633)&lt;&gt;1,"记录编号重复",IF(OR(B633="",E633=""),"缺组合/功能",IF(COUNTIFS(Equipment[组合编号],B633)&lt;&gt;1,"组合编号无效",IF(COUNTIFS(FunctionMatrix[编号],E633)=0,"功能编号无效",IF(H633="不适用",IF(J633="已实测","适用性冲突",IF(I633="","待补不适用依据","不适用（非实测）")),IF(J633="阻塞",IF(I633="","待补阻塞原因","阻塞（非实测）"),IF(J633&lt;&gt;"已实测",IF(F633="","待展开路径","未实测"),IF(H633&lt;&gt;"适用","待确认适用性",IF(INDEX(Equipment[登记状态（自动）],MATCH(B633,Equipment[组合编号],0))&lt;&gt;"已登记","待补设备组合",IF(AND(F633&lt;&gt;"",G633&lt;&gt;"",K633&lt;&gt;"",L633&lt;&gt;"",M633&lt;&gt;"",N633&lt;&gt;"",ISNUMBER(O633),O633&gt;0,P633&lt;&gt;""),"记录齐全","待补实测记录")))))))))))</x:f>
        <x:v>待展开路径</x:v>
      </x:c>
    </x:row>
    <x:row r="634" ht="43.5" customHeight="1">
      <x:c r="A634" s="20" t="str">
        <x:v>REC-00625</x:v>
      </x:c>
      <x:c r="B634" s="20" t="str">
        <x:v>P2-B1-01</x:v>
      </x:c>
      <x:c r="C634" s="30" t="str">
        <x:f>IF(B634="","",IF(COUNTIFS(Equipment[组合编号],B634)&lt;&gt;1,"组合编号无效",INDEX(Equipment[PLC组],MATCH(B634,Equipment[组合编号],0))))</x:f>
        <x:v>汇川中大型</x:v>
      </x:c>
      <x:c r="D634" s="30" t="str">
        <x:f>IF(B634="","",IF(COUNTIFS(Equipment[组合编号],B634)&lt;&gt;1,"组合编号无效",INDEX(Equipment[驱动品牌],MATCH(B634,Equipment[组合编号],0))))</x:f>
        <x:v>CDHD</x:v>
      </x:c>
      <x:c r="E634" s="20" t="str">
        <x:v>T06</x:v>
      </x:c>
      <x:c r="F634" s="20"/>
      <x:c r="G634" s="20"/>
      <x:c r="H634" s="20" t="str">
        <x:v>待判定</x:v>
      </x:c>
      <x:c r="I634" s="20"/>
      <x:c r="J634" s="20" t="str">
        <x:v>未测试</x:v>
      </x:c>
      <x:c r="K634" s="20"/>
      <x:c r="L634" s="20"/>
      <x:c r="M634" s="20"/>
      <x:c r="N634" s="20"/>
      <x:c r="O634" s="31"/>
      <x:c r="P634" s="20"/>
      <x:c r="Q634" s="20"/>
      <x:c r="R634" s="20" t="str">
        <x:v>待展开</x:v>
      </x:c>
      <x:c r="S634" s="20"/>
      <x:c r="T634" s="31"/>
      <x:c r="U634" s="30" t="str">
        <x:f>IF(A634="","缺记录编号",IF(COUNTIFS(PathRecords[记录编号],A634)&lt;&gt;1,"记录编号重复",IF(OR(B634="",E634=""),"缺组合/功能",IF(COUNTIFS(Equipment[组合编号],B634)&lt;&gt;1,"组合编号无效",IF(COUNTIFS(FunctionMatrix[编号],E634)=0,"功能编号无效",IF(H634="不适用",IF(J634="已实测","适用性冲突",IF(I634="","待补不适用依据","不适用（非实测）")),IF(J634="阻塞",IF(I634="","待补阻塞原因","阻塞（非实测）"),IF(J634&lt;&gt;"已实测",IF(F634="","待展开路径","未实测"),IF(H634&lt;&gt;"适用","待确认适用性",IF(INDEX(Equipment[登记状态（自动）],MATCH(B634,Equipment[组合编号],0))&lt;&gt;"已登记","待补设备组合",IF(AND(F634&lt;&gt;"",G634&lt;&gt;"",K634&lt;&gt;"",L634&lt;&gt;"",M634&lt;&gt;"",N634&lt;&gt;"",ISNUMBER(O634),O634&gt;0,P634&lt;&gt;""),"记录齐全","待补实测记录")))))))))))</x:f>
        <x:v>待展开路径</x:v>
      </x:c>
    </x:row>
    <x:row r="635" ht="43.5" customHeight="1">
      <x:c r="A635" s="20" t="str">
        <x:v>REC-00626</x:v>
      </x:c>
      <x:c r="B635" s="20" t="str">
        <x:v>P2-B1-01</x:v>
      </x:c>
      <x:c r="C635" s="30" t="str">
        <x:f>IF(B635="","",IF(COUNTIFS(Equipment[组合编号],B635)&lt;&gt;1,"组合编号无效",INDEX(Equipment[PLC组],MATCH(B635,Equipment[组合编号],0))))</x:f>
        <x:v>汇川中大型</x:v>
      </x:c>
      <x:c r="D635" s="30" t="str">
        <x:f>IF(B635="","",IF(COUNTIFS(Equipment[组合编号],B635)&lt;&gt;1,"组合编号无效",INDEX(Equipment[驱动品牌],MATCH(B635,Equipment[组合编号],0))))</x:f>
        <x:v>CDHD</x:v>
      </x:c>
      <x:c r="E635" s="20" t="str">
        <x:v>T07</x:v>
      </x:c>
      <x:c r="F635" s="20"/>
      <x:c r="G635" s="20"/>
      <x:c r="H635" s="20" t="str">
        <x:v>待判定</x:v>
      </x:c>
      <x:c r="I635" s="20"/>
      <x:c r="J635" s="20" t="str">
        <x:v>未测试</x:v>
      </x:c>
      <x:c r="K635" s="20"/>
      <x:c r="L635" s="20"/>
      <x:c r="M635" s="20"/>
      <x:c r="N635" s="20"/>
      <x:c r="O635" s="31"/>
      <x:c r="P635" s="20"/>
      <x:c r="Q635" s="20"/>
      <x:c r="R635" s="20" t="str">
        <x:v>待展开</x:v>
      </x:c>
      <x:c r="S635" s="20"/>
      <x:c r="T635" s="31"/>
      <x:c r="U635" s="30" t="str">
        <x:f>IF(A635="","缺记录编号",IF(COUNTIFS(PathRecords[记录编号],A635)&lt;&gt;1,"记录编号重复",IF(OR(B635="",E635=""),"缺组合/功能",IF(COUNTIFS(Equipment[组合编号],B635)&lt;&gt;1,"组合编号无效",IF(COUNTIFS(FunctionMatrix[编号],E635)=0,"功能编号无效",IF(H635="不适用",IF(J635="已实测","适用性冲突",IF(I635="","待补不适用依据","不适用（非实测）")),IF(J635="阻塞",IF(I635="","待补阻塞原因","阻塞（非实测）"),IF(J635&lt;&gt;"已实测",IF(F635="","待展开路径","未实测"),IF(H635&lt;&gt;"适用","待确认适用性",IF(INDEX(Equipment[登记状态（自动）],MATCH(B635,Equipment[组合编号],0))&lt;&gt;"已登记","待补设备组合",IF(AND(F635&lt;&gt;"",G635&lt;&gt;"",K635&lt;&gt;"",L635&lt;&gt;"",M635&lt;&gt;"",N635&lt;&gt;"",ISNUMBER(O635),O635&gt;0,P635&lt;&gt;""),"记录齐全","待补实测记录")))))))))))</x:f>
        <x:v>待展开路径</x:v>
      </x:c>
    </x:row>
    <x:row r="636" ht="43.5" customHeight="1">
      <x:c r="A636" s="20" t="str">
        <x:v>REC-00627</x:v>
      </x:c>
      <x:c r="B636" s="20" t="str">
        <x:v>P2-B1-01</x:v>
      </x:c>
      <x:c r="C636" s="30" t="str">
        <x:f>IF(B636="","",IF(COUNTIFS(Equipment[组合编号],B636)&lt;&gt;1,"组合编号无效",INDEX(Equipment[PLC组],MATCH(B636,Equipment[组合编号],0))))</x:f>
        <x:v>汇川中大型</x:v>
      </x:c>
      <x:c r="D636" s="30" t="str">
        <x:f>IF(B636="","",IF(COUNTIFS(Equipment[组合编号],B636)&lt;&gt;1,"组合编号无效",INDEX(Equipment[驱动品牌],MATCH(B636,Equipment[组合编号],0))))</x:f>
        <x:v>CDHD</x:v>
      </x:c>
      <x:c r="E636" s="20" t="str">
        <x:v>T08</x:v>
      </x:c>
      <x:c r="F636" s="20"/>
      <x:c r="G636" s="20"/>
      <x:c r="H636" s="20" t="str">
        <x:v>待判定</x:v>
      </x:c>
      <x:c r="I636" s="20"/>
      <x:c r="J636" s="20" t="str">
        <x:v>未测试</x:v>
      </x:c>
      <x:c r="K636" s="20"/>
      <x:c r="L636" s="20"/>
      <x:c r="M636" s="20"/>
      <x:c r="N636" s="20"/>
      <x:c r="O636" s="31"/>
      <x:c r="P636" s="20"/>
      <x:c r="Q636" s="20"/>
      <x:c r="R636" s="20" t="str">
        <x:v>待展开</x:v>
      </x:c>
      <x:c r="S636" s="20"/>
      <x:c r="T636" s="31"/>
      <x:c r="U636" s="30" t="str">
        <x:f>IF(A636="","缺记录编号",IF(COUNTIFS(PathRecords[记录编号],A636)&lt;&gt;1,"记录编号重复",IF(OR(B636="",E636=""),"缺组合/功能",IF(COUNTIFS(Equipment[组合编号],B636)&lt;&gt;1,"组合编号无效",IF(COUNTIFS(FunctionMatrix[编号],E636)=0,"功能编号无效",IF(H636="不适用",IF(J636="已实测","适用性冲突",IF(I636="","待补不适用依据","不适用（非实测）")),IF(J636="阻塞",IF(I636="","待补阻塞原因","阻塞（非实测）"),IF(J636&lt;&gt;"已实测",IF(F636="","待展开路径","未实测"),IF(H636&lt;&gt;"适用","待确认适用性",IF(INDEX(Equipment[登记状态（自动）],MATCH(B636,Equipment[组合编号],0))&lt;&gt;"已登记","待补设备组合",IF(AND(F636&lt;&gt;"",G636&lt;&gt;"",K636&lt;&gt;"",L636&lt;&gt;"",M636&lt;&gt;"",N636&lt;&gt;"",ISNUMBER(O636),O636&gt;0,P636&lt;&gt;""),"记录齐全","待补实测记录")))))))))))</x:f>
        <x:v>待展开路径</x:v>
      </x:c>
    </x:row>
    <x:row r="637" ht="43.5" customHeight="1">
      <x:c r="A637" s="20" t="str">
        <x:v>REC-00628</x:v>
      </x:c>
      <x:c r="B637" s="20" t="str">
        <x:v>P2-B1-01</x:v>
      </x:c>
      <x:c r="C637" s="30" t="str">
        <x:f>IF(B637="","",IF(COUNTIFS(Equipment[组合编号],B637)&lt;&gt;1,"组合编号无效",INDEX(Equipment[PLC组],MATCH(B637,Equipment[组合编号],0))))</x:f>
        <x:v>汇川中大型</x:v>
      </x:c>
      <x:c r="D637" s="30" t="str">
        <x:f>IF(B637="","",IF(COUNTIFS(Equipment[组合编号],B637)&lt;&gt;1,"组合编号无效",INDEX(Equipment[驱动品牌],MATCH(B637,Equipment[组合编号],0))))</x:f>
        <x:v>CDHD</x:v>
      </x:c>
      <x:c r="E637" s="20" t="str">
        <x:v>T09</x:v>
      </x:c>
      <x:c r="F637" s="20"/>
      <x:c r="G637" s="20"/>
      <x:c r="H637" s="20" t="str">
        <x:v>待判定</x:v>
      </x:c>
      <x:c r="I637" s="20"/>
      <x:c r="J637" s="20" t="str">
        <x:v>未测试</x:v>
      </x:c>
      <x:c r="K637" s="20"/>
      <x:c r="L637" s="20"/>
      <x:c r="M637" s="20"/>
      <x:c r="N637" s="20"/>
      <x:c r="O637" s="31"/>
      <x:c r="P637" s="20"/>
      <x:c r="Q637" s="20"/>
      <x:c r="R637" s="20" t="str">
        <x:v>待展开</x:v>
      </x:c>
      <x:c r="S637" s="20"/>
      <x:c r="T637" s="31"/>
      <x:c r="U637" s="30" t="str">
        <x:f>IF(A637="","缺记录编号",IF(COUNTIFS(PathRecords[记录编号],A637)&lt;&gt;1,"记录编号重复",IF(OR(B637="",E637=""),"缺组合/功能",IF(COUNTIFS(Equipment[组合编号],B637)&lt;&gt;1,"组合编号无效",IF(COUNTIFS(FunctionMatrix[编号],E637)=0,"功能编号无效",IF(H637="不适用",IF(J637="已实测","适用性冲突",IF(I637="","待补不适用依据","不适用（非实测）")),IF(J637="阻塞",IF(I637="","待补阻塞原因","阻塞（非实测）"),IF(J637&lt;&gt;"已实测",IF(F637="","待展开路径","未实测"),IF(H637&lt;&gt;"适用","待确认适用性",IF(INDEX(Equipment[登记状态（自动）],MATCH(B637,Equipment[组合编号],0))&lt;&gt;"已登记","待补设备组合",IF(AND(F637&lt;&gt;"",G637&lt;&gt;"",K637&lt;&gt;"",L637&lt;&gt;"",M637&lt;&gt;"",N637&lt;&gt;"",ISNUMBER(O637),O637&gt;0,P637&lt;&gt;""),"记录齐全","待补实测记录")))))))))))</x:f>
        <x:v>待展开路径</x:v>
      </x:c>
    </x:row>
    <x:row r="638" ht="43.5" customHeight="1">
      <x:c r="A638" s="20" t="str">
        <x:v>REC-00629</x:v>
      </x:c>
      <x:c r="B638" s="20" t="str">
        <x:v>P2-B1-01</x:v>
      </x:c>
      <x:c r="C638" s="30" t="str">
        <x:f>IF(B638="","",IF(COUNTIFS(Equipment[组合编号],B638)&lt;&gt;1,"组合编号无效",INDEX(Equipment[PLC组],MATCH(B638,Equipment[组合编号],0))))</x:f>
        <x:v>汇川中大型</x:v>
      </x:c>
      <x:c r="D638" s="30" t="str">
        <x:f>IF(B638="","",IF(COUNTIFS(Equipment[组合编号],B638)&lt;&gt;1,"组合编号无效",INDEX(Equipment[驱动品牌],MATCH(B638,Equipment[组合编号],0))))</x:f>
        <x:v>CDHD</x:v>
      </x:c>
      <x:c r="E638" s="20" t="str">
        <x:v>R01</x:v>
      </x:c>
      <x:c r="F638" s="20"/>
      <x:c r="G638" s="20"/>
      <x:c r="H638" s="20" t="str">
        <x:v>待判定</x:v>
      </x:c>
      <x:c r="I638" s="20"/>
      <x:c r="J638" s="20" t="str">
        <x:v>未测试</x:v>
      </x:c>
      <x:c r="K638" s="20"/>
      <x:c r="L638" s="20"/>
      <x:c r="M638" s="20"/>
      <x:c r="N638" s="20"/>
      <x:c r="O638" s="31"/>
      <x:c r="P638" s="20"/>
      <x:c r="Q638" s="20"/>
      <x:c r="R638" s="20" t="str">
        <x:v>待展开</x:v>
      </x:c>
      <x:c r="S638" s="20"/>
      <x:c r="T638" s="31"/>
      <x:c r="U638" s="30" t="str">
        <x:f>IF(A638="","缺记录编号",IF(COUNTIFS(PathRecords[记录编号],A638)&lt;&gt;1,"记录编号重复",IF(OR(B638="",E638=""),"缺组合/功能",IF(COUNTIFS(Equipment[组合编号],B638)&lt;&gt;1,"组合编号无效",IF(COUNTIFS(FunctionMatrix[编号],E638)=0,"功能编号无效",IF(H638="不适用",IF(J638="已实测","适用性冲突",IF(I638="","待补不适用依据","不适用（非实测）")),IF(J638="阻塞",IF(I638="","待补阻塞原因","阻塞（非实测）"),IF(J638&lt;&gt;"已实测",IF(F638="","待展开路径","未实测"),IF(H638&lt;&gt;"适用","待确认适用性",IF(INDEX(Equipment[登记状态（自动）],MATCH(B638,Equipment[组合编号],0))&lt;&gt;"已登记","待补设备组合",IF(AND(F638&lt;&gt;"",G638&lt;&gt;"",K638&lt;&gt;"",L638&lt;&gt;"",M638&lt;&gt;"",N638&lt;&gt;"",ISNUMBER(O638),O638&gt;0,P638&lt;&gt;""),"记录齐全","待补实测记录")))))))))))</x:f>
        <x:v>待展开路径</x:v>
      </x:c>
    </x:row>
    <x:row r="639" ht="43.5" customHeight="1">
      <x:c r="A639" s="20" t="str">
        <x:v>REC-00630</x:v>
      </x:c>
      <x:c r="B639" s="20" t="str">
        <x:v>P2-B1-01</x:v>
      </x:c>
      <x:c r="C639" s="30" t="str">
        <x:f>IF(B639="","",IF(COUNTIFS(Equipment[组合编号],B639)&lt;&gt;1,"组合编号无效",INDEX(Equipment[PLC组],MATCH(B639,Equipment[组合编号],0))))</x:f>
        <x:v>汇川中大型</x:v>
      </x:c>
      <x:c r="D639" s="30" t="str">
        <x:f>IF(B639="","",IF(COUNTIFS(Equipment[组合编号],B639)&lt;&gt;1,"组合编号无效",INDEX(Equipment[驱动品牌],MATCH(B639,Equipment[组合编号],0))))</x:f>
        <x:v>CDHD</x:v>
      </x:c>
      <x:c r="E639" s="20" t="str">
        <x:v>R02</x:v>
      </x:c>
      <x:c r="F639" s="20"/>
      <x:c r="G639" s="20"/>
      <x:c r="H639" s="20" t="str">
        <x:v>待判定</x:v>
      </x:c>
      <x:c r="I639" s="20"/>
      <x:c r="J639" s="20" t="str">
        <x:v>未测试</x:v>
      </x:c>
      <x:c r="K639" s="20"/>
      <x:c r="L639" s="20"/>
      <x:c r="M639" s="20"/>
      <x:c r="N639" s="20"/>
      <x:c r="O639" s="31"/>
      <x:c r="P639" s="20"/>
      <x:c r="Q639" s="20"/>
      <x:c r="R639" s="20" t="str">
        <x:v>待展开</x:v>
      </x:c>
      <x:c r="S639" s="20"/>
      <x:c r="T639" s="31"/>
      <x:c r="U639" s="30" t="str">
        <x:f>IF(A639="","缺记录编号",IF(COUNTIFS(PathRecords[记录编号],A639)&lt;&gt;1,"记录编号重复",IF(OR(B639="",E639=""),"缺组合/功能",IF(COUNTIFS(Equipment[组合编号],B639)&lt;&gt;1,"组合编号无效",IF(COUNTIFS(FunctionMatrix[编号],E639)=0,"功能编号无效",IF(H639="不适用",IF(J639="已实测","适用性冲突",IF(I639="","待补不适用依据","不适用（非实测）")),IF(J639="阻塞",IF(I639="","待补阻塞原因","阻塞（非实测）"),IF(J639&lt;&gt;"已实测",IF(F639="","待展开路径","未实测"),IF(H639&lt;&gt;"适用","待确认适用性",IF(INDEX(Equipment[登记状态（自动）],MATCH(B639,Equipment[组合编号],0))&lt;&gt;"已登记","待补设备组合",IF(AND(F639&lt;&gt;"",G639&lt;&gt;"",K639&lt;&gt;"",L639&lt;&gt;"",M639&lt;&gt;"",N639&lt;&gt;"",ISNUMBER(O639),O639&gt;0,P639&lt;&gt;""),"记录齐全","待补实测记录")))))))))))</x:f>
        <x:v>待展开路径</x:v>
      </x:c>
    </x:row>
    <x:row r="640" ht="43.5" customHeight="1">
      <x:c r="A640" s="20" t="str">
        <x:v>REC-00631</x:v>
      </x:c>
      <x:c r="B640" s="20" t="str">
        <x:v>P2-B1-01</x:v>
      </x:c>
      <x:c r="C640" s="30" t="str">
        <x:f>IF(B640="","",IF(COUNTIFS(Equipment[组合编号],B640)&lt;&gt;1,"组合编号无效",INDEX(Equipment[PLC组],MATCH(B640,Equipment[组合编号],0))))</x:f>
        <x:v>汇川中大型</x:v>
      </x:c>
      <x:c r="D640" s="30" t="str">
        <x:f>IF(B640="","",IF(COUNTIFS(Equipment[组合编号],B640)&lt;&gt;1,"组合编号无效",INDEX(Equipment[驱动品牌],MATCH(B640,Equipment[组合编号],0))))</x:f>
        <x:v>CDHD</x:v>
      </x:c>
      <x:c r="E640" s="20" t="str">
        <x:v>R03</x:v>
      </x:c>
      <x:c r="F640" s="20"/>
      <x:c r="G640" s="20"/>
      <x:c r="H640" s="20" t="str">
        <x:v>待判定</x:v>
      </x:c>
      <x:c r="I640" s="20"/>
      <x:c r="J640" s="20" t="str">
        <x:v>未测试</x:v>
      </x:c>
      <x:c r="K640" s="20"/>
      <x:c r="L640" s="20"/>
      <x:c r="M640" s="20"/>
      <x:c r="N640" s="20"/>
      <x:c r="O640" s="31"/>
      <x:c r="P640" s="20"/>
      <x:c r="Q640" s="20"/>
      <x:c r="R640" s="20" t="str">
        <x:v>待展开</x:v>
      </x:c>
      <x:c r="S640" s="20"/>
      <x:c r="T640" s="31"/>
      <x:c r="U640" s="30" t="str">
        <x:f>IF(A640="","缺记录编号",IF(COUNTIFS(PathRecords[记录编号],A640)&lt;&gt;1,"记录编号重复",IF(OR(B640="",E640=""),"缺组合/功能",IF(COUNTIFS(Equipment[组合编号],B640)&lt;&gt;1,"组合编号无效",IF(COUNTIFS(FunctionMatrix[编号],E640)=0,"功能编号无效",IF(H640="不适用",IF(J640="已实测","适用性冲突",IF(I640="","待补不适用依据","不适用（非实测）")),IF(J640="阻塞",IF(I640="","待补阻塞原因","阻塞（非实测）"),IF(J640&lt;&gt;"已实测",IF(F640="","待展开路径","未实测"),IF(H640&lt;&gt;"适用","待确认适用性",IF(INDEX(Equipment[登记状态（自动）],MATCH(B640,Equipment[组合编号],0))&lt;&gt;"已登记","待补设备组合",IF(AND(F640&lt;&gt;"",G640&lt;&gt;"",K640&lt;&gt;"",L640&lt;&gt;"",M640&lt;&gt;"",N640&lt;&gt;"",ISNUMBER(O640),O640&gt;0,P640&lt;&gt;""),"记录齐全","待补实测记录")))))))))))</x:f>
        <x:v>待展开路径</x:v>
      </x:c>
    </x:row>
    <x:row r="641" ht="43.5" customHeight="1">
      <x:c r="A641" s="20" t="str">
        <x:v>REC-00632</x:v>
      </x:c>
      <x:c r="B641" s="20" t="str">
        <x:v>P2-B1-01</x:v>
      </x:c>
      <x:c r="C641" s="30" t="str">
        <x:f>IF(B641="","",IF(COUNTIFS(Equipment[组合编号],B641)&lt;&gt;1,"组合编号无效",INDEX(Equipment[PLC组],MATCH(B641,Equipment[组合编号],0))))</x:f>
        <x:v>汇川中大型</x:v>
      </x:c>
      <x:c r="D641" s="30" t="str">
        <x:f>IF(B641="","",IF(COUNTIFS(Equipment[组合编号],B641)&lt;&gt;1,"组合编号无效",INDEX(Equipment[驱动品牌],MATCH(B641,Equipment[组合编号],0))))</x:f>
        <x:v>CDHD</x:v>
      </x:c>
      <x:c r="E641" s="20" t="str">
        <x:v>R04</x:v>
      </x:c>
      <x:c r="F641" s="20"/>
      <x:c r="G641" s="20"/>
      <x:c r="H641" s="20" t="str">
        <x:v>待判定</x:v>
      </x:c>
      <x:c r="I641" s="20"/>
      <x:c r="J641" s="20" t="str">
        <x:v>未测试</x:v>
      </x:c>
      <x:c r="K641" s="20"/>
      <x:c r="L641" s="20"/>
      <x:c r="M641" s="20"/>
      <x:c r="N641" s="20"/>
      <x:c r="O641" s="31"/>
      <x:c r="P641" s="20"/>
      <x:c r="Q641" s="20"/>
      <x:c r="R641" s="20" t="str">
        <x:v>待展开</x:v>
      </x:c>
      <x:c r="S641" s="20"/>
      <x:c r="T641" s="31"/>
      <x:c r="U641" s="30" t="str">
        <x:f>IF(A641="","缺记录编号",IF(COUNTIFS(PathRecords[记录编号],A641)&lt;&gt;1,"记录编号重复",IF(OR(B641="",E641=""),"缺组合/功能",IF(COUNTIFS(Equipment[组合编号],B641)&lt;&gt;1,"组合编号无效",IF(COUNTIFS(FunctionMatrix[编号],E641)=0,"功能编号无效",IF(H641="不适用",IF(J641="已实测","适用性冲突",IF(I641="","待补不适用依据","不适用（非实测）")),IF(J641="阻塞",IF(I641="","待补阻塞原因","阻塞（非实测）"),IF(J641&lt;&gt;"已实测",IF(F641="","待展开路径","未实测"),IF(H641&lt;&gt;"适用","待确认适用性",IF(INDEX(Equipment[登记状态（自动）],MATCH(B641,Equipment[组合编号],0))&lt;&gt;"已登记","待补设备组合",IF(AND(F641&lt;&gt;"",G641&lt;&gt;"",K641&lt;&gt;"",L641&lt;&gt;"",M641&lt;&gt;"",N641&lt;&gt;"",ISNUMBER(O641),O641&gt;0,P641&lt;&gt;""),"记录齐全","待补实测记录")))))))))))</x:f>
        <x:v>待展开路径</x:v>
      </x:c>
    </x:row>
    <x:row r="642" ht="43.5" customHeight="1">
      <x:c r="A642" s="20" t="str">
        <x:v>REC-00633</x:v>
      </x:c>
      <x:c r="B642" s="20" t="str">
        <x:v>P2-B1-01</x:v>
      </x:c>
      <x:c r="C642" s="30" t="str">
        <x:f>IF(B642="","",IF(COUNTIFS(Equipment[组合编号],B642)&lt;&gt;1,"组合编号无效",INDEX(Equipment[PLC组],MATCH(B642,Equipment[组合编号],0))))</x:f>
        <x:v>汇川中大型</x:v>
      </x:c>
      <x:c r="D642" s="30" t="str">
        <x:f>IF(B642="","",IF(COUNTIFS(Equipment[组合编号],B642)&lt;&gt;1,"组合编号无效",INDEX(Equipment[驱动品牌],MATCH(B642,Equipment[组合编号],0))))</x:f>
        <x:v>CDHD</x:v>
      </x:c>
      <x:c r="E642" s="20" t="str">
        <x:v>R05</x:v>
      </x:c>
      <x:c r="F642" s="20"/>
      <x:c r="G642" s="20"/>
      <x:c r="H642" s="20" t="str">
        <x:v>待判定</x:v>
      </x:c>
      <x:c r="I642" s="20"/>
      <x:c r="J642" s="20" t="str">
        <x:v>未测试</x:v>
      </x:c>
      <x:c r="K642" s="20"/>
      <x:c r="L642" s="20"/>
      <x:c r="M642" s="20"/>
      <x:c r="N642" s="20"/>
      <x:c r="O642" s="31"/>
      <x:c r="P642" s="20"/>
      <x:c r="Q642" s="20"/>
      <x:c r="R642" s="20" t="str">
        <x:v>待展开</x:v>
      </x:c>
      <x:c r="S642" s="20"/>
      <x:c r="T642" s="31"/>
      <x:c r="U642" s="30" t="str">
        <x:f>IF(A642="","缺记录编号",IF(COUNTIFS(PathRecords[记录编号],A642)&lt;&gt;1,"记录编号重复",IF(OR(B642="",E642=""),"缺组合/功能",IF(COUNTIFS(Equipment[组合编号],B642)&lt;&gt;1,"组合编号无效",IF(COUNTIFS(FunctionMatrix[编号],E642)=0,"功能编号无效",IF(H642="不适用",IF(J642="已实测","适用性冲突",IF(I642="","待补不适用依据","不适用（非实测）")),IF(J642="阻塞",IF(I642="","待补阻塞原因","阻塞（非实测）"),IF(J642&lt;&gt;"已实测",IF(F642="","待展开路径","未实测"),IF(H642&lt;&gt;"适用","待确认适用性",IF(INDEX(Equipment[登记状态（自动）],MATCH(B642,Equipment[组合编号],0))&lt;&gt;"已登记","待补设备组合",IF(AND(F642&lt;&gt;"",G642&lt;&gt;"",K642&lt;&gt;"",L642&lt;&gt;"",M642&lt;&gt;"",N642&lt;&gt;"",ISNUMBER(O642),O642&gt;0,P642&lt;&gt;""),"记录齐全","待补实测记录")))))))))))</x:f>
        <x:v>待展开路径</x:v>
      </x:c>
    </x:row>
    <x:row r="643" ht="43.5" customHeight="1">
      <x:c r="A643" s="20" t="str">
        <x:v>REC-00634</x:v>
      </x:c>
      <x:c r="B643" s="20" t="str">
        <x:v>P2-B1-01</x:v>
      </x:c>
      <x:c r="C643" s="30" t="str">
        <x:f>IF(B643="","",IF(COUNTIFS(Equipment[组合编号],B643)&lt;&gt;1,"组合编号无效",INDEX(Equipment[PLC组],MATCH(B643,Equipment[组合编号],0))))</x:f>
        <x:v>汇川中大型</x:v>
      </x:c>
      <x:c r="D643" s="30" t="str">
        <x:f>IF(B643="","",IF(COUNTIFS(Equipment[组合编号],B643)&lt;&gt;1,"组合编号无效",INDEX(Equipment[驱动品牌],MATCH(B643,Equipment[组合编号],0))))</x:f>
        <x:v>CDHD</x:v>
      </x:c>
      <x:c r="E643" s="20" t="str">
        <x:v>R06</x:v>
      </x:c>
      <x:c r="F643" s="20"/>
      <x:c r="G643" s="20"/>
      <x:c r="H643" s="20" t="str">
        <x:v>待判定</x:v>
      </x:c>
      <x:c r="I643" s="20"/>
      <x:c r="J643" s="20" t="str">
        <x:v>未测试</x:v>
      </x:c>
      <x:c r="K643" s="20"/>
      <x:c r="L643" s="20"/>
      <x:c r="M643" s="20"/>
      <x:c r="N643" s="20"/>
      <x:c r="O643" s="31"/>
      <x:c r="P643" s="20"/>
      <x:c r="Q643" s="20"/>
      <x:c r="R643" s="20" t="str">
        <x:v>待展开</x:v>
      </x:c>
      <x:c r="S643" s="20"/>
      <x:c r="T643" s="31"/>
      <x:c r="U643" s="30" t="str">
        <x:f>IF(A643="","缺记录编号",IF(COUNTIFS(PathRecords[记录编号],A643)&lt;&gt;1,"记录编号重复",IF(OR(B643="",E643=""),"缺组合/功能",IF(COUNTIFS(Equipment[组合编号],B643)&lt;&gt;1,"组合编号无效",IF(COUNTIFS(FunctionMatrix[编号],E643)=0,"功能编号无效",IF(H643="不适用",IF(J643="已实测","适用性冲突",IF(I643="","待补不适用依据","不适用（非实测）")),IF(J643="阻塞",IF(I643="","待补阻塞原因","阻塞（非实测）"),IF(J643&lt;&gt;"已实测",IF(F643="","待展开路径","未实测"),IF(H643&lt;&gt;"适用","待确认适用性",IF(INDEX(Equipment[登记状态（自动）],MATCH(B643,Equipment[组合编号],0))&lt;&gt;"已登记","待补设备组合",IF(AND(F643&lt;&gt;"",G643&lt;&gt;"",K643&lt;&gt;"",L643&lt;&gt;"",M643&lt;&gt;"",N643&lt;&gt;"",ISNUMBER(O643),O643&gt;0,P643&lt;&gt;""),"记录齐全","待补实测记录")))))))))))</x:f>
        <x:v>待展开路径</x:v>
      </x:c>
    </x:row>
    <x:row r="644" ht="43.5" customHeight="1">
      <x:c r="A644" s="20" t="str">
        <x:v>REC-00635</x:v>
      </x:c>
      <x:c r="B644" s="20" t="str">
        <x:v>P2-B1-01</x:v>
      </x:c>
      <x:c r="C644" s="30" t="str">
        <x:f>IF(B644="","",IF(COUNTIFS(Equipment[组合编号],B644)&lt;&gt;1,"组合编号无效",INDEX(Equipment[PLC组],MATCH(B644,Equipment[组合编号],0))))</x:f>
        <x:v>汇川中大型</x:v>
      </x:c>
      <x:c r="D644" s="30" t="str">
        <x:f>IF(B644="","",IF(COUNTIFS(Equipment[组合编号],B644)&lt;&gt;1,"组合编号无效",INDEX(Equipment[驱动品牌],MATCH(B644,Equipment[组合编号],0))))</x:f>
        <x:v>CDHD</x:v>
      </x:c>
      <x:c r="E644" s="20" t="str">
        <x:v>R07</x:v>
      </x:c>
      <x:c r="F644" s="20"/>
      <x:c r="G644" s="20"/>
      <x:c r="H644" s="20" t="str">
        <x:v>待判定</x:v>
      </x:c>
      <x:c r="I644" s="20"/>
      <x:c r="J644" s="20" t="str">
        <x:v>未测试</x:v>
      </x:c>
      <x:c r="K644" s="20"/>
      <x:c r="L644" s="20"/>
      <x:c r="M644" s="20"/>
      <x:c r="N644" s="20"/>
      <x:c r="O644" s="31"/>
      <x:c r="P644" s="20"/>
      <x:c r="Q644" s="20"/>
      <x:c r="R644" s="20" t="str">
        <x:v>待展开</x:v>
      </x:c>
      <x:c r="S644" s="20"/>
      <x:c r="T644" s="31"/>
      <x:c r="U644" s="30" t="str">
        <x:f>IF(A644="","缺记录编号",IF(COUNTIFS(PathRecords[记录编号],A644)&lt;&gt;1,"记录编号重复",IF(OR(B644="",E644=""),"缺组合/功能",IF(COUNTIFS(Equipment[组合编号],B644)&lt;&gt;1,"组合编号无效",IF(COUNTIFS(FunctionMatrix[编号],E644)=0,"功能编号无效",IF(H644="不适用",IF(J644="已实测","适用性冲突",IF(I644="","待补不适用依据","不适用（非实测）")),IF(J644="阻塞",IF(I644="","待补阻塞原因","阻塞（非实测）"),IF(J644&lt;&gt;"已实测",IF(F644="","待展开路径","未实测"),IF(H644&lt;&gt;"适用","待确认适用性",IF(INDEX(Equipment[登记状态（自动）],MATCH(B644,Equipment[组合编号],0))&lt;&gt;"已登记","待补设备组合",IF(AND(F644&lt;&gt;"",G644&lt;&gt;"",K644&lt;&gt;"",L644&lt;&gt;"",M644&lt;&gt;"",N644&lt;&gt;"",ISNUMBER(O644),O644&gt;0,P644&lt;&gt;""),"记录齐全","待补实测记录")))))))))))</x:f>
        <x:v>待展开路径</x:v>
      </x:c>
    </x:row>
    <x:row r="645" ht="43.5" customHeight="1">
      <x:c r="A645" s="20" t="str">
        <x:v>REC-00636</x:v>
      </x:c>
      <x:c r="B645" s="20" t="str">
        <x:v>P2-B1-01</x:v>
      </x:c>
      <x:c r="C645" s="30" t="str">
        <x:f>IF(B645="","",IF(COUNTIFS(Equipment[组合编号],B645)&lt;&gt;1,"组合编号无效",INDEX(Equipment[PLC组],MATCH(B645,Equipment[组合编号],0))))</x:f>
        <x:v>汇川中大型</x:v>
      </x:c>
      <x:c r="D645" s="30" t="str">
        <x:f>IF(B645="","",IF(COUNTIFS(Equipment[组合编号],B645)&lt;&gt;1,"组合编号无效",INDEX(Equipment[驱动品牌],MATCH(B645,Equipment[组合编号],0))))</x:f>
        <x:v>CDHD</x:v>
      </x:c>
      <x:c r="E645" s="20" t="str">
        <x:v>R08</x:v>
      </x:c>
      <x:c r="F645" s="20"/>
      <x:c r="G645" s="20"/>
      <x:c r="H645" s="20" t="str">
        <x:v>待判定</x:v>
      </x:c>
      <x:c r="I645" s="20"/>
      <x:c r="J645" s="20" t="str">
        <x:v>未测试</x:v>
      </x:c>
      <x:c r="K645" s="20"/>
      <x:c r="L645" s="20"/>
      <x:c r="M645" s="20"/>
      <x:c r="N645" s="20"/>
      <x:c r="O645" s="31"/>
      <x:c r="P645" s="20"/>
      <x:c r="Q645" s="20"/>
      <x:c r="R645" s="20" t="str">
        <x:v>待展开</x:v>
      </x:c>
      <x:c r="S645" s="20"/>
      <x:c r="T645" s="31"/>
      <x:c r="U645" s="30" t="str">
        <x:f>IF(A645="","缺记录编号",IF(COUNTIFS(PathRecords[记录编号],A645)&lt;&gt;1,"记录编号重复",IF(OR(B645="",E645=""),"缺组合/功能",IF(COUNTIFS(Equipment[组合编号],B645)&lt;&gt;1,"组合编号无效",IF(COUNTIFS(FunctionMatrix[编号],E645)=0,"功能编号无效",IF(H645="不适用",IF(J645="已实测","适用性冲突",IF(I645="","待补不适用依据","不适用（非实测）")),IF(J645="阻塞",IF(I645="","待补阻塞原因","阻塞（非实测）"),IF(J645&lt;&gt;"已实测",IF(F645="","待展开路径","未实测"),IF(H645&lt;&gt;"适用","待确认适用性",IF(INDEX(Equipment[登记状态（自动）],MATCH(B645,Equipment[组合编号],0))&lt;&gt;"已登记","待补设备组合",IF(AND(F645&lt;&gt;"",G645&lt;&gt;"",K645&lt;&gt;"",L645&lt;&gt;"",M645&lt;&gt;"",N645&lt;&gt;"",ISNUMBER(O645),O645&gt;0,P645&lt;&gt;""),"记录齐全","待补实测记录")))))))))))</x:f>
        <x:v>待展开路径</x:v>
      </x:c>
    </x:row>
    <x:row r="646" ht="43.5" customHeight="1">
      <x:c r="A646" s="20" t="str">
        <x:v>REC-00637</x:v>
      </x:c>
      <x:c r="B646" s="20" t="str">
        <x:v>P2-B2-01</x:v>
      </x:c>
      <x:c r="C646" s="30" t="str">
        <x:f>IF(B646="","",IF(COUNTIFS(Equipment[组合编号],B646)&lt;&gt;1,"组合编号无效",INDEX(Equipment[PLC组],MATCH(B646,Equipment[组合编号],0))))</x:f>
        <x:v>汇川中大型</x:v>
      </x:c>
      <x:c r="D646" s="30" t="str">
        <x:f>IF(B646="","",IF(COUNTIFS(Equipment[组合编号],B646)&lt;&gt;1,"组合编号无效",INDEX(Equipment[驱动品牌],MATCH(B646,Equipment[组合编号],0))))</x:f>
        <x:v>台达</x:v>
      </x:c>
      <x:c r="E646" s="20" t="str">
        <x:v>M01</x:v>
      </x:c>
      <x:c r="F646" s="20"/>
      <x:c r="G646" s="20"/>
      <x:c r="H646" s="20" t="str">
        <x:v>待判定</x:v>
      </x:c>
      <x:c r="I646" s="20"/>
      <x:c r="J646" s="20" t="str">
        <x:v>未测试</x:v>
      </x:c>
      <x:c r="K646" s="20"/>
      <x:c r="L646" s="20"/>
      <x:c r="M646" s="20"/>
      <x:c r="N646" s="20"/>
      <x:c r="O646" s="31"/>
      <x:c r="P646" s="20"/>
      <x:c r="Q646" s="20"/>
      <x:c r="R646" s="20" t="str">
        <x:v>待展开</x:v>
      </x:c>
      <x:c r="S646" s="20"/>
      <x:c r="T646" s="31"/>
      <x:c r="U646" s="30" t="str">
        <x:f>IF(A646="","缺记录编号",IF(COUNTIFS(PathRecords[记录编号],A646)&lt;&gt;1,"记录编号重复",IF(OR(B646="",E646=""),"缺组合/功能",IF(COUNTIFS(Equipment[组合编号],B646)&lt;&gt;1,"组合编号无效",IF(COUNTIFS(FunctionMatrix[编号],E646)=0,"功能编号无效",IF(H646="不适用",IF(J646="已实测","适用性冲突",IF(I646="","待补不适用依据","不适用（非实测）")),IF(J646="阻塞",IF(I646="","待补阻塞原因","阻塞（非实测）"),IF(J646&lt;&gt;"已实测",IF(F646="","待展开路径","未实测"),IF(H646&lt;&gt;"适用","待确认适用性",IF(INDEX(Equipment[登记状态（自动）],MATCH(B646,Equipment[组合编号],0))&lt;&gt;"已登记","待补设备组合",IF(AND(F646&lt;&gt;"",G646&lt;&gt;"",K646&lt;&gt;"",L646&lt;&gt;"",M646&lt;&gt;"",N646&lt;&gt;"",ISNUMBER(O646),O646&gt;0,P646&lt;&gt;""),"记录齐全","待补实测记录")))))))))))</x:f>
        <x:v>待展开路径</x:v>
      </x:c>
    </x:row>
    <x:row r="647" ht="43.5" customHeight="1">
      <x:c r="A647" s="20" t="str">
        <x:v>REC-00638</x:v>
      </x:c>
      <x:c r="B647" s="20" t="str">
        <x:v>P2-B2-01</x:v>
      </x:c>
      <x:c r="C647" s="30" t="str">
        <x:f>IF(B647="","",IF(COUNTIFS(Equipment[组合编号],B647)&lt;&gt;1,"组合编号无效",INDEX(Equipment[PLC组],MATCH(B647,Equipment[组合编号],0))))</x:f>
        <x:v>汇川中大型</x:v>
      </x:c>
      <x:c r="D647" s="30" t="str">
        <x:f>IF(B647="","",IF(COUNTIFS(Equipment[组合编号],B647)&lt;&gt;1,"组合编号无效",INDEX(Equipment[驱动品牌],MATCH(B647,Equipment[组合编号],0))))</x:f>
        <x:v>台达</x:v>
      </x:c>
      <x:c r="E647" s="20" t="str">
        <x:v>M02</x:v>
      </x:c>
      <x:c r="F647" s="20"/>
      <x:c r="G647" s="20"/>
      <x:c r="H647" s="20" t="str">
        <x:v>待判定</x:v>
      </x:c>
      <x:c r="I647" s="20"/>
      <x:c r="J647" s="20" t="str">
        <x:v>未测试</x:v>
      </x:c>
      <x:c r="K647" s="20"/>
      <x:c r="L647" s="20"/>
      <x:c r="M647" s="20"/>
      <x:c r="N647" s="20"/>
      <x:c r="O647" s="31"/>
      <x:c r="P647" s="20"/>
      <x:c r="Q647" s="20"/>
      <x:c r="R647" s="20" t="str">
        <x:v>待展开</x:v>
      </x:c>
      <x:c r="S647" s="20"/>
      <x:c r="T647" s="31"/>
      <x:c r="U647" s="30" t="str">
        <x:f>IF(A647="","缺记录编号",IF(COUNTIFS(PathRecords[记录编号],A647)&lt;&gt;1,"记录编号重复",IF(OR(B647="",E647=""),"缺组合/功能",IF(COUNTIFS(Equipment[组合编号],B647)&lt;&gt;1,"组合编号无效",IF(COUNTIFS(FunctionMatrix[编号],E647)=0,"功能编号无效",IF(H647="不适用",IF(J647="已实测","适用性冲突",IF(I647="","待补不适用依据","不适用（非实测）")),IF(J647="阻塞",IF(I647="","待补阻塞原因","阻塞（非实测）"),IF(J647&lt;&gt;"已实测",IF(F647="","待展开路径","未实测"),IF(H647&lt;&gt;"适用","待确认适用性",IF(INDEX(Equipment[登记状态（自动）],MATCH(B647,Equipment[组合编号],0))&lt;&gt;"已登记","待补设备组合",IF(AND(F647&lt;&gt;"",G647&lt;&gt;"",K647&lt;&gt;"",L647&lt;&gt;"",M647&lt;&gt;"",N647&lt;&gt;"",ISNUMBER(O647),O647&gt;0,P647&lt;&gt;""),"记录齐全","待补实测记录")))))))))))</x:f>
        <x:v>待展开路径</x:v>
      </x:c>
    </x:row>
    <x:row r="648" ht="43.5" customHeight="1">
      <x:c r="A648" s="20" t="str">
        <x:v>REC-00639</x:v>
      </x:c>
      <x:c r="B648" s="20" t="str">
        <x:v>P2-B2-01</x:v>
      </x:c>
      <x:c r="C648" s="30" t="str">
        <x:f>IF(B648="","",IF(COUNTIFS(Equipment[组合编号],B648)&lt;&gt;1,"组合编号无效",INDEX(Equipment[PLC组],MATCH(B648,Equipment[组合编号],0))))</x:f>
        <x:v>汇川中大型</x:v>
      </x:c>
      <x:c r="D648" s="30" t="str">
        <x:f>IF(B648="","",IF(COUNTIFS(Equipment[组合编号],B648)&lt;&gt;1,"组合编号无效",INDEX(Equipment[驱动品牌],MATCH(B648,Equipment[组合编号],0))))</x:f>
        <x:v>台达</x:v>
      </x:c>
      <x:c r="E648" s="20" t="str">
        <x:v>M03</x:v>
      </x:c>
      <x:c r="F648" s="20"/>
      <x:c r="G648" s="20"/>
      <x:c r="H648" s="20" t="str">
        <x:v>待判定</x:v>
      </x:c>
      <x:c r="I648" s="20"/>
      <x:c r="J648" s="20" t="str">
        <x:v>未测试</x:v>
      </x:c>
      <x:c r="K648" s="20"/>
      <x:c r="L648" s="20"/>
      <x:c r="M648" s="20"/>
      <x:c r="N648" s="20"/>
      <x:c r="O648" s="31"/>
      <x:c r="P648" s="20"/>
      <x:c r="Q648" s="20"/>
      <x:c r="R648" s="20" t="str">
        <x:v>待展开</x:v>
      </x:c>
      <x:c r="S648" s="20"/>
      <x:c r="T648" s="31"/>
      <x:c r="U648" s="30" t="str">
        <x:f>IF(A648="","缺记录编号",IF(COUNTIFS(PathRecords[记录编号],A648)&lt;&gt;1,"记录编号重复",IF(OR(B648="",E648=""),"缺组合/功能",IF(COUNTIFS(Equipment[组合编号],B648)&lt;&gt;1,"组合编号无效",IF(COUNTIFS(FunctionMatrix[编号],E648)=0,"功能编号无效",IF(H648="不适用",IF(J648="已实测","适用性冲突",IF(I648="","待补不适用依据","不适用（非实测）")),IF(J648="阻塞",IF(I648="","待补阻塞原因","阻塞（非实测）"),IF(J648&lt;&gt;"已实测",IF(F648="","待展开路径","未实测"),IF(H648&lt;&gt;"适用","待确认适用性",IF(INDEX(Equipment[登记状态（自动）],MATCH(B648,Equipment[组合编号],0))&lt;&gt;"已登记","待补设备组合",IF(AND(F648&lt;&gt;"",G648&lt;&gt;"",K648&lt;&gt;"",L648&lt;&gt;"",M648&lt;&gt;"",N648&lt;&gt;"",ISNUMBER(O648),O648&gt;0,P648&lt;&gt;""),"记录齐全","待补实测记录")))))))))))</x:f>
        <x:v>待展开路径</x:v>
      </x:c>
    </x:row>
    <x:row r="649" ht="43.5" customHeight="1">
      <x:c r="A649" s="20" t="str">
        <x:v>REC-00640</x:v>
      </x:c>
      <x:c r="B649" s="20" t="str">
        <x:v>P2-B2-01</x:v>
      </x:c>
      <x:c r="C649" s="30" t="str">
        <x:f>IF(B649="","",IF(COUNTIFS(Equipment[组合编号],B649)&lt;&gt;1,"组合编号无效",INDEX(Equipment[PLC组],MATCH(B649,Equipment[组合编号],0))))</x:f>
        <x:v>汇川中大型</x:v>
      </x:c>
      <x:c r="D649" s="30" t="str">
        <x:f>IF(B649="","",IF(COUNTIFS(Equipment[组合编号],B649)&lt;&gt;1,"组合编号无效",INDEX(Equipment[驱动品牌],MATCH(B649,Equipment[组合编号],0))))</x:f>
        <x:v>台达</x:v>
      </x:c>
      <x:c r="E649" s="20" t="str">
        <x:v>M04</x:v>
      </x:c>
      <x:c r="F649" s="20"/>
      <x:c r="G649" s="20"/>
      <x:c r="H649" s="20" t="str">
        <x:v>待判定</x:v>
      </x:c>
      <x:c r="I649" s="20"/>
      <x:c r="J649" s="20" t="str">
        <x:v>未测试</x:v>
      </x:c>
      <x:c r="K649" s="20"/>
      <x:c r="L649" s="20"/>
      <x:c r="M649" s="20"/>
      <x:c r="N649" s="20"/>
      <x:c r="O649" s="31"/>
      <x:c r="P649" s="20"/>
      <x:c r="Q649" s="20"/>
      <x:c r="R649" s="20" t="str">
        <x:v>待展开</x:v>
      </x:c>
      <x:c r="S649" s="20"/>
      <x:c r="T649" s="31"/>
      <x:c r="U649" s="30" t="str">
        <x:f>IF(A649="","缺记录编号",IF(COUNTIFS(PathRecords[记录编号],A649)&lt;&gt;1,"记录编号重复",IF(OR(B649="",E649=""),"缺组合/功能",IF(COUNTIFS(Equipment[组合编号],B649)&lt;&gt;1,"组合编号无效",IF(COUNTIFS(FunctionMatrix[编号],E649)=0,"功能编号无效",IF(H649="不适用",IF(J649="已实测","适用性冲突",IF(I649="","待补不适用依据","不适用（非实测）")),IF(J649="阻塞",IF(I649="","待补阻塞原因","阻塞（非实测）"),IF(J649&lt;&gt;"已实测",IF(F649="","待展开路径","未实测"),IF(H649&lt;&gt;"适用","待确认适用性",IF(INDEX(Equipment[登记状态（自动）],MATCH(B649,Equipment[组合编号],0))&lt;&gt;"已登记","待补设备组合",IF(AND(F649&lt;&gt;"",G649&lt;&gt;"",K649&lt;&gt;"",L649&lt;&gt;"",M649&lt;&gt;"",N649&lt;&gt;"",ISNUMBER(O649),O649&gt;0,P649&lt;&gt;""),"记录齐全","待补实测记录")))))))))))</x:f>
        <x:v>待展开路径</x:v>
      </x:c>
    </x:row>
    <x:row r="650" ht="43.5" customHeight="1">
      <x:c r="A650" s="20" t="str">
        <x:v>REC-00641</x:v>
      </x:c>
      <x:c r="B650" s="20" t="str">
        <x:v>P2-B2-01</x:v>
      </x:c>
      <x:c r="C650" s="30" t="str">
        <x:f>IF(B650="","",IF(COUNTIFS(Equipment[组合编号],B650)&lt;&gt;1,"组合编号无效",INDEX(Equipment[PLC组],MATCH(B650,Equipment[组合编号],0))))</x:f>
        <x:v>汇川中大型</x:v>
      </x:c>
      <x:c r="D650" s="30" t="str">
        <x:f>IF(B650="","",IF(COUNTIFS(Equipment[组合编号],B650)&lt;&gt;1,"组合编号无效",INDEX(Equipment[驱动品牌],MATCH(B650,Equipment[组合编号],0))))</x:f>
        <x:v>台达</x:v>
      </x:c>
      <x:c r="E650" s="20" t="str">
        <x:v>M05</x:v>
      </x:c>
      <x:c r="F650" s="20"/>
      <x:c r="G650" s="20"/>
      <x:c r="H650" s="20" t="str">
        <x:v>待判定</x:v>
      </x:c>
      <x:c r="I650" s="20"/>
      <x:c r="J650" s="20" t="str">
        <x:v>未测试</x:v>
      </x:c>
      <x:c r="K650" s="20"/>
      <x:c r="L650" s="20"/>
      <x:c r="M650" s="20"/>
      <x:c r="N650" s="20"/>
      <x:c r="O650" s="31"/>
      <x:c r="P650" s="20"/>
      <x:c r="Q650" s="20"/>
      <x:c r="R650" s="20" t="str">
        <x:v>待展开</x:v>
      </x:c>
      <x:c r="S650" s="20"/>
      <x:c r="T650" s="31"/>
      <x:c r="U650" s="30" t="str">
        <x:f>IF(A650="","缺记录编号",IF(COUNTIFS(PathRecords[记录编号],A650)&lt;&gt;1,"记录编号重复",IF(OR(B650="",E650=""),"缺组合/功能",IF(COUNTIFS(Equipment[组合编号],B650)&lt;&gt;1,"组合编号无效",IF(COUNTIFS(FunctionMatrix[编号],E650)=0,"功能编号无效",IF(H650="不适用",IF(J650="已实测","适用性冲突",IF(I650="","待补不适用依据","不适用（非实测）")),IF(J650="阻塞",IF(I650="","待补阻塞原因","阻塞（非实测）"),IF(J650&lt;&gt;"已实测",IF(F650="","待展开路径","未实测"),IF(H650&lt;&gt;"适用","待确认适用性",IF(INDEX(Equipment[登记状态（自动）],MATCH(B650,Equipment[组合编号],0))&lt;&gt;"已登记","待补设备组合",IF(AND(F650&lt;&gt;"",G650&lt;&gt;"",K650&lt;&gt;"",L650&lt;&gt;"",M650&lt;&gt;"",N650&lt;&gt;"",ISNUMBER(O650),O650&gt;0,P650&lt;&gt;""),"记录齐全","待补实测记录")))))))))))</x:f>
        <x:v>待展开路径</x:v>
      </x:c>
    </x:row>
    <x:row r="651" ht="43.5" customHeight="1">
      <x:c r="A651" s="20" t="str">
        <x:v>REC-00642</x:v>
      </x:c>
      <x:c r="B651" s="20" t="str">
        <x:v>P2-B2-01</x:v>
      </x:c>
      <x:c r="C651" s="30" t="str">
        <x:f>IF(B651="","",IF(COUNTIFS(Equipment[组合编号],B651)&lt;&gt;1,"组合编号无效",INDEX(Equipment[PLC组],MATCH(B651,Equipment[组合编号],0))))</x:f>
        <x:v>汇川中大型</x:v>
      </x:c>
      <x:c r="D651" s="30" t="str">
        <x:f>IF(B651="","",IF(COUNTIFS(Equipment[组合编号],B651)&lt;&gt;1,"组合编号无效",INDEX(Equipment[驱动品牌],MATCH(B651,Equipment[组合编号],0))))</x:f>
        <x:v>台达</x:v>
      </x:c>
      <x:c r="E651" s="20" t="str">
        <x:v>M06</x:v>
      </x:c>
      <x:c r="F651" s="20"/>
      <x:c r="G651" s="20"/>
      <x:c r="H651" s="20" t="str">
        <x:v>待判定</x:v>
      </x:c>
      <x:c r="I651" s="20"/>
      <x:c r="J651" s="20" t="str">
        <x:v>未测试</x:v>
      </x:c>
      <x:c r="K651" s="20"/>
      <x:c r="L651" s="20"/>
      <x:c r="M651" s="20"/>
      <x:c r="N651" s="20"/>
      <x:c r="O651" s="31"/>
      <x:c r="P651" s="20"/>
      <x:c r="Q651" s="20"/>
      <x:c r="R651" s="20" t="str">
        <x:v>待展开</x:v>
      </x:c>
      <x:c r="S651" s="20"/>
      <x:c r="T651" s="31"/>
      <x:c r="U651" s="30" t="str">
        <x:f>IF(A651="","缺记录编号",IF(COUNTIFS(PathRecords[记录编号],A651)&lt;&gt;1,"记录编号重复",IF(OR(B651="",E651=""),"缺组合/功能",IF(COUNTIFS(Equipment[组合编号],B651)&lt;&gt;1,"组合编号无效",IF(COUNTIFS(FunctionMatrix[编号],E651)=0,"功能编号无效",IF(H651="不适用",IF(J651="已实测","适用性冲突",IF(I651="","待补不适用依据","不适用（非实测）")),IF(J651="阻塞",IF(I651="","待补阻塞原因","阻塞（非实测）"),IF(J651&lt;&gt;"已实测",IF(F651="","待展开路径","未实测"),IF(H651&lt;&gt;"适用","待确认适用性",IF(INDEX(Equipment[登记状态（自动）],MATCH(B651,Equipment[组合编号],0))&lt;&gt;"已登记","待补设备组合",IF(AND(F651&lt;&gt;"",G651&lt;&gt;"",K651&lt;&gt;"",L651&lt;&gt;"",M651&lt;&gt;"",N651&lt;&gt;"",ISNUMBER(O651),O651&gt;0,P651&lt;&gt;""),"记录齐全","待补实测记录")))))))))))</x:f>
        <x:v>待展开路径</x:v>
      </x:c>
    </x:row>
    <x:row r="652" ht="43.5" customHeight="1">
      <x:c r="A652" s="20" t="str">
        <x:v>REC-00643</x:v>
      </x:c>
      <x:c r="B652" s="20" t="str">
        <x:v>P2-B2-01</x:v>
      </x:c>
      <x:c r="C652" s="30" t="str">
        <x:f>IF(B652="","",IF(COUNTIFS(Equipment[组合编号],B652)&lt;&gt;1,"组合编号无效",INDEX(Equipment[PLC组],MATCH(B652,Equipment[组合编号],0))))</x:f>
        <x:v>汇川中大型</x:v>
      </x:c>
      <x:c r="D652" s="30" t="str">
        <x:f>IF(B652="","",IF(COUNTIFS(Equipment[组合编号],B652)&lt;&gt;1,"组合编号无效",INDEX(Equipment[驱动品牌],MATCH(B652,Equipment[组合编号],0))))</x:f>
        <x:v>台达</x:v>
      </x:c>
      <x:c r="E652" s="20" t="str">
        <x:v>M07</x:v>
      </x:c>
      <x:c r="F652" s="20"/>
      <x:c r="G652" s="20"/>
      <x:c r="H652" s="20" t="str">
        <x:v>待判定</x:v>
      </x:c>
      <x:c r="I652" s="20"/>
      <x:c r="J652" s="20" t="str">
        <x:v>未测试</x:v>
      </x:c>
      <x:c r="K652" s="20"/>
      <x:c r="L652" s="20"/>
      <x:c r="M652" s="20"/>
      <x:c r="N652" s="20"/>
      <x:c r="O652" s="31"/>
      <x:c r="P652" s="20"/>
      <x:c r="Q652" s="20"/>
      <x:c r="R652" s="20" t="str">
        <x:v>待展开</x:v>
      </x:c>
      <x:c r="S652" s="20"/>
      <x:c r="T652" s="31"/>
      <x:c r="U652" s="30" t="str">
        <x:f>IF(A652="","缺记录编号",IF(COUNTIFS(PathRecords[记录编号],A652)&lt;&gt;1,"记录编号重复",IF(OR(B652="",E652=""),"缺组合/功能",IF(COUNTIFS(Equipment[组合编号],B652)&lt;&gt;1,"组合编号无效",IF(COUNTIFS(FunctionMatrix[编号],E652)=0,"功能编号无效",IF(H652="不适用",IF(J652="已实测","适用性冲突",IF(I652="","待补不适用依据","不适用（非实测）")),IF(J652="阻塞",IF(I652="","待补阻塞原因","阻塞（非实测）"),IF(J652&lt;&gt;"已实测",IF(F652="","待展开路径","未实测"),IF(H652&lt;&gt;"适用","待确认适用性",IF(INDEX(Equipment[登记状态（自动）],MATCH(B652,Equipment[组合编号],0))&lt;&gt;"已登记","待补设备组合",IF(AND(F652&lt;&gt;"",G652&lt;&gt;"",K652&lt;&gt;"",L652&lt;&gt;"",M652&lt;&gt;"",N652&lt;&gt;"",ISNUMBER(O652),O652&gt;0,P652&lt;&gt;""),"记录齐全","待补实测记录")))))))))))</x:f>
        <x:v>待展开路径</x:v>
      </x:c>
    </x:row>
    <x:row r="653" ht="43.5" customHeight="1">
      <x:c r="A653" s="20" t="str">
        <x:v>REC-00644</x:v>
      </x:c>
      <x:c r="B653" s="20" t="str">
        <x:v>P2-B2-01</x:v>
      </x:c>
      <x:c r="C653" s="30" t="str">
        <x:f>IF(B653="","",IF(COUNTIFS(Equipment[组合编号],B653)&lt;&gt;1,"组合编号无效",INDEX(Equipment[PLC组],MATCH(B653,Equipment[组合编号],0))))</x:f>
        <x:v>汇川中大型</x:v>
      </x:c>
      <x:c r="D653" s="30" t="str">
        <x:f>IF(B653="","",IF(COUNTIFS(Equipment[组合编号],B653)&lt;&gt;1,"组合编号无效",INDEX(Equipment[驱动品牌],MATCH(B653,Equipment[组合编号],0))))</x:f>
        <x:v>台达</x:v>
      </x:c>
      <x:c r="E653" s="20" t="str">
        <x:v>M09</x:v>
      </x:c>
      <x:c r="F653" s="20"/>
      <x:c r="G653" s="20"/>
      <x:c r="H653" s="20" t="str">
        <x:v>待判定</x:v>
      </x:c>
      <x:c r="I653" s="20"/>
      <x:c r="J653" s="20" t="str">
        <x:v>未测试</x:v>
      </x:c>
      <x:c r="K653" s="20"/>
      <x:c r="L653" s="20"/>
      <x:c r="M653" s="20"/>
      <x:c r="N653" s="20"/>
      <x:c r="O653" s="31"/>
      <x:c r="P653" s="20"/>
      <x:c r="Q653" s="20"/>
      <x:c r="R653" s="20" t="str">
        <x:v>待展开</x:v>
      </x:c>
      <x:c r="S653" s="20"/>
      <x:c r="T653" s="31"/>
      <x:c r="U653" s="30" t="str">
        <x:f>IF(A653="","缺记录编号",IF(COUNTIFS(PathRecords[记录编号],A653)&lt;&gt;1,"记录编号重复",IF(OR(B653="",E653=""),"缺组合/功能",IF(COUNTIFS(Equipment[组合编号],B653)&lt;&gt;1,"组合编号无效",IF(COUNTIFS(FunctionMatrix[编号],E653)=0,"功能编号无效",IF(H653="不适用",IF(J653="已实测","适用性冲突",IF(I653="","待补不适用依据","不适用（非实测）")),IF(J653="阻塞",IF(I653="","待补阻塞原因","阻塞（非实测）"),IF(J653&lt;&gt;"已实测",IF(F653="","待展开路径","未实测"),IF(H653&lt;&gt;"适用","待确认适用性",IF(INDEX(Equipment[登记状态（自动）],MATCH(B653,Equipment[组合编号],0))&lt;&gt;"已登记","待补设备组合",IF(AND(F653&lt;&gt;"",G653&lt;&gt;"",K653&lt;&gt;"",L653&lt;&gt;"",M653&lt;&gt;"",N653&lt;&gt;"",ISNUMBER(O653),O653&gt;0,P653&lt;&gt;""),"记录齐全","待补实测记录")))))))))))</x:f>
        <x:v>待展开路径</x:v>
      </x:c>
    </x:row>
    <x:row r="654" ht="43.5" customHeight="1">
      <x:c r="A654" s="20" t="str">
        <x:v>REC-00645</x:v>
      </x:c>
      <x:c r="B654" s="20" t="str">
        <x:v>P2-B2-01</x:v>
      </x:c>
      <x:c r="C654" s="30" t="str">
        <x:f>IF(B654="","",IF(COUNTIFS(Equipment[组合编号],B654)&lt;&gt;1,"组合编号无效",INDEX(Equipment[PLC组],MATCH(B654,Equipment[组合编号],0))))</x:f>
        <x:v>汇川中大型</x:v>
      </x:c>
      <x:c r="D654" s="30" t="str">
        <x:f>IF(B654="","",IF(COUNTIFS(Equipment[组合编号],B654)&lt;&gt;1,"组合编号无效",INDEX(Equipment[驱动品牌],MATCH(B654,Equipment[组合编号],0))))</x:f>
        <x:v>台达</x:v>
      </x:c>
      <x:c r="E654" s="20" t="str">
        <x:v>M10</x:v>
      </x:c>
      <x:c r="F654" s="20"/>
      <x:c r="G654" s="20"/>
      <x:c r="H654" s="20" t="str">
        <x:v>待判定</x:v>
      </x:c>
      <x:c r="I654" s="20"/>
      <x:c r="J654" s="20" t="str">
        <x:v>未测试</x:v>
      </x:c>
      <x:c r="K654" s="20"/>
      <x:c r="L654" s="20"/>
      <x:c r="M654" s="20"/>
      <x:c r="N654" s="20"/>
      <x:c r="O654" s="31"/>
      <x:c r="P654" s="20"/>
      <x:c r="Q654" s="20"/>
      <x:c r="R654" s="20" t="str">
        <x:v>待展开</x:v>
      </x:c>
      <x:c r="S654" s="20"/>
      <x:c r="T654" s="31"/>
      <x:c r="U654" s="30" t="str">
        <x:f>IF(A654="","缺记录编号",IF(COUNTIFS(PathRecords[记录编号],A654)&lt;&gt;1,"记录编号重复",IF(OR(B654="",E654=""),"缺组合/功能",IF(COUNTIFS(Equipment[组合编号],B654)&lt;&gt;1,"组合编号无效",IF(COUNTIFS(FunctionMatrix[编号],E654)=0,"功能编号无效",IF(H654="不适用",IF(J654="已实测","适用性冲突",IF(I654="","待补不适用依据","不适用（非实测）")),IF(J654="阻塞",IF(I654="","待补阻塞原因","阻塞（非实测）"),IF(J654&lt;&gt;"已实测",IF(F654="","待展开路径","未实测"),IF(H654&lt;&gt;"适用","待确认适用性",IF(INDEX(Equipment[登记状态（自动）],MATCH(B654,Equipment[组合编号],0))&lt;&gt;"已登记","待补设备组合",IF(AND(F654&lt;&gt;"",G654&lt;&gt;"",K654&lt;&gt;"",L654&lt;&gt;"",M654&lt;&gt;"",N654&lt;&gt;"",ISNUMBER(O654),O654&gt;0,P654&lt;&gt;""),"记录齐全","待补实测记录")))))))))))</x:f>
        <x:v>待展开路径</x:v>
      </x:c>
    </x:row>
    <x:row r="655" ht="43.5" customHeight="1">
      <x:c r="A655" s="20" t="str">
        <x:v>REC-00646</x:v>
      </x:c>
      <x:c r="B655" s="20" t="str">
        <x:v>P2-B2-01</x:v>
      </x:c>
      <x:c r="C655" s="30" t="str">
        <x:f>IF(B655="","",IF(COUNTIFS(Equipment[组合编号],B655)&lt;&gt;1,"组合编号无效",INDEX(Equipment[PLC组],MATCH(B655,Equipment[组合编号],0))))</x:f>
        <x:v>汇川中大型</x:v>
      </x:c>
      <x:c r="D655" s="30" t="str">
        <x:f>IF(B655="","",IF(COUNTIFS(Equipment[组合编号],B655)&lt;&gt;1,"组合编号无效",INDEX(Equipment[驱动品牌],MATCH(B655,Equipment[组合编号],0))))</x:f>
        <x:v>台达</x:v>
      </x:c>
      <x:c r="E655" s="20" t="str">
        <x:v>D01</x:v>
      </x:c>
      <x:c r="F655" s="20"/>
      <x:c r="G655" s="20"/>
      <x:c r="H655" s="20" t="str">
        <x:v>待判定</x:v>
      </x:c>
      <x:c r="I655" s="20"/>
      <x:c r="J655" s="20" t="str">
        <x:v>未测试</x:v>
      </x:c>
      <x:c r="K655" s="20"/>
      <x:c r="L655" s="20"/>
      <x:c r="M655" s="20"/>
      <x:c r="N655" s="20"/>
      <x:c r="O655" s="31"/>
      <x:c r="P655" s="20"/>
      <x:c r="Q655" s="20"/>
      <x:c r="R655" s="20" t="str">
        <x:v>待展开</x:v>
      </x:c>
      <x:c r="S655" s="20"/>
      <x:c r="T655" s="31"/>
      <x:c r="U655" s="30" t="str">
        <x:f>IF(A655="","缺记录编号",IF(COUNTIFS(PathRecords[记录编号],A655)&lt;&gt;1,"记录编号重复",IF(OR(B655="",E655=""),"缺组合/功能",IF(COUNTIFS(Equipment[组合编号],B655)&lt;&gt;1,"组合编号无效",IF(COUNTIFS(FunctionMatrix[编号],E655)=0,"功能编号无效",IF(H655="不适用",IF(J655="已实测","适用性冲突",IF(I655="","待补不适用依据","不适用（非实测）")),IF(J655="阻塞",IF(I655="","待补阻塞原因","阻塞（非实测）"),IF(J655&lt;&gt;"已实测",IF(F655="","待展开路径","未实测"),IF(H655&lt;&gt;"适用","待确认适用性",IF(INDEX(Equipment[登记状态（自动）],MATCH(B655,Equipment[组合编号],0))&lt;&gt;"已登记","待补设备组合",IF(AND(F655&lt;&gt;"",G655&lt;&gt;"",K655&lt;&gt;"",L655&lt;&gt;"",M655&lt;&gt;"",N655&lt;&gt;"",ISNUMBER(O655),O655&gt;0,P655&lt;&gt;""),"记录齐全","待补实测记录")))))))))))</x:f>
        <x:v>待展开路径</x:v>
      </x:c>
    </x:row>
    <x:row r="656" ht="43.5" customHeight="1">
      <x:c r="A656" s="20" t="str">
        <x:v>REC-00647</x:v>
      </x:c>
      <x:c r="B656" s="20" t="str">
        <x:v>P2-B2-01</x:v>
      </x:c>
      <x:c r="C656" s="30" t="str">
        <x:f>IF(B656="","",IF(COUNTIFS(Equipment[组合编号],B656)&lt;&gt;1,"组合编号无效",INDEX(Equipment[PLC组],MATCH(B656,Equipment[组合编号],0))))</x:f>
        <x:v>汇川中大型</x:v>
      </x:c>
      <x:c r="D656" s="30" t="str">
        <x:f>IF(B656="","",IF(COUNTIFS(Equipment[组合编号],B656)&lt;&gt;1,"组合编号无效",INDEX(Equipment[驱动品牌],MATCH(B656,Equipment[组合编号],0))))</x:f>
        <x:v>台达</x:v>
      </x:c>
      <x:c r="E656" s="20" t="str">
        <x:v>D02</x:v>
      </x:c>
      <x:c r="F656" s="20"/>
      <x:c r="G656" s="20"/>
      <x:c r="H656" s="20" t="str">
        <x:v>待判定</x:v>
      </x:c>
      <x:c r="I656" s="20"/>
      <x:c r="J656" s="20" t="str">
        <x:v>未测试</x:v>
      </x:c>
      <x:c r="K656" s="20"/>
      <x:c r="L656" s="20"/>
      <x:c r="M656" s="20"/>
      <x:c r="N656" s="20"/>
      <x:c r="O656" s="31"/>
      <x:c r="P656" s="20"/>
      <x:c r="Q656" s="20"/>
      <x:c r="R656" s="20" t="str">
        <x:v>待展开</x:v>
      </x:c>
      <x:c r="S656" s="20"/>
      <x:c r="T656" s="31"/>
      <x:c r="U656" s="30" t="str">
        <x:f>IF(A656="","缺记录编号",IF(COUNTIFS(PathRecords[记录编号],A656)&lt;&gt;1,"记录编号重复",IF(OR(B656="",E656=""),"缺组合/功能",IF(COUNTIFS(Equipment[组合编号],B656)&lt;&gt;1,"组合编号无效",IF(COUNTIFS(FunctionMatrix[编号],E656)=0,"功能编号无效",IF(H656="不适用",IF(J656="已实测","适用性冲突",IF(I656="","待补不适用依据","不适用（非实测）")),IF(J656="阻塞",IF(I656="","待补阻塞原因","阻塞（非实测）"),IF(J656&lt;&gt;"已实测",IF(F656="","待展开路径","未实测"),IF(H656&lt;&gt;"适用","待确认适用性",IF(INDEX(Equipment[登记状态（自动）],MATCH(B656,Equipment[组合编号],0))&lt;&gt;"已登记","待补设备组合",IF(AND(F656&lt;&gt;"",G656&lt;&gt;"",K656&lt;&gt;"",L656&lt;&gt;"",M656&lt;&gt;"",N656&lt;&gt;"",ISNUMBER(O656),O656&gt;0,P656&lt;&gt;""),"记录齐全","待补实测记录")))))))))))</x:f>
        <x:v>待展开路径</x:v>
      </x:c>
    </x:row>
    <x:row r="657" ht="43.5" customHeight="1">
      <x:c r="A657" s="20" t="str">
        <x:v>REC-00648</x:v>
      </x:c>
      <x:c r="B657" s="20" t="str">
        <x:v>P2-B2-01</x:v>
      </x:c>
      <x:c r="C657" s="30" t="str">
        <x:f>IF(B657="","",IF(COUNTIFS(Equipment[组合编号],B657)&lt;&gt;1,"组合编号无效",INDEX(Equipment[PLC组],MATCH(B657,Equipment[组合编号],0))))</x:f>
        <x:v>汇川中大型</x:v>
      </x:c>
      <x:c r="D657" s="30" t="str">
        <x:f>IF(B657="","",IF(COUNTIFS(Equipment[组合编号],B657)&lt;&gt;1,"组合编号无效",INDEX(Equipment[驱动品牌],MATCH(B657,Equipment[组合编号],0))))</x:f>
        <x:v>台达</x:v>
      </x:c>
      <x:c r="E657" s="20" t="str">
        <x:v>D03</x:v>
      </x:c>
      <x:c r="F657" s="20"/>
      <x:c r="G657" s="20"/>
      <x:c r="H657" s="20" t="str">
        <x:v>待判定</x:v>
      </x:c>
      <x:c r="I657" s="20"/>
      <x:c r="J657" s="20" t="str">
        <x:v>未测试</x:v>
      </x:c>
      <x:c r="K657" s="20"/>
      <x:c r="L657" s="20"/>
      <x:c r="M657" s="20"/>
      <x:c r="N657" s="20"/>
      <x:c r="O657" s="31"/>
      <x:c r="P657" s="20"/>
      <x:c r="Q657" s="20"/>
      <x:c r="R657" s="20" t="str">
        <x:v>待展开</x:v>
      </x:c>
      <x:c r="S657" s="20"/>
      <x:c r="T657" s="31"/>
      <x:c r="U657" s="30" t="str">
        <x:f>IF(A657="","缺记录编号",IF(COUNTIFS(PathRecords[记录编号],A657)&lt;&gt;1,"记录编号重复",IF(OR(B657="",E657=""),"缺组合/功能",IF(COUNTIFS(Equipment[组合编号],B657)&lt;&gt;1,"组合编号无效",IF(COUNTIFS(FunctionMatrix[编号],E657)=0,"功能编号无效",IF(H657="不适用",IF(J657="已实测","适用性冲突",IF(I657="","待补不适用依据","不适用（非实测）")),IF(J657="阻塞",IF(I657="","待补阻塞原因","阻塞（非实测）"),IF(J657&lt;&gt;"已实测",IF(F657="","待展开路径","未实测"),IF(H657&lt;&gt;"适用","待确认适用性",IF(INDEX(Equipment[登记状态（自动）],MATCH(B657,Equipment[组合编号],0))&lt;&gt;"已登记","待补设备组合",IF(AND(F657&lt;&gt;"",G657&lt;&gt;"",K657&lt;&gt;"",L657&lt;&gt;"",M657&lt;&gt;"",N657&lt;&gt;"",ISNUMBER(O657),O657&gt;0,P657&lt;&gt;""),"记录齐全","待补实测记录")))))))))))</x:f>
        <x:v>待展开路径</x:v>
      </x:c>
    </x:row>
    <x:row r="658" ht="43.5" customHeight="1">
      <x:c r="A658" s="20" t="str">
        <x:v>REC-00649</x:v>
      </x:c>
      <x:c r="B658" s="20" t="str">
        <x:v>P2-B2-01</x:v>
      </x:c>
      <x:c r="C658" s="30" t="str">
        <x:f>IF(B658="","",IF(COUNTIFS(Equipment[组合编号],B658)&lt;&gt;1,"组合编号无效",INDEX(Equipment[PLC组],MATCH(B658,Equipment[组合编号],0))))</x:f>
        <x:v>汇川中大型</x:v>
      </x:c>
      <x:c r="D658" s="30" t="str">
        <x:f>IF(B658="","",IF(COUNTIFS(Equipment[组合编号],B658)&lt;&gt;1,"组合编号无效",INDEX(Equipment[驱动品牌],MATCH(B658,Equipment[组合编号],0))))</x:f>
        <x:v>台达</x:v>
      </x:c>
      <x:c r="E658" s="20" t="str">
        <x:v>D04</x:v>
      </x:c>
      <x:c r="F658" s="20"/>
      <x:c r="G658" s="20"/>
      <x:c r="H658" s="20" t="str">
        <x:v>待判定</x:v>
      </x:c>
      <x:c r="I658" s="20"/>
      <x:c r="J658" s="20" t="str">
        <x:v>未测试</x:v>
      </x:c>
      <x:c r="K658" s="20"/>
      <x:c r="L658" s="20"/>
      <x:c r="M658" s="20"/>
      <x:c r="N658" s="20"/>
      <x:c r="O658" s="31"/>
      <x:c r="P658" s="20"/>
      <x:c r="Q658" s="20"/>
      <x:c r="R658" s="20" t="str">
        <x:v>待展开</x:v>
      </x:c>
      <x:c r="S658" s="20"/>
      <x:c r="T658" s="31"/>
      <x:c r="U658" s="30" t="str">
        <x:f>IF(A658="","缺记录编号",IF(COUNTIFS(PathRecords[记录编号],A658)&lt;&gt;1,"记录编号重复",IF(OR(B658="",E658=""),"缺组合/功能",IF(COUNTIFS(Equipment[组合编号],B658)&lt;&gt;1,"组合编号无效",IF(COUNTIFS(FunctionMatrix[编号],E658)=0,"功能编号无效",IF(H658="不适用",IF(J658="已实测","适用性冲突",IF(I658="","待补不适用依据","不适用（非实测）")),IF(J658="阻塞",IF(I658="","待补阻塞原因","阻塞（非实测）"),IF(J658&lt;&gt;"已实测",IF(F658="","待展开路径","未实测"),IF(H658&lt;&gt;"适用","待确认适用性",IF(INDEX(Equipment[登记状态（自动）],MATCH(B658,Equipment[组合编号],0))&lt;&gt;"已登记","待补设备组合",IF(AND(F658&lt;&gt;"",G658&lt;&gt;"",K658&lt;&gt;"",L658&lt;&gt;"",M658&lt;&gt;"",N658&lt;&gt;"",ISNUMBER(O658),O658&gt;0,P658&lt;&gt;""),"记录齐全","待补实测记录")))))))))))</x:f>
        <x:v>待展开路径</x:v>
      </x:c>
    </x:row>
    <x:row r="659" ht="43.5" customHeight="1">
      <x:c r="A659" s="20" t="str">
        <x:v>REC-00650</x:v>
      </x:c>
      <x:c r="B659" s="20" t="str">
        <x:v>P2-B2-01</x:v>
      </x:c>
      <x:c r="C659" s="30" t="str">
        <x:f>IF(B659="","",IF(COUNTIFS(Equipment[组合编号],B659)&lt;&gt;1,"组合编号无效",INDEX(Equipment[PLC组],MATCH(B659,Equipment[组合编号],0))))</x:f>
        <x:v>汇川中大型</x:v>
      </x:c>
      <x:c r="D659" s="30" t="str">
        <x:f>IF(B659="","",IF(COUNTIFS(Equipment[组合编号],B659)&lt;&gt;1,"组合编号无效",INDEX(Equipment[驱动品牌],MATCH(B659,Equipment[组合编号],0))))</x:f>
        <x:v>台达</x:v>
      </x:c>
      <x:c r="E659" s="20" t="str">
        <x:v>D05</x:v>
      </x:c>
      <x:c r="F659" s="20"/>
      <x:c r="G659" s="20"/>
      <x:c r="H659" s="20" t="str">
        <x:v>待判定</x:v>
      </x:c>
      <x:c r="I659" s="20"/>
      <x:c r="J659" s="20" t="str">
        <x:v>未测试</x:v>
      </x:c>
      <x:c r="K659" s="20"/>
      <x:c r="L659" s="20"/>
      <x:c r="M659" s="20"/>
      <x:c r="N659" s="20"/>
      <x:c r="O659" s="31"/>
      <x:c r="P659" s="20"/>
      <x:c r="Q659" s="20"/>
      <x:c r="R659" s="20" t="str">
        <x:v>待展开</x:v>
      </x:c>
      <x:c r="S659" s="20"/>
      <x:c r="T659" s="31"/>
      <x:c r="U659" s="30" t="str">
        <x:f>IF(A659="","缺记录编号",IF(COUNTIFS(PathRecords[记录编号],A659)&lt;&gt;1,"记录编号重复",IF(OR(B659="",E659=""),"缺组合/功能",IF(COUNTIFS(Equipment[组合编号],B659)&lt;&gt;1,"组合编号无效",IF(COUNTIFS(FunctionMatrix[编号],E659)=0,"功能编号无效",IF(H659="不适用",IF(J659="已实测","适用性冲突",IF(I659="","待补不适用依据","不适用（非实测）")),IF(J659="阻塞",IF(I659="","待补阻塞原因","阻塞（非实测）"),IF(J659&lt;&gt;"已实测",IF(F659="","待展开路径","未实测"),IF(H659&lt;&gt;"适用","待确认适用性",IF(INDEX(Equipment[登记状态（自动）],MATCH(B659,Equipment[组合编号],0))&lt;&gt;"已登记","待补设备组合",IF(AND(F659&lt;&gt;"",G659&lt;&gt;"",K659&lt;&gt;"",L659&lt;&gt;"",M659&lt;&gt;"",N659&lt;&gt;"",ISNUMBER(O659),O659&gt;0,P659&lt;&gt;""),"记录齐全","待补实测记录")))))))))))</x:f>
        <x:v>待展开路径</x:v>
      </x:c>
    </x:row>
    <x:row r="660" ht="43.5" customHeight="1">
      <x:c r="A660" s="20" t="str">
        <x:v>REC-00651</x:v>
      </x:c>
      <x:c r="B660" s="20" t="str">
        <x:v>P2-B2-01</x:v>
      </x:c>
      <x:c r="C660" s="30" t="str">
        <x:f>IF(B660="","",IF(COUNTIFS(Equipment[组合编号],B660)&lt;&gt;1,"组合编号无效",INDEX(Equipment[PLC组],MATCH(B660,Equipment[组合编号],0))))</x:f>
        <x:v>汇川中大型</x:v>
      </x:c>
      <x:c r="D660" s="30" t="str">
        <x:f>IF(B660="","",IF(COUNTIFS(Equipment[组合编号],B660)&lt;&gt;1,"组合编号无效",INDEX(Equipment[驱动品牌],MATCH(B660,Equipment[组合编号],0))))</x:f>
        <x:v>台达</x:v>
      </x:c>
      <x:c r="E660" s="20" t="str">
        <x:v>D06</x:v>
      </x:c>
      <x:c r="F660" s="20"/>
      <x:c r="G660" s="20"/>
      <x:c r="H660" s="20" t="str">
        <x:v>待判定</x:v>
      </x:c>
      <x:c r="I660" s="20"/>
      <x:c r="J660" s="20" t="str">
        <x:v>未测试</x:v>
      </x:c>
      <x:c r="K660" s="20"/>
      <x:c r="L660" s="20"/>
      <x:c r="M660" s="20"/>
      <x:c r="N660" s="20"/>
      <x:c r="O660" s="31"/>
      <x:c r="P660" s="20"/>
      <x:c r="Q660" s="20"/>
      <x:c r="R660" s="20" t="str">
        <x:v>待展开</x:v>
      </x:c>
      <x:c r="S660" s="20"/>
      <x:c r="T660" s="31"/>
      <x:c r="U660" s="30" t="str">
        <x:f>IF(A660="","缺记录编号",IF(COUNTIFS(PathRecords[记录编号],A660)&lt;&gt;1,"记录编号重复",IF(OR(B660="",E660=""),"缺组合/功能",IF(COUNTIFS(Equipment[组合编号],B660)&lt;&gt;1,"组合编号无效",IF(COUNTIFS(FunctionMatrix[编号],E660)=0,"功能编号无效",IF(H660="不适用",IF(J660="已实测","适用性冲突",IF(I660="","待补不适用依据","不适用（非实测）")),IF(J660="阻塞",IF(I660="","待补阻塞原因","阻塞（非实测）"),IF(J660&lt;&gt;"已实测",IF(F660="","待展开路径","未实测"),IF(H660&lt;&gt;"适用","待确认适用性",IF(INDEX(Equipment[登记状态（自动）],MATCH(B660,Equipment[组合编号],0))&lt;&gt;"已登记","待补设备组合",IF(AND(F660&lt;&gt;"",G660&lt;&gt;"",K660&lt;&gt;"",L660&lt;&gt;"",M660&lt;&gt;"",N660&lt;&gt;"",ISNUMBER(O660),O660&gt;0,P660&lt;&gt;""),"记录齐全","待补实测记录")))))))))))</x:f>
        <x:v>待展开路径</x:v>
      </x:c>
    </x:row>
    <x:row r="661" ht="43.5" customHeight="1">
      <x:c r="A661" s="20" t="str">
        <x:v>REC-00652</x:v>
      </x:c>
      <x:c r="B661" s="20" t="str">
        <x:v>P2-B2-01</x:v>
      </x:c>
      <x:c r="C661" s="30" t="str">
        <x:f>IF(B661="","",IF(COUNTIFS(Equipment[组合编号],B661)&lt;&gt;1,"组合编号无效",INDEX(Equipment[PLC组],MATCH(B661,Equipment[组合编号],0))))</x:f>
        <x:v>汇川中大型</x:v>
      </x:c>
      <x:c r="D661" s="30" t="str">
        <x:f>IF(B661="","",IF(COUNTIFS(Equipment[组合编号],B661)&lt;&gt;1,"组合编号无效",INDEX(Equipment[驱动品牌],MATCH(B661,Equipment[组合编号],0))))</x:f>
        <x:v>台达</x:v>
      </x:c>
      <x:c r="E661" s="20" t="str">
        <x:v>D07</x:v>
      </x:c>
      <x:c r="F661" s="20"/>
      <x:c r="G661" s="20"/>
      <x:c r="H661" s="20" t="str">
        <x:v>待判定</x:v>
      </x:c>
      <x:c r="I661" s="20"/>
      <x:c r="J661" s="20" t="str">
        <x:v>未测试</x:v>
      </x:c>
      <x:c r="K661" s="20"/>
      <x:c r="L661" s="20"/>
      <x:c r="M661" s="20"/>
      <x:c r="N661" s="20"/>
      <x:c r="O661" s="31"/>
      <x:c r="P661" s="20"/>
      <x:c r="Q661" s="20"/>
      <x:c r="R661" s="20" t="str">
        <x:v>待展开</x:v>
      </x:c>
      <x:c r="S661" s="20"/>
      <x:c r="T661" s="31"/>
      <x:c r="U661" s="30" t="str">
        <x:f>IF(A661="","缺记录编号",IF(COUNTIFS(PathRecords[记录编号],A661)&lt;&gt;1,"记录编号重复",IF(OR(B661="",E661=""),"缺组合/功能",IF(COUNTIFS(Equipment[组合编号],B661)&lt;&gt;1,"组合编号无效",IF(COUNTIFS(FunctionMatrix[编号],E661)=0,"功能编号无效",IF(H661="不适用",IF(J661="已实测","适用性冲突",IF(I661="","待补不适用依据","不适用（非实测）")),IF(J661="阻塞",IF(I661="","待补阻塞原因","阻塞（非实测）"),IF(J661&lt;&gt;"已实测",IF(F661="","待展开路径","未实测"),IF(H661&lt;&gt;"适用","待确认适用性",IF(INDEX(Equipment[登记状态（自动）],MATCH(B661,Equipment[组合编号],0))&lt;&gt;"已登记","待补设备组合",IF(AND(F661&lt;&gt;"",G661&lt;&gt;"",K661&lt;&gt;"",L661&lt;&gt;"",M661&lt;&gt;"",N661&lt;&gt;"",ISNUMBER(O661),O661&gt;0,P661&lt;&gt;""),"记录齐全","待补实测记录")))))))))))</x:f>
        <x:v>待展开路径</x:v>
      </x:c>
    </x:row>
    <x:row r="662" ht="43.5" customHeight="1">
      <x:c r="A662" s="20" t="str">
        <x:v>REC-00653</x:v>
      </x:c>
      <x:c r="B662" s="20" t="str">
        <x:v>P2-B2-01</x:v>
      </x:c>
      <x:c r="C662" s="30" t="str">
        <x:f>IF(B662="","",IF(COUNTIFS(Equipment[组合编号],B662)&lt;&gt;1,"组合编号无效",INDEX(Equipment[PLC组],MATCH(B662,Equipment[组合编号],0))))</x:f>
        <x:v>汇川中大型</x:v>
      </x:c>
      <x:c r="D662" s="30" t="str">
        <x:f>IF(B662="","",IF(COUNTIFS(Equipment[组合编号],B662)&lt;&gt;1,"组合编号无效",INDEX(Equipment[驱动品牌],MATCH(B662,Equipment[组合编号],0))))</x:f>
        <x:v>台达</x:v>
      </x:c>
      <x:c r="E662" s="20" t="str">
        <x:v>D08</x:v>
      </x:c>
      <x:c r="F662" s="20"/>
      <x:c r="G662" s="20"/>
      <x:c r="H662" s="20" t="str">
        <x:v>待判定</x:v>
      </x:c>
      <x:c r="I662" s="20"/>
      <x:c r="J662" s="20" t="str">
        <x:v>未测试</x:v>
      </x:c>
      <x:c r="K662" s="20"/>
      <x:c r="L662" s="20"/>
      <x:c r="M662" s="20"/>
      <x:c r="N662" s="20"/>
      <x:c r="O662" s="31"/>
      <x:c r="P662" s="20"/>
      <x:c r="Q662" s="20"/>
      <x:c r="R662" s="20" t="str">
        <x:v>待展开</x:v>
      </x:c>
      <x:c r="S662" s="20"/>
      <x:c r="T662" s="31"/>
      <x:c r="U662" s="30" t="str">
        <x:f>IF(A662="","缺记录编号",IF(COUNTIFS(PathRecords[记录编号],A662)&lt;&gt;1,"记录编号重复",IF(OR(B662="",E662=""),"缺组合/功能",IF(COUNTIFS(Equipment[组合编号],B662)&lt;&gt;1,"组合编号无效",IF(COUNTIFS(FunctionMatrix[编号],E662)=0,"功能编号无效",IF(H662="不适用",IF(J662="已实测","适用性冲突",IF(I662="","待补不适用依据","不适用（非实测）")),IF(J662="阻塞",IF(I662="","待补阻塞原因","阻塞（非实测）"),IF(J662&lt;&gt;"已实测",IF(F662="","待展开路径","未实测"),IF(H662&lt;&gt;"适用","待确认适用性",IF(INDEX(Equipment[登记状态（自动）],MATCH(B662,Equipment[组合编号],0))&lt;&gt;"已登记","待补设备组合",IF(AND(F662&lt;&gt;"",G662&lt;&gt;"",K662&lt;&gt;"",L662&lt;&gt;"",M662&lt;&gt;"",N662&lt;&gt;"",ISNUMBER(O662),O662&gt;0,P662&lt;&gt;""),"记录齐全","待补实测记录")))))))))))</x:f>
        <x:v>待展开路径</x:v>
      </x:c>
    </x:row>
    <x:row r="663" ht="43.5" customHeight="1">
      <x:c r="A663" s="20" t="str">
        <x:v>REC-00654</x:v>
      </x:c>
      <x:c r="B663" s="20" t="str">
        <x:v>P2-B2-01</x:v>
      </x:c>
      <x:c r="C663" s="30" t="str">
        <x:f>IF(B663="","",IF(COUNTIFS(Equipment[组合编号],B663)&lt;&gt;1,"组合编号无效",INDEX(Equipment[PLC组],MATCH(B663,Equipment[组合编号],0))))</x:f>
        <x:v>汇川中大型</x:v>
      </x:c>
      <x:c r="D663" s="30" t="str">
        <x:f>IF(B663="","",IF(COUNTIFS(Equipment[组合编号],B663)&lt;&gt;1,"组合编号无效",INDEX(Equipment[驱动品牌],MATCH(B663,Equipment[组合编号],0))))</x:f>
        <x:v>台达</x:v>
      </x:c>
      <x:c r="E663" s="20" t="str">
        <x:v>D09</x:v>
      </x:c>
      <x:c r="F663" s="20"/>
      <x:c r="G663" s="20"/>
      <x:c r="H663" s="20" t="str">
        <x:v>待判定</x:v>
      </x:c>
      <x:c r="I663" s="20"/>
      <x:c r="J663" s="20" t="str">
        <x:v>未测试</x:v>
      </x:c>
      <x:c r="K663" s="20"/>
      <x:c r="L663" s="20"/>
      <x:c r="M663" s="20"/>
      <x:c r="N663" s="20"/>
      <x:c r="O663" s="31"/>
      <x:c r="P663" s="20"/>
      <x:c r="Q663" s="20"/>
      <x:c r="R663" s="20" t="str">
        <x:v>待展开</x:v>
      </x:c>
      <x:c r="S663" s="20"/>
      <x:c r="T663" s="31"/>
      <x:c r="U663" s="30" t="str">
        <x:f>IF(A663="","缺记录编号",IF(COUNTIFS(PathRecords[记录编号],A663)&lt;&gt;1,"记录编号重复",IF(OR(B663="",E663=""),"缺组合/功能",IF(COUNTIFS(Equipment[组合编号],B663)&lt;&gt;1,"组合编号无效",IF(COUNTIFS(FunctionMatrix[编号],E663)=0,"功能编号无效",IF(H663="不适用",IF(J663="已实测","适用性冲突",IF(I663="","待补不适用依据","不适用（非实测）")),IF(J663="阻塞",IF(I663="","待补阻塞原因","阻塞（非实测）"),IF(J663&lt;&gt;"已实测",IF(F663="","待展开路径","未实测"),IF(H663&lt;&gt;"适用","待确认适用性",IF(INDEX(Equipment[登记状态（自动）],MATCH(B663,Equipment[组合编号],0))&lt;&gt;"已登记","待补设备组合",IF(AND(F663&lt;&gt;"",G663&lt;&gt;"",K663&lt;&gt;"",L663&lt;&gt;"",M663&lt;&gt;"",N663&lt;&gt;"",ISNUMBER(O663),O663&gt;0,P663&lt;&gt;""),"记录齐全","待补实测记录")))))))))))</x:f>
        <x:v>待展开路径</x:v>
      </x:c>
    </x:row>
    <x:row r="664" ht="43.5" customHeight="1">
      <x:c r="A664" s="20" t="str">
        <x:v>REC-00655</x:v>
      </x:c>
      <x:c r="B664" s="20" t="str">
        <x:v>P2-B2-01</x:v>
      </x:c>
      <x:c r="C664" s="30" t="str">
        <x:f>IF(B664="","",IF(COUNTIFS(Equipment[组合编号],B664)&lt;&gt;1,"组合编号无效",INDEX(Equipment[PLC组],MATCH(B664,Equipment[组合编号],0))))</x:f>
        <x:v>汇川中大型</x:v>
      </x:c>
      <x:c r="D664" s="30" t="str">
        <x:f>IF(B664="","",IF(COUNTIFS(Equipment[组合编号],B664)&lt;&gt;1,"组合编号无效",INDEX(Equipment[驱动品牌],MATCH(B664,Equipment[组合编号],0))))</x:f>
        <x:v>台达</x:v>
      </x:c>
      <x:c r="E664" s="20" t="str">
        <x:v>S01</x:v>
      </x:c>
      <x:c r="F664" s="20"/>
      <x:c r="G664" s="20"/>
      <x:c r="H664" s="20" t="str">
        <x:v>待判定</x:v>
      </x:c>
      <x:c r="I664" s="20"/>
      <x:c r="J664" s="20" t="str">
        <x:v>未测试</x:v>
      </x:c>
      <x:c r="K664" s="20"/>
      <x:c r="L664" s="20"/>
      <x:c r="M664" s="20"/>
      <x:c r="N664" s="20"/>
      <x:c r="O664" s="31"/>
      <x:c r="P664" s="20"/>
      <x:c r="Q664" s="20"/>
      <x:c r="R664" s="20" t="str">
        <x:v>待展开</x:v>
      </x:c>
      <x:c r="S664" s="20"/>
      <x:c r="T664" s="31"/>
      <x:c r="U664" s="30" t="str">
        <x:f>IF(A664="","缺记录编号",IF(COUNTIFS(PathRecords[记录编号],A664)&lt;&gt;1,"记录编号重复",IF(OR(B664="",E664=""),"缺组合/功能",IF(COUNTIFS(Equipment[组合编号],B664)&lt;&gt;1,"组合编号无效",IF(COUNTIFS(FunctionMatrix[编号],E664)=0,"功能编号无效",IF(H664="不适用",IF(J664="已实测","适用性冲突",IF(I664="","待补不适用依据","不适用（非实测）")),IF(J664="阻塞",IF(I664="","待补阻塞原因","阻塞（非实测）"),IF(J664&lt;&gt;"已实测",IF(F664="","待展开路径","未实测"),IF(H664&lt;&gt;"适用","待确认适用性",IF(INDEX(Equipment[登记状态（自动）],MATCH(B664,Equipment[组合编号],0))&lt;&gt;"已登记","待补设备组合",IF(AND(F664&lt;&gt;"",G664&lt;&gt;"",K664&lt;&gt;"",L664&lt;&gt;"",M664&lt;&gt;"",N664&lt;&gt;"",ISNUMBER(O664),O664&gt;0,P664&lt;&gt;""),"记录齐全","待补实测记录")))))))))))</x:f>
        <x:v>待展开路径</x:v>
      </x:c>
    </x:row>
    <x:row r="665" ht="43.5" customHeight="1">
      <x:c r="A665" s="20" t="str">
        <x:v>REC-00656</x:v>
      </x:c>
      <x:c r="B665" s="20" t="str">
        <x:v>P2-B2-01</x:v>
      </x:c>
      <x:c r="C665" s="30" t="str">
        <x:f>IF(B665="","",IF(COUNTIFS(Equipment[组合编号],B665)&lt;&gt;1,"组合编号无效",INDEX(Equipment[PLC组],MATCH(B665,Equipment[组合编号],0))))</x:f>
        <x:v>汇川中大型</x:v>
      </x:c>
      <x:c r="D665" s="30" t="str">
        <x:f>IF(B665="","",IF(COUNTIFS(Equipment[组合编号],B665)&lt;&gt;1,"组合编号无效",INDEX(Equipment[驱动品牌],MATCH(B665,Equipment[组合编号],0))))</x:f>
        <x:v>台达</x:v>
      </x:c>
      <x:c r="E665" s="20" t="str">
        <x:v>S02</x:v>
      </x:c>
      <x:c r="F665" s="20"/>
      <x:c r="G665" s="20"/>
      <x:c r="H665" s="20" t="str">
        <x:v>待判定</x:v>
      </x:c>
      <x:c r="I665" s="20"/>
      <x:c r="J665" s="20" t="str">
        <x:v>未测试</x:v>
      </x:c>
      <x:c r="K665" s="20"/>
      <x:c r="L665" s="20"/>
      <x:c r="M665" s="20"/>
      <x:c r="N665" s="20"/>
      <x:c r="O665" s="31"/>
      <x:c r="P665" s="20"/>
      <x:c r="Q665" s="20"/>
      <x:c r="R665" s="20" t="str">
        <x:v>待展开</x:v>
      </x:c>
      <x:c r="S665" s="20"/>
      <x:c r="T665" s="31"/>
      <x:c r="U665" s="30" t="str">
        <x:f>IF(A665="","缺记录编号",IF(COUNTIFS(PathRecords[记录编号],A665)&lt;&gt;1,"记录编号重复",IF(OR(B665="",E665=""),"缺组合/功能",IF(COUNTIFS(Equipment[组合编号],B665)&lt;&gt;1,"组合编号无效",IF(COUNTIFS(FunctionMatrix[编号],E665)=0,"功能编号无效",IF(H665="不适用",IF(J665="已实测","适用性冲突",IF(I665="","待补不适用依据","不适用（非实测）")),IF(J665="阻塞",IF(I665="","待补阻塞原因","阻塞（非实测）"),IF(J665&lt;&gt;"已实测",IF(F665="","待展开路径","未实测"),IF(H665&lt;&gt;"适用","待确认适用性",IF(INDEX(Equipment[登记状态（自动）],MATCH(B665,Equipment[组合编号],0))&lt;&gt;"已登记","待补设备组合",IF(AND(F665&lt;&gt;"",G665&lt;&gt;"",K665&lt;&gt;"",L665&lt;&gt;"",M665&lt;&gt;"",N665&lt;&gt;"",ISNUMBER(O665),O665&gt;0,P665&lt;&gt;""),"记录齐全","待补实测记录")))))))))))</x:f>
        <x:v>待展开路径</x:v>
      </x:c>
    </x:row>
    <x:row r="666" ht="43.5" customHeight="1">
      <x:c r="A666" s="20" t="str">
        <x:v>REC-00657</x:v>
      </x:c>
      <x:c r="B666" s="20" t="str">
        <x:v>P2-B2-01</x:v>
      </x:c>
      <x:c r="C666" s="30" t="str">
        <x:f>IF(B666="","",IF(COUNTIFS(Equipment[组合编号],B666)&lt;&gt;1,"组合编号无效",INDEX(Equipment[PLC组],MATCH(B666,Equipment[组合编号],0))))</x:f>
        <x:v>汇川中大型</x:v>
      </x:c>
      <x:c r="D666" s="30" t="str">
        <x:f>IF(B666="","",IF(COUNTIFS(Equipment[组合编号],B666)&lt;&gt;1,"组合编号无效",INDEX(Equipment[驱动品牌],MATCH(B666,Equipment[组合编号],0))))</x:f>
        <x:v>台达</x:v>
      </x:c>
      <x:c r="E666" s="20" t="str">
        <x:v>S03</x:v>
      </x:c>
      <x:c r="F666" s="20"/>
      <x:c r="G666" s="20"/>
      <x:c r="H666" s="20" t="str">
        <x:v>待判定</x:v>
      </x:c>
      <x:c r="I666" s="20"/>
      <x:c r="J666" s="20" t="str">
        <x:v>未测试</x:v>
      </x:c>
      <x:c r="K666" s="20"/>
      <x:c r="L666" s="20"/>
      <x:c r="M666" s="20"/>
      <x:c r="N666" s="20"/>
      <x:c r="O666" s="31"/>
      <x:c r="P666" s="20"/>
      <x:c r="Q666" s="20"/>
      <x:c r="R666" s="20" t="str">
        <x:v>待展开</x:v>
      </x:c>
      <x:c r="S666" s="20"/>
      <x:c r="T666" s="31"/>
      <x:c r="U666" s="30" t="str">
        <x:f>IF(A666="","缺记录编号",IF(COUNTIFS(PathRecords[记录编号],A666)&lt;&gt;1,"记录编号重复",IF(OR(B666="",E666=""),"缺组合/功能",IF(COUNTIFS(Equipment[组合编号],B666)&lt;&gt;1,"组合编号无效",IF(COUNTIFS(FunctionMatrix[编号],E666)=0,"功能编号无效",IF(H666="不适用",IF(J666="已实测","适用性冲突",IF(I666="","待补不适用依据","不适用（非实测）")),IF(J666="阻塞",IF(I666="","待补阻塞原因","阻塞（非实测）"),IF(J666&lt;&gt;"已实测",IF(F666="","待展开路径","未实测"),IF(H666&lt;&gt;"适用","待确认适用性",IF(INDEX(Equipment[登记状态（自动）],MATCH(B666,Equipment[组合编号],0))&lt;&gt;"已登记","待补设备组合",IF(AND(F666&lt;&gt;"",G666&lt;&gt;"",K666&lt;&gt;"",L666&lt;&gt;"",M666&lt;&gt;"",N666&lt;&gt;"",ISNUMBER(O666),O666&gt;0,P666&lt;&gt;""),"记录齐全","待补实测记录")))))))))))</x:f>
        <x:v>待展开路径</x:v>
      </x:c>
    </x:row>
    <x:row r="667" ht="43.5" customHeight="1">
      <x:c r="A667" s="20" t="str">
        <x:v>REC-00658</x:v>
      </x:c>
      <x:c r="B667" s="20" t="str">
        <x:v>P2-B2-01</x:v>
      </x:c>
      <x:c r="C667" s="30" t="str">
        <x:f>IF(B667="","",IF(COUNTIFS(Equipment[组合编号],B667)&lt;&gt;1,"组合编号无效",INDEX(Equipment[PLC组],MATCH(B667,Equipment[组合编号],0))))</x:f>
        <x:v>汇川中大型</x:v>
      </x:c>
      <x:c r="D667" s="30" t="str">
        <x:f>IF(B667="","",IF(COUNTIFS(Equipment[组合编号],B667)&lt;&gt;1,"组合编号无效",INDEX(Equipment[驱动品牌],MATCH(B667,Equipment[组合编号],0))))</x:f>
        <x:v>台达</x:v>
      </x:c>
      <x:c r="E667" s="20" t="str">
        <x:v>S04</x:v>
      </x:c>
      <x:c r="F667" s="20"/>
      <x:c r="G667" s="20"/>
      <x:c r="H667" s="20" t="str">
        <x:v>待判定</x:v>
      </x:c>
      <x:c r="I667" s="20"/>
      <x:c r="J667" s="20" t="str">
        <x:v>未测试</x:v>
      </x:c>
      <x:c r="K667" s="20"/>
      <x:c r="L667" s="20"/>
      <x:c r="M667" s="20"/>
      <x:c r="N667" s="20"/>
      <x:c r="O667" s="31"/>
      <x:c r="P667" s="20"/>
      <x:c r="Q667" s="20"/>
      <x:c r="R667" s="20" t="str">
        <x:v>待展开</x:v>
      </x:c>
      <x:c r="S667" s="20"/>
      <x:c r="T667" s="31"/>
      <x:c r="U667" s="30" t="str">
        <x:f>IF(A667="","缺记录编号",IF(COUNTIFS(PathRecords[记录编号],A667)&lt;&gt;1,"记录编号重复",IF(OR(B667="",E667=""),"缺组合/功能",IF(COUNTIFS(Equipment[组合编号],B667)&lt;&gt;1,"组合编号无效",IF(COUNTIFS(FunctionMatrix[编号],E667)=0,"功能编号无效",IF(H667="不适用",IF(J667="已实测","适用性冲突",IF(I667="","待补不适用依据","不适用（非实测）")),IF(J667="阻塞",IF(I667="","待补阻塞原因","阻塞（非实测）"),IF(J667&lt;&gt;"已实测",IF(F667="","待展开路径","未实测"),IF(H667&lt;&gt;"适用","待确认适用性",IF(INDEX(Equipment[登记状态（自动）],MATCH(B667,Equipment[组合编号],0))&lt;&gt;"已登记","待补设备组合",IF(AND(F667&lt;&gt;"",G667&lt;&gt;"",K667&lt;&gt;"",L667&lt;&gt;"",M667&lt;&gt;"",N667&lt;&gt;"",ISNUMBER(O667),O667&gt;0,P667&lt;&gt;""),"记录齐全","待补实测记录")))))))))))</x:f>
        <x:v>待展开路径</x:v>
      </x:c>
    </x:row>
    <x:row r="668" ht="43.5" customHeight="1">
      <x:c r="A668" s="20" t="str">
        <x:v>REC-00659</x:v>
      </x:c>
      <x:c r="B668" s="20" t="str">
        <x:v>P2-B2-01</x:v>
      </x:c>
      <x:c r="C668" s="30" t="str">
        <x:f>IF(B668="","",IF(COUNTIFS(Equipment[组合编号],B668)&lt;&gt;1,"组合编号无效",INDEX(Equipment[PLC组],MATCH(B668,Equipment[组合编号],0))))</x:f>
        <x:v>汇川中大型</x:v>
      </x:c>
      <x:c r="D668" s="30" t="str">
        <x:f>IF(B668="","",IF(COUNTIFS(Equipment[组合编号],B668)&lt;&gt;1,"组合编号无效",INDEX(Equipment[驱动品牌],MATCH(B668,Equipment[组合编号],0))))</x:f>
        <x:v>台达</x:v>
      </x:c>
      <x:c r="E668" s="20" t="str">
        <x:v>S05</x:v>
      </x:c>
      <x:c r="F668" s="20"/>
      <x:c r="G668" s="20"/>
      <x:c r="H668" s="20" t="str">
        <x:v>待判定</x:v>
      </x:c>
      <x:c r="I668" s="20"/>
      <x:c r="J668" s="20" t="str">
        <x:v>未测试</x:v>
      </x:c>
      <x:c r="K668" s="20"/>
      <x:c r="L668" s="20"/>
      <x:c r="M668" s="20"/>
      <x:c r="N668" s="20"/>
      <x:c r="O668" s="31"/>
      <x:c r="P668" s="20"/>
      <x:c r="Q668" s="20"/>
      <x:c r="R668" s="20" t="str">
        <x:v>待展开</x:v>
      </x:c>
      <x:c r="S668" s="20"/>
      <x:c r="T668" s="31"/>
      <x:c r="U668" s="30" t="str">
        <x:f>IF(A668="","缺记录编号",IF(COUNTIFS(PathRecords[记录编号],A668)&lt;&gt;1,"记录编号重复",IF(OR(B668="",E668=""),"缺组合/功能",IF(COUNTIFS(Equipment[组合编号],B668)&lt;&gt;1,"组合编号无效",IF(COUNTIFS(FunctionMatrix[编号],E668)=0,"功能编号无效",IF(H668="不适用",IF(J668="已实测","适用性冲突",IF(I668="","待补不适用依据","不适用（非实测）")),IF(J668="阻塞",IF(I668="","待补阻塞原因","阻塞（非实测）"),IF(J668&lt;&gt;"已实测",IF(F668="","待展开路径","未实测"),IF(H668&lt;&gt;"适用","待确认适用性",IF(INDEX(Equipment[登记状态（自动）],MATCH(B668,Equipment[组合编号],0))&lt;&gt;"已登记","待补设备组合",IF(AND(F668&lt;&gt;"",G668&lt;&gt;"",K668&lt;&gt;"",L668&lt;&gt;"",M668&lt;&gt;"",N668&lt;&gt;"",ISNUMBER(O668),O668&gt;0,P668&lt;&gt;""),"记录齐全","待补实测记录")))))))))))</x:f>
        <x:v>待展开路径</x:v>
      </x:c>
    </x:row>
    <x:row r="669" ht="43.5" customHeight="1">
      <x:c r="A669" s="20" t="str">
        <x:v>REC-00660</x:v>
      </x:c>
      <x:c r="B669" s="20" t="str">
        <x:v>P2-B2-01</x:v>
      </x:c>
      <x:c r="C669" s="30" t="str">
        <x:f>IF(B669="","",IF(COUNTIFS(Equipment[组合编号],B669)&lt;&gt;1,"组合编号无效",INDEX(Equipment[PLC组],MATCH(B669,Equipment[组合编号],0))))</x:f>
        <x:v>汇川中大型</x:v>
      </x:c>
      <x:c r="D669" s="30" t="str">
        <x:f>IF(B669="","",IF(COUNTIFS(Equipment[组合编号],B669)&lt;&gt;1,"组合编号无效",INDEX(Equipment[驱动品牌],MATCH(B669,Equipment[组合编号],0))))</x:f>
        <x:v>台达</x:v>
      </x:c>
      <x:c r="E669" s="20" t="str">
        <x:v>S06</x:v>
      </x:c>
      <x:c r="F669" s="20"/>
      <x:c r="G669" s="20"/>
      <x:c r="H669" s="20" t="str">
        <x:v>待判定</x:v>
      </x:c>
      <x:c r="I669" s="20"/>
      <x:c r="J669" s="20" t="str">
        <x:v>未测试</x:v>
      </x:c>
      <x:c r="K669" s="20"/>
      <x:c r="L669" s="20"/>
      <x:c r="M669" s="20"/>
      <x:c r="N669" s="20"/>
      <x:c r="O669" s="31"/>
      <x:c r="P669" s="20"/>
      <x:c r="Q669" s="20"/>
      <x:c r="R669" s="20" t="str">
        <x:v>待展开</x:v>
      </x:c>
      <x:c r="S669" s="20"/>
      <x:c r="T669" s="31"/>
      <x:c r="U669" s="30" t="str">
        <x:f>IF(A669="","缺记录编号",IF(COUNTIFS(PathRecords[记录编号],A669)&lt;&gt;1,"记录编号重复",IF(OR(B669="",E669=""),"缺组合/功能",IF(COUNTIFS(Equipment[组合编号],B669)&lt;&gt;1,"组合编号无效",IF(COUNTIFS(FunctionMatrix[编号],E669)=0,"功能编号无效",IF(H669="不适用",IF(J669="已实测","适用性冲突",IF(I669="","待补不适用依据","不适用（非实测）")),IF(J669="阻塞",IF(I669="","待补阻塞原因","阻塞（非实测）"),IF(J669&lt;&gt;"已实测",IF(F669="","待展开路径","未实测"),IF(H669&lt;&gt;"适用","待确认适用性",IF(INDEX(Equipment[登记状态（自动）],MATCH(B669,Equipment[组合编号],0))&lt;&gt;"已登记","待补设备组合",IF(AND(F669&lt;&gt;"",G669&lt;&gt;"",K669&lt;&gt;"",L669&lt;&gt;"",M669&lt;&gt;"",N669&lt;&gt;"",ISNUMBER(O669),O669&gt;0,P669&lt;&gt;""),"记录齐全","待补实测记录")))))))))))</x:f>
        <x:v>待展开路径</x:v>
      </x:c>
    </x:row>
    <x:row r="670" ht="43.5" customHeight="1">
      <x:c r="A670" s="20" t="str">
        <x:v>REC-00661</x:v>
      </x:c>
      <x:c r="B670" s="20" t="str">
        <x:v>P2-B2-01</x:v>
      </x:c>
      <x:c r="C670" s="30" t="str">
        <x:f>IF(B670="","",IF(COUNTIFS(Equipment[组合编号],B670)&lt;&gt;1,"组合编号无效",INDEX(Equipment[PLC组],MATCH(B670,Equipment[组合编号],0))))</x:f>
        <x:v>汇川中大型</x:v>
      </x:c>
      <x:c r="D670" s="30" t="str">
        <x:f>IF(B670="","",IF(COUNTIFS(Equipment[组合编号],B670)&lt;&gt;1,"组合编号无效",INDEX(Equipment[驱动品牌],MATCH(B670,Equipment[组合编号],0))))</x:f>
        <x:v>台达</x:v>
      </x:c>
      <x:c r="E670" s="20" t="str">
        <x:v>S07</x:v>
      </x:c>
      <x:c r="F670" s="20"/>
      <x:c r="G670" s="20"/>
      <x:c r="H670" s="20" t="str">
        <x:v>待判定</x:v>
      </x:c>
      <x:c r="I670" s="20"/>
      <x:c r="J670" s="20" t="str">
        <x:v>未测试</x:v>
      </x:c>
      <x:c r="K670" s="20"/>
      <x:c r="L670" s="20"/>
      <x:c r="M670" s="20"/>
      <x:c r="N670" s="20"/>
      <x:c r="O670" s="31"/>
      <x:c r="P670" s="20"/>
      <x:c r="Q670" s="20"/>
      <x:c r="R670" s="20" t="str">
        <x:v>待展开</x:v>
      </x:c>
      <x:c r="S670" s="20"/>
      <x:c r="T670" s="31"/>
      <x:c r="U670" s="30" t="str">
        <x:f>IF(A670="","缺记录编号",IF(COUNTIFS(PathRecords[记录编号],A670)&lt;&gt;1,"记录编号重复",IF(OR(B670="",E670=""),"缺组合/功能",IF(COUNTIFS(Equipment[组合编号],B670)&lt;&gt;1,"组合编号无效",IF(COUNTIFS(FunctionMatrix[编号],E670)=0,"功能编号无效",IF(H670="不适用",IF(J670="已实测","适用性冲突",IF(I670="","待补不适用依据","不适用（非实测）")),IF(J670="阻塞",IF(I670="","待补阻塞原因","阻塞（非实测）"),IF(J670&lt;&gt;"已实测",IF(F670="","待展开路径","未实测"),IF(H670&lt;&gt;"适用","待确认适用性",IF(INDEX(Equipment[登记状态（自动）],MATCH(B670,Equipment[组合编号],0))&lt;&gt;"已登记","待补设备组合",IF(AND(F670&lt;&gt;"",G670&lt;&gt;"",K670&lt;&gt;"",L670&lt;&gt;"",M670&lt;&gt;"",N670&lt;&gt;"",ISNUMBER(O670),O670&gt;0,P670&lt;&gt;""),"记录齐全","待补实测记录")))))))))))</x:f>
        <x:v>待展开路径</x:v>
      </x:c>
    </x:row>
    <x:row r="671" ht="43.5" customHeight="1">
      <x:c r="A671" s="20" t="str">
        <x:v>REC-00662</x:v>
      </x:c>
      <x:c r="B671" s="20" t="str">
        <x:v>P2-B2-01</x:v>
      </x:c>
      <x:c r="C671" s="30" t="str">
        <x:f>IF(B671="","",IF(COUNTIFS(Equipment[组合编号],B671)&lt;&gt;1,"组合编号无效",INDEX(Equipment[PLC组],MATCH(B671,Equipment[组合编号],0))))</x:f>
        <x:v>汇川中大型</x:v>
      </x:c>
      <x:c r="D671" s="30" t="str">
        <x:f>IF(B671="","",IF(COUNTIFS(Equipment[组合编号],B671)&lt;&gt;1,"组合编号无效",INDEX(Equipment[驱动品牌],MATCH(B671,Equipment[组合编号],0))))</x:f>
        <x:v>台达</x:v>
      </x:c>
      <x:c r="E671" s="20" t="str">
        <x:v>S08</x:v>
      </x:c>
      <x:c r="F671" s="20"/>
      <x:c r="G671" s="20"/>
      <x:c r="H671" s="20" t="str">
        <x:v>待判定</x:v>
      </x:c>
      <x:c r="I671" s="20"/>
      <x:c r="J671" s="20" t="str">
        <x:v>未测试</x:v>
      </x:c>
      <x:c r="K671" s="20"/>
      <x:c r="L671" s="20"/>
      <x:c r="M671" s="20"/>
      <x:c r="N671" s="20"/>
      <x:c r="O671" s="31"/>
      <x:c r="P671" s="20"/>
      <x:c r="Q671" s="20"/>
      <x:c r="R671" s="20" t="str">
        <x:v>待展开</x:v>
      </x:c>
      <x:c r="S671" s="20"/>
      <x:c r="T671" s="31"/>
      <x:c r="U671" s="30" t="str">
        <x:f>IF(A671="","缺记录编号",IF(COUNTIFS(PathRecords[记录编号],A671)&lt;&gt;1,"记录编号重复",IF(OR(B671="",E671=""),"缺组合/功能",IF(COUNTIFS(Equipment[组合编号],B671)&lt;&gt;1,"组合编号无效",IF(COUNTIFS(FunctionMatrix[编号],E671)=0,"功能编号无效",IF(H671="不适用",IF(J671="已实测","适用性冲突",IF(I671="","待补不适用依据","不适用（非实测）")),IF(J671="阻塞",IF(I671="","待补阻塞原因","阻塞（非实测）"),IF(J671&lt;&gt;"已实测",IF(F671="","待展开路径","未实测"),IF(H671&lt;&gt;"适用","待确认适用性",IF(INDEX(Equipment[登记状态（自动）],MATCH(B671,Equipment[组合编号],0))&lt;&gt;"已登记","待补设备组合",IF(AND(F671&lt;&gt;"",G671&lt;&gt;"",K671&lt;&gt;"",L671&lt;&gt;"",M671&lt;&gt;"",N671&lt;&gt;"",ISNUMBER(O671),O671&gt;0,P671&lt;&gt;""),"记录齐全","待补实测记录")))))))))))</x:f>
        <x:v>待展开路径</x:v>
      </x:c>
    </x:row>
    <x:row r="672" ht="43.5" customHeight="1">
      <x:c r="A672" s="20" t="str">
        <x:v>REC-00663</x:v>
      </x:c>
      <x:c r="B672" s="20" t="str">
        <x:v>P2-B2-01</x:v>
      </x:c>
      <x:c r="C672" s="30" t="str">
        <x:f>IF(B672="","",IF(COUNTIFS(Equipment[组合编号],B672)&lt;&gt;1,"组合编号无效",INDEX(Equipment[PLC组],MATCH(B672,Equipment[组合编号],0))))</x:f>
        <x:v>汇川中大型</x:v>
      </x:c>
      <x:c r="D672" s="30" t="str">
        <x:f>IF(B672="","",IF(COUNTIFS(Equipment[组合编号],B672)&lt;&gt;1,"组合编号无效",INDEX(Equipment[驱动品牌],MATCH(B672,Equipment[组合编号],0))))</x:f>
        <x:v>台达</x:v>
      </x:c>
      <x:c r="E672" s="20" t="str">
        <x:v>S09</x:v>
      </x:c>
      <x:c r="F672" s="20"/>
      <x:c r="G672" s="20"/>
      <x:c r="H672" s="20" t="str">
        <x:v>待判定</x:v>
      </x:c>
      <x:c r="I672" s="20"/>
      <x:c r="J672" s="20" t="str">
        <x:v>未测试</x:v>
      </x:c>
      <x:c r="K672" s="20"/>
      <x:c r="L672" s="20"/>
      <x:c r="M672" s="20"/>
      <x:c r="N672" s="20"/>
      <x:c r="O672" s="31"/>
      <x:c r="P672" s="20"/>
      <x:c r="Q672" s="20"/>
      <x:c r="R672" s="20" t="str">
        <x:v>待展开</x:v>
      </x:c>
      <x:c r="S672" s="20"/>
      <x:c r="T672" s="31"/>
      <x:c r="U672" s="30" t="str">
        <x:f>IF(A672="","缺记录编号",IF(COUNTIFS(PathRecords[记录编号],A672)&lt;&gt;1,"记录编号重复",IF(OR(B672="",E672=""),"缺组合/功能",IF(COUNTIFS(Equipment[组合编号],B672)&lt;&gt;1,"组合编号无效",IF(COUNTIFS(FunctionMatrix[编号],E672)=0,"功能编号无效",IF(H672="不适用",IF(J672="已实测","适用性冲突",IF(I672="","待补不适用依据","不适用（非实测）")),IF(J672="阻塞",IF(I672="","待补阻塞原因","阻塞（非实测）"),IF(J672&lt;&gt;"已实测",IF(F672="","待展开路径","未实测"),IF(H672&lt;&gt;"适用","待确认适用性",IF(INDEX(Equipment[登记状态（自动）],MATCH(B672,Equipment[组合编号],0))&lt;&gt;"已登记","待补设备组合",IF(AND(F672&lt;&gt;"",G672&lt;&gt;"",K672&lt;&gt;"",L672&lt;&gt;"",M672&lt;&gt;"",N672&lt;&gt;"",ISNUMBER(O672),O672&gt;0,P672&lt;&gt;""),"记录齐全","待补实测记录")))))))))))</x:f>
        <x:v>待展开路径</x:v>
      </x:c>
    </x:row>
    <x:row r="673" ht="43.5" customHeight="1">
      <x:c r="A673" s="20" t="str">
        <x:v>REC-00664</x:v>
      </x:c>
      <x:c r="B673" s="20" t="str">
        <x:v>P2-B2-01</x:v>
      </x:c>
      <x:c r="C673" s="30" t="str">
        <x:f>IF(B673="","",IF(COUNTIFS(Equipment[组合编号],B673)&lt;&gt;1,"组合编号无效",INDEX(Equipment[PLC组],MATCH(B673,Equipment[组合编号],0))))</x:f>
        <x:v>汇川中大型</x:v>
      </x:c>
      <x:c r="D673" s="30" t="str">
        <x:f>IF(B673="","",IF(COUNTIFS(Equipment[组合编号],B673)&lt;&gt;1,"组合编号无效",INDEX(Equipment[驱动品牌],MATCH(B673,Equipment[组合编号],0))))</x:f>
        <x:v>台达</x:v>
      </x:c>
      <x:c r="E673" s="20" t="str">
        <x:v>U01</x:v>
      </x:c>
      <x:c r="F673" s="20"/>
      <x:c r="G673" s="20"/>
      <x:c r="H673" s="20" t="str">
        <x:v>待判定</x:v>
      </x:c>
      <x:c r="I673" s="20"/>
      <x:c r="J673" s="20" t="str">
        <x:v>未测试</x:v>
      </x:c>
      <x:c r="K673" s="20"/>
      <x:c r="L673" s="20"/>
      <x:c r="M673" s="20"/>
      <x:c r="N673" s="20"/>
      <x:c r="O673" s="31"/>
      <x:c r="P673" s="20"/>
      <x:c r="Q673" s="20"/>
      <x:c r="R673" s="20" t="str">
        <x:v>待展开</x:v>
      </x:c>
      <x:c r="S673" s="20"/>
      <x:c r="T673" s="31"/>
      <x:c r="U673" s="30" t="str">
        <x:f>IF(A673="","缺记录编号",IF(COUNTIFS(PathRecords[记录编号],A673)&lt;&gt;1,"记录编号重复",IF(OR(B673="",E673=""),"缺组合/功能",IF(COUNTIFS(Equipment[组合编号],B673)&lt;&gt;1,"组合编号无效",IF(COUNTIFS(FunctionMatrix[编号],E673)=0,"功能编号无效",IF(H673="不适用",IF(J673="已实测","适用性冲突",IF(I673="","待补不适用依据","不适用（非实测）")),IF(J673="阻塞",IF(I673="","待补阻塞原因","阻塞（非实测）"),IF(J673&lt;&gt;"已实测",IF(F673="","待展开路径","未实测"),IF(H673&lt;&gt;"适用","待确认适用性",IF(INDEX(Equipment[登记状态（自动）],MATCH(B673,Equipment[组合编号],0))&lt;&gt;"已登记","待补设备组合",IF(AND(F673&lt;&gt;"",G673&lt;&gt;"",K673&lt;&gt;"",L673&lt;&gt;"",M673&lt;&gt;"",N673&lt;&gt;"",ISNUMBER(O673),O673&gt;0,P673&lt;&gt;""),"记录齐全","待补实测记录")))))))))))</x:f>
        <x:v>待展开路径</x:v>
      </x:c>
    </x:row>
    <x:row r="674" ht="43.5" customHeight="1">
      <x:c r="A674" s="20" t="str">
        <x:v>REC-00665</x:v>
      </x:c>
      <x:c r="B674" s="20" t="str">
        <x:v>P2-B2-01</x:v>
      </x:c>
      <x:c r="C674" s="30" t="str">
        <x:f>IF(B674="","",IF(COUNTIFS(Equipment[组合编号],B674)&lt;&gt;1,"组合编号无效",INDEX(Equipment[PLC组],MATCH(B674,Equipment[组合编号],0))))</x:f>
        <x:v>汇川中大型</x:v>
      </x:c>
      <x:c r="D674" s="30" t="str">
        <x:f>IF(B674="","",IF(COUNTIFS(Equipment[组合编号],B674)&lt;&gt;1,"组合编号无效",INDEX(Equipment[驱动品牌],MATCH(B674,Equipment[组合编号],0))))</x:f>
        <x:v>台达</x:v>
      </x:c>
      <x:c r="E674" s="20" t="str">
        <x:v>U02</x:v>
      </x:c>
      <x:c r="F674" s="20"/>
      <x:c r="G674" s="20"/>
      <x:c r="H674" s="20" t="str">
        <x:v>待判定</x:v>
      </x:c>
      <x:c r="I674" s="20"/>
      <x:c r="J674" s="20" t="str">
        <x:v>未测试</x:v>
      </x:c>
      <x:c r="K674" s="20"/>
      <x:c r="L674" s="20"/>
      <x:c r="M674" s="20"/>
      <x:c r="N674" s="20"/>
      <x:c r="O674" s="31"/>
      <x:c r="P674" s="20"/>
      <x:c r="Q674" s="20"/>
      <x:c r="R674" s="20" t="str">
        <x:v>待展开</x:v>
      </x:c>
      <x:c r="S674" s="20"/>
      <x:c r="T674" s="31"/>
      <x:c r="U674" s="30" t="str">
        <x:f>IF(A674="","缺记录编号",IF(COUNTIFS(PathRecords[记录编号],A674)&lt;&gt;1,"记录编号重复",IF(OR(B674="",E674=""),"缺组合/功能",IF(COUNTIFS(Equipment[组合编号],B674)&lt;&gt;1,"组合编号无效",IF(COUNTIFS(FunctionMatrix[编号],E674)=0,"功能编号无效",IF(H674="不适用",IF(J674="已实测","适用性冲突",IF(I674="","待补不适用依据","不适用（非实测）")),IF(J674="阻塞",IF(I674="","待补阻塞原因","阻塞（非实测）"),IF(J674&lt;&gt;"已实测",IF(F674="","待展开路径","未实测"),IF(H674&lt;&gt;"适用","待确认适用性",IF(INDEX(Equipment[登记状态（自动）],MATCH(B674,Equipment[组合编号],0))&lt;&gt;"已登记","待补设备组合",IF(AND(F674&lt;&gt;"",G674&lt;&gt;"",K674&lt;&gt;"",L674&lt;&gt;"",M674&lt;&gt;"",N674&lt;&gt;"",ISNUMBER(O674),O674&gt;0,P674&lt;&gt;""),"记录齐全","待补实测记录")))))))))))</x:f>
        <x:v>待展开路径</x:v>
      </x:c>
    </x:row>
    <x:row r="675" ht="43.5" customHeight="1">
      <x:c r="A675" s="20" t="str">
        <x:v>REC-00666</x:v>
      </x:c>
      <x:c r="B675" s="20" t="str">
        <x:v>P2-B2-01</x:v>
      </x:c>
      <x:c r="C675" s="30" t="str">
        <x:f>IF(B675="","",IF(COUNTIFS(Equipment[组合编号],B675)&lt;&gt;1,"组合编号无效",INDEX(Equipment[PLC组],MATCH(B675,Equipment[组合编号],0))))</x:f>
        <x:v>汇川中大型</x:v>
      </x:c>
      <x:c r="D675" s="30" t="str">
        <x:f>IF(B675="","",IF(COUNTIFS(Equipment[组合编号],B675)&lt;&gt;1,"组合编号无效",INDEX(Equipment[驱动品牌],MATCH(B675,Equipment[组合编号],0))))</x:f>
        <x:v>台达</x:v>
      </x:c>
      <x:c r="E675" s="20" t="str">
        <x:v>U03</x:v>
      </x:c>
      <x:c r="F675" s="20"/>
      <x:c r="G675" s="20"/>
      <x:c r="H675" s="20" t="str">
        <x:v>待判定</x:v>
      </x:c>
      <x:c r="I675" s="20"/>
      <x:c r="J675" s="20" t="str">
        <x:v>未测试</x:v>
      </x:c>
      <x:c r="K675" s="20"/>
      <x:c r="L675" s="20"/>
      <x:c r="M675" s="20"/>
      <x:c r="N675" s="20"/>
      <x:c r="O675" s="31"/>
      <x:c r="P675" s="20"/>
      <x:c r="Q675" s="20"/>
      <x:c r="R675" s="20" t="str">
        <x:v>待展开</x:v>
      </x:c>
      <x:c r="S675" s="20"/>
      <x:c r="T675" s="31"/>
      <x:c r="U675" s="30" t="str">
        <x:f>IF(A675="","缺记录编号",IF(COUNTIFS(PathRecords[记录编号],A675)&lt;&gt;1,"记录编号重复",IF(OR(B675="",E675=""),"缺组合/功能",IF(COUNTIFS(Equipment[组合编号],B675)&lt;&gt;1,"组合编号无效",IF(COUNTIFS(FunctionMatrix[编号],E675)=0,"功能编号无效",IF(H675="不适用",IF(J675="已实测","适用性冲突",IF(I675="","待补不适用依据","不适用（非实测）")),IF(J675="阻塞",IF(I675="","待补阻塞原因","阻塞（非实测）"),IF(J675&lt;&gt;"已实测",IF(F675="","待展开路径","未实测"),IF(H675&lt;&gt;"适用","待确认适用性",IF(INDEX(Equipment[登记状态（自动）],MATCH(B675,Equipment[组合编号],0))&lt;&gt;"已登记","待补设备组合",IF(AND(F675&lt;&gt;"",G675&lt;&gt;"",K675&lt;&gt;"",L675&lt;&gt;"",M675&lt;&gt;"",N675&lt;&gt;"",ISNUMBER(O675),O675&gt;0,P675&lt;&gt;""),"记录齐全","待补实测记录")))))))))))</x:f>
        <x:v>待展开路径</x:v>
      </x:c>
    </x:row>
    <x:row r="676" ht="43.5" customHeight="1">
      <x:c r="A676" s="20" t="str">
        <x:v>REC-00667</x:v>
      </x:c>
      <x:c r="B676" s="20" t="str">
        <x:v>P2-B2-01</x:v>
      </x:c>
      <x:c r="C676" s="30" t="str">
        <x:f>IF(B676="","",IF(COUNTIFS(Equipment[组合编号],B676)&lt;&gt;1,"组合编号无效",INDEX(Equipment[PLC组],MATCH(B676,Equipment[组合编号],0))))</x:f>
        <x:v>汇川中大型</x:v>
      </x:c>
      <x:c r="D676" s="30" t="str">
        <x:f>IF(B676="","",IF(COUNTIFS(Equipment[组合编号],B676)&lt;&gt;1,"组合编号无效",INDEX(Equipment[驱动品牌],MATCH(B676,Equipment[组合编号],0))))</x:f>
        <x:v>台达</x:v>
      </x:c>
      <x:c r="E676" s="20" t="str">
        <x:v>U04</x:v>
      </x:c>
      <x:c r="F676" s="20"/>
      <x:c r="G676" s="20"/>
      <x:c r="H676" s="20" t="str">
        <x:v>待判定</x:v>
      </x:c>
      <x:c r="I676" s="20"/>
      <x:c r="J676" s="20" t="str">
        <x:v>未测试</x:v>
      </x:c>
      <x:c r="K676" s="20"/>
      <x:c r="L676" s="20"/>
      <x:c r="M676" s="20"/>
      <x:c r="N676" s="20"/>
      <x:c r="O676" s="31"/>
      <x:c r="P676" s="20"/>
      <x:c r="Q676" s="20"/>
      <x:c r="R676" s="20" t="str">
        <x:v>待展开</x:v>
      </x:c>
      <x:c r="S676" s="20"/>
      <x:c r="T676" s="31"/>
      <x:c r="U676" s="30" t="str">
        <x:f>IF(A676="","缺记录编号",IF(COUNTIFS(PathRecords[记录编号],A676)&lt;&gt;1,"记录编号重复",IF(OR(B676="",E676=""),"缺组合/功能",IF(COUNTIFS(Equipment[组合编号],B676)&lt;&gt;1,"组合编号无效",IF(COUNTIFS(FunctionMatrix[编号],E676)=0,"功能编号无效",IF(H676="不适用",IF(J676="已实测","适用性冲突",IF(I676="","待补不适用依据","不适用（非实测）")),IF(J676="阻塞",IF(I676="","待补阻塞原因","阻塞（非实测）"),IF(J676&lt;&gt;"已实测",IF(F676="","待展开路径","未实测"),IF(H676&lt;&gt;"适用","待确认适用性",IF(INDEX(Equipment[登记状态（自动）],MATCH(B676,Equipment[组合编号],0))&lt;&gt;"已登记","待补设备组合",IF(AND(F676&lt;&gt;"",G676&lt;&gt;"",K676&lt;&gt;"",L676&lt;&gt;"",M676&lt;&gt;"",N676&lt;&gt;"",ISNUMBER(O676),O676&gt;0,P676&lt;&gt;""),"记录齐全","待补实测记录")))))))))))</x:f>
        <x:v>待展开路径</x:v>
      </x:c>
    </x:row>
    <x:row r="677" ht="43.5" customHeight="1">
      <x:c r="A677" s="20" t="str">
        <x:v>REC-00668</x:v>
      </x:c>
      <x:c r="B677" s="20" t="str">
        <x:v>P2-B2-01</x:v>
      </x:c>
      <x:c r="C677" s="30" t="str">
        <x:f>IF(B677="","",IF(COUNTIFS(Equipment[组合编号],B677)&lt;&gt;1,"组合编号无效",INDEX(Equipment[PLC组],MATCH(B677,Equipment[组合编号],0))))</x:f>
        <x:v>汇川中大型</x:v>
      </x:c>
      <x:c r="D677" s="30" t="str">
        <x:f>IF(B677="","",IF(COUNTIFS(Equipment[组合编号],B677)&lt;&gt;1,"组合编号无效",INDEX(Equipment[驱动品牌],MATCH(B677,Equipment[组合编号],0))))</x:f>
        <x:v>台达</x:v>
      </x:c>
      <x:c r="E677" s="20" t="str">
        <x:v>U05</x:v>
      </x:c>
      <x:c r="F677" s="20"/>
      <x:c r="G677" s="20"/>
      <x:c r="H677" s="20" t="str">
        <x:v>待判定</x:v>
      </x:c>
      <x:c r="I677" s="20"/>
      <x:c r="J677" s="20" t="str">
        <x:v>未测试</x:v>
      </x:c>
      <x:c r="K677" s="20"/>
      <x:c r="L677" s="20"/>
      <x:c r="M677" s="20"/>
      <x:c r="N677" s="20"/>
      <x:c r="O677" s="31"/>
      <x:c r="P677" s="20"/>
      <x:c r="Q677" s="20"/>
      <x:c r="R677" s="20" t="str">
        <x:v>待展开</x:v>
      </x:c>
      <x:c r="S677" s="20"/>
      <x:c r="T677" s="31"/>
      <x:c r="U677" s="30" t="str">
        <x:f>IF(A677="","缺记录编号",IF(COUNTIFS(PathRecords[记录编号],A677)&lt;&gt;1,"记录编号重复",IF(OR(B677="",E677=""),"缺组合/功能",IF(COUNTIFS(Equipment[组合编号],B677)&lt;&gt;1,"组合编号无效",IF(COUNTIFS(FunctionMatrix[编号],E677)=0,"功能编号无效",IF(H677="不适用",IF(J677="已实测","适用性冲突",IF(I677="","待补不适用依据","不适用（非实测）")),IF(J677="阻塞",IF(I677="","待补阻塞原因","阻塞（非实测）"),IF(J677&lt;&gt;"已实测",IF(F677="","待展开路径","未实测"),IF(H677&lt;&gt;"适用","待确认适用性",IF(INDEX(Equipment[登记状态（自动）],MATCH(B677,Equipment[组合编号],0))&lt;&gt;"已登记","待补设备组合",IF(AND(F677&lt;&gt;"",G677&lt;&gt;"",K677&lt;&gt;"",L677&lt;&gt;"",M677&lt;&gt;"",N677&lt;&gt;"",ISNUMBER(O677),O677&gt;0,P677&lt;&gt;""),"记录齐全","待补实测记录")))))))))))</x:f>
        <x:v>待展开路径</x:v>
      </x:c>
    </x:row>
    <x:row r="678" ht="43.5" customHeight="1">
      <x:c r="A678" s="20" t="str">
        <x:v>REC-00669</x:v>
      </x:c>
      <x:c r="B678" s="20" t="str">
        <x:v>P2-B2-01</x:v>
      </x:c>
      <x:c r="C678" s="30" t="str">
        <x:f>IF(B678="","",IF(COUNTIFS(Equipment[组合编号],B678)&lt;&gt;1,"组合编号无效",INDEX(Equipment[PLC组],MATCH(B678,Equipment[组合编号],0))))</x:f>
        <x:v>汇川中大型</x:v>
      </x:c>
      <x:c r="D678" s="30" t="str">
        <x:f>IF(B678="","",IF(COUNTIFS(Equipment[组合编号],B678)&lt;&gt;1,"组合编号无效",INDEX(Equipment[驱动品牌],MATCH(B678,Equipment[组合编号],0))))</x:f>
        <x:v>台达</x:v>
      </x:c>
      <x:c r="E678" s="20" t="str">
        <x:v>U06</x:v>
      </x:c>
      <x:c r="F678" s="20"/>
      <x:c r="G678" s="20"/>
      <x:c r="H678" s="20" t="str">
        <x:v>待判定</x:v>
      </x:c>
      <x:c r="I678" s="20"/>
      <x:c r="J678" s="20" t="str">
        <x:v>未测试</x:v>
      </x:c>
      <x:c r="K678" s="20"/>
      <x:c r="L678" s="20"/>
      <x:c r="M678" s="20"/>
      <x:c r="N678" s="20"/>
      <x:c r="O678" s="31"/>
      <x:c r="P678" s="20"/>
      <x:c r="Q678" s="20"/>
      <x:c r="R678" s="20" t="str">
        <x:v>待展开</x:v>
      </x:c>
      <x:c r="S678" s="20"/>
      <x:c r="T678" s="31"/>
      <x:c r="U678" s="30" t="str">
        <x:f>IF(A678="","缺记录编号",IF(COUNTIFS(PathRecords[记录编号],A678)&lt;&gt;1,"记录编号重复",IF(OR(B678="",E678=""),"缺组合/功能",IF(COUNTIFS(Equipment[组合编号],B678)&lt;&gt;1,"组合编号无效",IF(COUNTIFS(FunctionMatrix[编号],E678)=0,"功能编号无效",IF(H678="不适用",IF(J678="已实测","适用性冲突",IF(I678="","待补不适用依据","不适用（非实测）")),IF(J678="阻塞",IF(I678="","待补阻塞原因","阻塞（非实测）"),IF(J678&lt;&gt;"已实测",IF(F678="","待展开路径","未实测"),IF(H678&lt;&gt;"适用","待确认适用性",IF(INDEX(Equipment[登记状态（自动）],MATCH(B678,Equipment[组合编号],0))&lt;&gt;"已登记","待补设备组合",IF(AND(F678&lt;&gt;"",G678&lt;&gt;"",K678&lt;&gt;"",L678&lt;&gt;"",M678&lt;&gt;"",N678&lt;&gt;"",ISNUMBER(O678),O678&gt;0,P678&lt;&gt;""),"记录齐全","待补实测记录")))))))))))</x:f>
        <x:v>待展开路径</x:v>
      </x:c>
    </x:row>
    <x:row r="679" ht="43.5" customHeight="1">
      <x:c r="A679" s="20" t="str">
        <x:v>REC-00670</x:v>
      </x:c>
      <x:c r="B679" s="20" t="str">
        <x:v>P2-B2-01</x:v>
      </x:c>
      <x:c r="C679" s="30" t="str">
        <x:f>IF(B679="","",IF(COUNTIFS(Equipment[组合编号],B679)&lt;&gt;1,"组合编号无效",INDEX(Equipment[PLC组],MATCH(B679,Equipment[组合编号],0))))</x:f>
        <x:v>汇川中大型</x:v>
      </x:c>
      <x:c r="D679" s="30" t="str">
        <x:f>IF(B679="","",IF(COUNTIFS(Equipment[组合编号],B679)&lt;&gt;1,"组合编号无效",INDEX(Equipment[驱动品牌],MATCH(B679,Equipment[组合编号],0))))</x:f>
        <x:v>台达</x:v>
      </x:c>
      <x:c r="E679" s="20" t="str">
        <x:v>U07</x:v>
      </x:c>
      <x:c r="F679" s="20"/>
      <x:c r="G679" s="20"/>
      <x:c r="H679" s="20" t="str">
        <x:v>待判定</x:v>
      </x:c>
      <x:c r="I679" s="20"/>
      <x:c r="J679" s="20" t="str">
        <x:v>未测试</x:v>
      </x:c>
      <x:c r="K679" s="20"/>
      <x:c r="L679" s="20"/>
      <x:c r="M679" s="20"/>
      <x:c r="N679" s="20"/>
      <x:c r="O679" s="31"/>
      <x:c r="P679" s="20"/>
      <x:c r="Q679" s="20"/>
      <x:c r="R679" s="20" t="str">
        <x:v>待展开</x:v>
      </x:c>
      <x:c r="S679" s="20"/>
      <x:c r="T679" s="31"/>
      <x:c r="U679" s="30" t="str">
        <x:f>IF(A679="","缺记录编号",IF(COUNTIFS(PathRecords[记录编号],A679)&lt;&gt;1,"记录编号重复",IF(OR(B679="",E679=""),"缺组合/功能",IF(COUNTIFS(Equipment[组合编号],B679)&lt;&gt;1,"组合编号无效",IF(COUNTIFS(FunctionMatrix[编号],E679)=0,"功能编号无效",IF(H679="不适用",IF(J679="已实测","适用性冲突",IF(I679="","待补不适用依据","不适用（非实测）")),IF(J679="阻塞",IF(I679="","待补阻塞原因","阻塞（非实测）"),IF(J679&lt;&gt;"已实测",IF(F679="","待展开路径","未实测"),IF(H679&lt;&gt;"适用","待确认适用性",IF(INDEX(Equipment[登记状态（自动）],MATCH(B679,Equipment[组合编号],0))&lt;&gt;"已登记","待补设备组合",IF(AND(F679&lt;&gt;"",G679&lt;&gt;"",K679&lt;&gt;"",L679&lt;&gt;"",M679&lt;&gt;"",N679&lt;&gt;"",ISNUMBER(O679),O679&gt;0,P679&lt;&gt;""),"记录齐全","待补实测记录")))))))))))</x:f>
        <x:v>待展开路径</x:v>
      </x:c>
    </x:row>
    <x:row r="680" ht="43.5" customHeight="1">
      <x:c r="A680" s="20" t="str">
        <x:v>REC-00671</x:v>
      </x:c>
      <x:c r="B680" s="20" t="str">
        <x:v>P2-B2-01</x:v>
      </x:c>
      <x:c r="C680" s="30" t="str">
        <x:f>IF(B680="","",IF(COUNTIFS(Equipment[组合编号],B680)&lt;&gt;1,"组合编号无效",INDEX(Equipment[PLC组],MATCH(B680,Equipment[组合编号],0))))</x:f>
        <x:v>汇川中大型</x:v>
      </x:c>
      <x:c r="D680" s="30" t="str">
        <x:f>IF(B680="","",IF(COUNTIFS(Equipment[组合编号],B680)&lt;&gt;1,"组合编号无效",INDEX(Equipment[驱动品牌],MATCH(B680,Equipment[组合编号],0))))</x:f>
        <x:v>台达</x:v>
      </x:c>
      <x:c r="E680" s="20" t="str">
        <x:v>U08</x:v>
      </x:c>
      <x:c r="F680" s="20"/>
      <x:c r="G680" s="20"/>
      <x:c r="H680" s="20" t="str">
        <x:v>待判定</x:v>
      </x:c>
      <x:c r="I680" s="20"/>
      <x:c r="J680" s="20" t="str">
        <x:v>未测试</x:v>
      </x:c>
      <x:c r="K680" s="20"/>
      <x:c r="L680" s="20"/>
      <x:c r="M680" s="20"/>
      <x:c r="N680" s="20"/>
      <x:c r="O680" s="31"/>
      <x:c r="P680" s="20"/>
      <x:c r="Q680" s="20"/>
      <x:c r="R680" s="20" t="str">
        <x:v>待展开</x:v>
      </x:c>
      <x:c r="S680" s="20"/>
      <x:c r="T680" s="31"/>
      <x:c r="U680" s="30" t="str">
        <x:f>IF(A680="","缺记录编号",IF(COUNTIFS(PathRecords[记录编号],A680)&lt;&gt;1,"记录编号重复",IF(OR(B680="",E680=""),"缺组合/功能",IF(COUNTIFS(Equipment[组合编号],B680)&lt;&gt;1,"组合编号无效",IF(COUNTIFS(FunctionMatrix[编号],E680)=0,"功能编号无效",IF(H680="不适用",IF(J680="已实测","适用性冲突",IF(I680="","待补不适用依据","不适用（非实测）")),IF(J680="阻塞",IF(I680="","待补阻塞原因","阻塞（非实测）"),IF(J680&lt;&gt;"已实测",IF(F680="","待展开路径","未实测"),IF(H680&lt;&gt;"适用","待确认适用性",IF(INDEX(Equipment[登记状态（自动）],MATCH(B680,Equipment[组合编号],0))&lt;&gt;"已登记","待补设备组合",IF(AND(F680&lt;&gt;"",G680&lt;&gt;"",K680&lt;&gt;"",L680&lt;&gt;"",M680&lt;&gt;"",N680&lt;&gt;"",ISNUMBER(O680),O680&gt;0,P680&lt;&gt;""),"记录齐全","待补实测记录")))))))))))</x:f>
        <x:v>待展开路径</x:v>
      </x:c>
    </x:row>
    <x:row r="681" ht="43.5" customHeight="1">
      <x:c r="A681" s="20" t="str">
        <x:v>REC-00672</x:v>
      </x:c>
      <x:c r="B681" s="20" t="str">
        <x:v>P2-B2-01</x:v>
      </x:c>
      <x:c r="C681" s="30" t="str">
        <x:f>IF(B681="","",IF(COUNTIFS(Equipment[组合编号],B681)&lt;&gt;1,"组合编号无效",INDEX(Equipment[PLC组],MATCH(B681,Equipment[组合编号],0))))</x:f>
        <x:v>汇川中大型</x:v>
      </x:c>
      <x:c r="D681" s="30" t="str">
        <x:f>IF(B681="","",IF(COUNTIFS(Equipment[组合编号],B681)&lt;&gt;1,"组合编号无效",INDEX(Equipment[驱动品牌],MATCH(B681,Equipment[组合编号],0))))</x:f>
        <x:v>台达</x:v>
      </x:c>
      <x:c r="E681" s="20" t="str">
        <x:v>U09</x:v>
      </x:c>
      <x:c r="F681" s="20"/>
      <x:c r="G681" s="20"/>
      <x:c r="H681" s="20" t="str">
        <x:v>待判定</x:v>
      </x:c>
      <x:c r="I681" s="20"/>
      <x:c r="J681" s="20" t="str">
        <x:v>未测试</x:v>
      </x:c>
      <x:c r="K681" s="20"/>
      <x:c r="L681" s="20"/>
      <x:c r="M681" s="20"/>
      <x:c r="N681" s="20"/>
      <x:c r="O681" s="31"/>
      <x:c r="P681" s="20"/>
      <x:c r="Q681" s="20"/>
      <x:c r="R681" s="20" t="str">
        <x:v>待展开</x:v>
      </x:c>
      <x:c r="S681" s="20"/>
      <x:c r="T681" s="31"/>
      <x:c r="U681" s="30" t="str">
        <x:f>IF(A681="","缺记录编号",IF(COUNTIFS(PathRecords[记录编号],A681)&lt;&gt;1,"记录编号重复",IF(OR(B681="",E681=""),"缺组合/功能",IF(COUNTIFS(Equipment[组合编号],B681)&lt;&gt;1,"组合编号无效",IF(COUNTIFS(FunctionMatrix[编号],E681)=0,"功能编号无效",IF(H681="不适用",IF(J681="已实测","适用性冲突",IF(I681="","待补不适用依据","不适用（非实测）")),IF(J681="阻塞",IF(I681="","待补阻塞原因","阻塞（非实测）"),IF(J681&lt;&gt;"已实测",IF(F681="","待展开路径","未实测"),IF(H681&lt;&gt;"适用","待确认适用性",IF(INDEX(Equipment[登记状态（自动）],MATCH(B681,Equipment[组合编号],0))&lt;&gt;"已登记","待补设备组合",IF(AND(F681&lt;&gt;"",G681&lt;&gt;"",K681&lt;&gt;"",L681&lt;&gt;"",M681&lt;&gt;"",N681&lt;&gt;"",ISNUMBER(O681),O681&gt;0,P681&lt;&gt;""),"记录齐全","待补实测记录")))))))))))</x:f>
        <x:v>待展开路径</x:v>
      </x:c>
    </x:row>
    <x:row r="682" ht="43.5" customHeight="1">
      <x:c r="A682" s="20" t="str">
        <x:v>REC-00673</x:v>
      </x:c>
      <x:c r="B682" s="20" t="str">
        <x:v>P2-B2-01</x:v>
      </x:c>
      <x:c r="C682" s="30" t="str">
        <x:f>IF(B682="","",IF(COUNTIFS(Equipment[组合编号],B682)&lt;&gt;1,"组合编号无效",INDEX(Equipment[PLC组],MATCH(B682,Equipment[组合编号],0))))</x:f>
        <x:v>汇川中大型</x:v>
      </x:c>
      <x:c r="D682" s="30" t="str">
        <x:f>IF(B682="","",IF(COUNTIFS(Equipment[组合编号],B682)&lt;&gt;1,"组合编号无效",INDEX(Equipment[驱动品牌],MATCH(B682,Equipment[组合编号],0))))</x:f>
        <x:v>台达</x:v>
      </x:c>
      <x:c r="E682" s="20" t="str">
        <x:v>U10</x:v>
      </x:c>
      <x:c r="F682" s="20"/>
      <x:c r="G682" s="20"/>
      <x:c r="H682" s="20" t="str">
        <x:v>待判定</x:v>
      </x:c>
      <x:c r="I682" s="20"/>
      <x:c r="J682" s="20" t="str">
        <x:v>未测试</x:v>
      </x:c>
      <x:c r="K682" s="20"/>
      <x:c r="L682" s="20"/>
      <x:c r="M682" s="20"/>
      <x:c r="N682" s="20"/>
      <x:c r="O682" s="31"/>
      <x:c r="P682" s="20"/>
      <x:c r="Q682" s="20"/>
      <x:c r="R682" s="20" t="str">
        <x:v>待展开</x:v>
      </x:c>
      <x:c r="S682" s="20"/>
      <x:c r="T682" s="31"/>
      <x:c r="U682" s="30" t="str">
        <x:f>IF(A682="","缺记录编号",IF(COUNTIFS(PathRecords[记录编号],A682)&lt;&gt;1,"记录编号重复",IF(OR(B682="",E682=""),"缺组合/功能",IF(COUNTIFS(Equipment[组合编号],B682)&lt;&gt;1,"组合编号无效",IF(COUNTIFS(FunctionMatrix[编号],E682)=0,"功能编号无效",IF(H682="不适用",IF(J682="已实测","适用性冲突",IF(I682="","待补不适用依据","不适用（非实测）")),IF(J682="阻塞",IF(I682="","待补阻塞原因","阻塞（非实测）"),IF(J682&lt;&gt;"已实测",IF(F682="","待展开路径","未实测"),IF(H682&lt;&gt;"适用","待确认适用性",IF(INDEX(Equipment[登记状态（自动）],MATCH(B682,Equipment[组合编号],0))&lt;&gt;"已登记","待补设备组合",IF(AND(F682&lt;&gt;"",G682&lt;&gt;"",K682&lt;&gt;"",L682&lt;&gt;"",M682&lt;&gt;"",N682&lt;&gt;"",ISNUMBER(O682),O682&gt;0,P682&lt;&gt;""),"记录齐全","待补实测记录")))))))))))</x:f>
        <x:v>待展开路径</x:v>
      </x:c>
    </x:row>
    <x:row r="683" ht="43.5" customHeight="1">
      <x:c r="A683" s="20" t="str">
        <x:v>REC-00674</x:v>
      </x:c>
      <x:c r="B683" s="20" t="str">
        <x:v>P2-B2-01</x:v>
      </x:c>
      <x:c r="C683" s="30" t="str">
        <x:f>IF(B683="","",IF(COUNTIFS(Equipment[组合编号],B683)&lt;&gt;1,"组合编号无效",INDEX(Equipment[PLC组],MATCH(B683,Equipment[组合编号],0))))</x:f>
        <x:v>汇川中大型</x:v>
      </x:c>
      <x:c r="D683" s="30" t="str">
        <x:f>IF(B683="","",IF(COUNTIFS(Equipment[组合编号],B683)&lt;&gt;1,"组合编号无效",INDEX(Equipment[驱动品牌],MATCH(B683,Equipment[组合编号],0))))</x:f>
        <x:v>台达</x:v>
      </x:c>
      <x:c r="E683" s="20" t="str">
        <x:v>H01</x:v>
      </x:c>
      <x:c r="F683" s="20"/>
      <x:c r="G683" s="20"/>
      <x:c r="H683" s="20" t="str">
        <x:v>待判定</x:v>
      </x:c>
      <x:c r="I683" s="20"/>
      <x:c r="J683" s="20" t="str">
        <x:v>未测试</x:v>
      </x:c>
      <x:c r="K683" s="20"/>
      <x:c r="L683" s="20"/>
      <x:c r="M683" s="20"/>
      <x:c r="N683" s="20"/>
      <x:c r="O683" s="31"/>
      <x:c r="P683" s="20"/>
      <x:c r="Q683" s="20"/>
      <x:c r="R683" s="20" t="str">
        <x:v>待展开</x:v>
      </x:c>
      <x:c r="S683" s="20"/>
      <x:c r="T683" s="31"/>
      <x:c r="U683" s="30" t="str">
        <x:f>IF(A683="","缺记录编号",IF(COUNTIFS(PathRecords[记录编号],A683)&lt;&gt;1,"记录编号重复",IF(OR(B683="",E683=""),"缺组合/功能",IF(COUNTIFS(Equipment[组合编号],B683)&lt;&gt;1,"组合编号无效",IF(COUNTIFS(FunctionMatrix[编号],E683)=0,"功能编号无效",IF(H683="不适用",IF(J683="已实测","适用性冲突",IF(I683="","待补不适用依据","不适用（非实测）")),IF(J683="阻塞",IF(I683="","待补阻塞原因","阻塞（非实测）"),IF(J683&lt;&gt;"已实测",IF(F683="","待展开路径","未实测"),IF(H683&lt;&gt;"适用","待确认适用性",IF(INDEX(Equipment[登记状态（自动）],MATCH(B683,Equipment[组合编号],0))&lt;&gt;"已登记","待补设备组合",IF(AND(F683&lt;&gt;"",G683&lt;&gt;"",K683&lt;&gt;"",L683&lt;&gt;"",M683&lt;&gt;"",N683&lt;&gt;"",ISNUMBER(O683),O683&gt;0,P683&lt;&gt;""),"记录齐全","待补实测记录")))))))))))</x:f>
        <x:v>待展开路径</x:v>
      </x:c>
    </x:row>
    <x:row r="684" ht="43.5" customHeight="1">
      <x:c r="A684" s="20" t="str">
        <x:v>REC-00675</x:v>
      </x:c>
      <x:c r="B684" s="20" t="str">
        <x:v>P2-B2-01</x:v>
      </x:c>
      <x:c r="C684" s="30" t="str">
        <x:f>IF(B684="","",IF(COUNTIFS(Equipment[组合编号],B684)&lt;&gt;1,"组合编号无效",INDEX(Equipment[PLC组],MATCH(B684,Equipment[组合编号],0))))</x:f>
        <x:v>汇川中大型</x:v>
      </x:c>
      <x:c r="D684" s="30" t="str">
        <x:f>IF(B684="","",IF(COUNTIFS(Equipment[组合编号],B684)&lt;&gt;1,"组合编号无效",INDEX(Equipment[驱动品牌],MATCH(B684,Equipment[组合编号],0))))</x:f>
        <x:v>台达</x:v>
      </x:c>
      <x:c r="E684" s="20" t="str">
        <x:v>H02</x:v>
      </x:c>
      <x:c r="F684" s="20"/>
      <x:c r="G684" s="20"/>
      <x:c r="H684" s="20" t="str">
        <x:v>待判定</x:v>
      </x:c>
      <x:c r="I684" s="20"/>
      <x:c r="J684" s="20" t="str">
        <x:v>未测试</x:v>
      </x:c>
      <x:c r="K684" s="20"/>
      <x:c r="L684" s="20"/>
      <x:c r="M684" s="20"/>
      <x:c r="N684" s="20"/>
      <x:c r="O684" s="31"/>
      <x:c r="P684" s="20"/>
      <x:c r="Q684" s="20"/>
      <x:c r="R684" s="20" t="str">
        <x:v>待展开</x:v>
      </x:c>
      <x:c r="S684" s="20"/>
      <x:c r="T684" s="31"/>
      <x:c r="U684" s="30" t="str">
        <x:f>IF(A684="","缺记录编号",IF(COUNTIFS(PathRecords[记录编号],A684)&lt;&gt;1,"记录编号重复",IF(OR(B684="",E684=""),"缺组合/功能",IF(COUNTIFS(Equipment[组合编号],B684)&lt;&gt;1,"组合编号无效",IF(COUNTIFS(FunctionMatrix[编号],E684)=0,"功能编号无效",IF(H684="不适用",IF(J684="已实测","适用性冲突",IF(I684="","待补不适用依据","不适用（非实测）")),IF(J684="阻塞",IF(I684="","待补阻塞原因","阻塞（非实测）"),IF(J684&lt;&gt;"已实测",IF(F684="","待展开路径","未实测"),IF(H684&lt;&gt;"适用","待确认适用性",IF(INDEX(Equipment[登记状态（自动）],MATCH(B684,Equipment[组合编号],0))&lt;&gt;"已登记","待补设备组合",IF(AND(F684&lt;&gt;"",G684&lt;&gt;"",K684&lt;&gt;"",L684&lt;&gt;"",M684&lt;&gt;"",N684&lt;&gt;"",ISNUMBER(O684),O684&gt;0,P684&lt;&gt;""),"记录齐全","待补实测记录")))))))))))</x:f>
        <x:v>待展开路径</x:v>
      </x:c>
    </x:row>
    <x:row r="685" ht="43.5" customHeight="1">
      <x:c r="A685" s="20" t="str">
        <x:v>REC-00676</x:v>
      </x:c>
      <x:c r="B685" s="20" t="str">
        <x:v>P2-B2-01</x:v>
      </x:c>
      <x:c r="C685" s="30" t="str">
        <x:f>IF(B685="","",IF(COUNTIFS(Equipment[组合编号],B685)&lt;&gt;1,"组合编号无效",INDEX(Equipment[PLC组],MATCH(B685,Equipment[组合编号],0))))</x:f>
        <x:v>汇川中大型</x:v>
      </x:c>
      <x:c r="D685" s="30" t="str">
        <x:f>IF(B685="","",IF(COUNTIFS(Equipment[组合编号],B685)&lt;&gt;1,"组合编号无效",INDEX(Equipment[驱动品牌],MATCH(B685,Equipment[组合编号],0))))</x:f>
        <x:v>台达</x:v>
      </x:c>
      <x:c r="E685" s="20" t="str">
        <x:v>H03</x:v>
      </x:c>
      <x:c r="F685" s="20"/>
      <x:c r="G685" s="20"/>
      <x:c r="H685" s="20" t="str">
        <x:v>待判定</x:v>
      </x:c>
      <x:c r="I685" s="20"/>
      <x:c r="J685" s="20" t="str">
        <x:v>未测试</x:v>
      </x:c>
      <x:c r="K685" s="20"/>
      <x:c r="L685" s="20"/>
      <x:c r="M685" s="20"/>
      <x:c r="N685" s="20"/>
      <x:c r="O685" s="31"/>
      <x:c r="P685" s="20"/>
      <x:c r="Q685" s="20"/>
      <x:c r="R685" s="20" t="str">
        <x:v>待展开</x:v>
      </x:c>
      <x:c r="S685" s="20"/>
      <x:c r="T685" s="31"/>
      <x:c r="U685" s="30" t="str">
        <x:f>IF(A685="","缺记录编号",IF(COUNTIFS(PathRecords[记录编号],A685)&lt;&gt;1,"记录编号重复",IF(OR(B685="",E685=""),"缺组合/功能",IF(COUNTIFS(Equipment[组合编号],B685)&lt;&gt;1,"组合编号无效",IF(COUNTIFS(FunctionMatrix[编号],E685)=0,"功能编号无效",IF(H685="不适用",IF(J685="已实测","适用性冲突",IF(I685="","待补不适用依据","不适用（非实测）")),IF(J685="阻塞",IF(I685="","待补阻塞原因","阻塞（非实测）"),IF(J685&lt;&gt;"已实测",IF(F685="","待展开路径","未实测"),IF(H685&lt;&gt;"适用","待确认适用性",IF(INDEX(Equipment[登记状态（自动）],MATCH(B685,Equipment[组合编号],0))&lt;&gt;"已登记","待补设备组合",IF(AND(F685&lt;&gt;"",G685&lt;&gt;"",K685&lt;&gt;"",L685&lt;&gt;"",M685&lt;&gt;"",N685&lt;&gt;"",ISNUMBER(O685),O685&gt;0,P685&lt;&gt;""),"记录齐全","待补实测记录")))))))))))</x:f>
        <x:v>待展开路径</x:v>
      </x:c>
    </x:row>
    <x:row r="686" ht="43.5" customHeight="1">
      <x:c r="A686" s="20" t="str">
        <x:v>REC-00677</x:v>
      </x:c>
      <x:c r="B686" s="20" t="str">
        <x:v>P2-B2-01</x:v>
      </x:c>
      <x:c r="C686" s="30" t="str">
        <x:f>IF(B686="","",IF(COUNTIFS(Equipment[组合编号],B686)&lt;&gt;1,"组合编号无效",INDEX(Equipment[PLC组],MATCH(B686,Equipment[组合编号],0))))</x:f>
        <x:v>汇川中大型</x:v>
      </x:c>
      <x:c r="D686" s="30" t="str">
        <x:f>IF(B686="","",IF(COUNTIFS(Equipment[组合编号],B686)&lt;&gt;1,"组合编号无效",INDEX(Equipment[驱动品牌],MATCH(B686,Equipment[组合编号],0))))</x:f>
        <x:v>台达</x:v>
      </x:c>
      <x:c r="E686" s="20" t="str">
        <x:v>H04</x:v>
      </x:c>
      <x:c r="F686" s="20"/>
      <x:c r="G686" s="20"/>
      <x:c r="H686" s="20" t="str">
        <x:v>待判定</x:v>
      </x:c>
      <x:c r="I686" s="20"/>
      <x:c r="J686" s="20" t="str">
        <x:v>未测试</x:v>
      </x:c>
      <x:c r="K686" s="20"/>
      <x:c r="L686" s="20"/>
      <x:c r="M686" s="20"/>
      <x:c r="N686" s="20"/>
      <x:c r="O686" s="31"/>
      <x:c r="P686" s="20"/>
      <x:c r="Q686" s="20"/>
      <x:c r="R686" s="20" t="str">
        <x:v>待展开</x:v>
      </x:c>
      <x:c r="S686" s="20"/>
      <x:c r="T686" s="31"/>
      <x:c r="U686" s="30" t="str">
        <x:f>IF(A686="","缺记录编号",IF(COUNTIFS(PathRecords[记录编号],A686)&lt;&gt;1,"记录编号重复",IF(OR(B686="",E686=""),"缺组合/功能",IF(COUNTIFS(Equipment[组合编号],B686)&lt;&gt;1,"组合编号无效",IF(COUNTIFS(FunctionMatrix[编号],E686)=0,"功能编号无效",IF(H686="不适用",IF(J686="已实测","适用性冲突",IF(I686="","待补不适用依据","不适用（非实测）")),IF(J686="阻塞",IF(I686="","待补阻塞原因","阻塞（非实测）"),IF(J686&lt;&gt;"已实测",IF(F686="","待展开路径","未实测"),IF(H686&lt;&gt;"适用","待确认适用性",IF(INDEX(Equipment[登记状态（自动）],MATCH(B686,Equipment[组合编号],0))&lt;&gt;"已登记","待补设备组合",IF(AND(F686&lt;&gt;"",G686&lt;&gt;"",K686&lt;&gt;"",L686&lt;&gt;"",M686&lt;&gt;"",N686&lt;&gt;"",ISNUMBER(O686),O686&gt;0,P686&lt;&gt;""),"记录齐全","待补实测记录")))))))))))</x:f>
        <x:v>待展开路径</x:v>
      </x:c>
    </x:row>
    <x:row r="687" ht="43.5" customHeight="1">
      <x:c r="A687" s="20" t="str">
        <x:v>REC-00678</x:v>
      </x:c>
      <x:c r="B687" s="20" t="str">
        <x:v>P2-B2-01</x:v>
      </x:c>
      <x:c r="C687" s="30" t="str">
        <x:f>IF(B687="","",IF(COUNTIFS(Equipment[组合编号],B687)&lt;&gt;1,"组合编号无效",INDEX(Equipment[PLC组],MATCH(B687,Equipment[组合编号],0))))</x:f>
        <x:v>汇川中大型</x:v>
      </x:c>
      <x:c r="D687" s="30" t="str">
        <x:f>IF(B687="","",IF(COUNTIFS(Equipment[组合编号],B687)&lt;&gt;1,"组合编号无效",INDEX(Equipment[驱动品牌],MATCH(B687,Equipment[组合编号],0))))</x:f>
        <x:v>台达</x:v>
      </x:c>
      <x:c r="E687" s="20" t="str">
        <x:v>H05</x:v>
      </x:c>
      <x:c r="F687" s="20"/>
      <x:c r="G687" s="20"/>
      <x:c r="H687" s="20" t="str">
        <x:v>待判定</x:v>
      </x:c>
      <x:c r="I687" s="20"/>
      <x:c r="J687" s="20" t="str">
        <x:v>未测试</x:v>
      </x:c>
      <x:c r="K687" s="20"/>
      <x:c r="L687" s="20"/>
      <x:c r="M687" s="20"/>
      <x:c r="N687" s="20"/>
      <x:c r="O687" s="31"/>
      <x:c r="P687" s="20"/>
      <x:c r="Q687" s="20"/>
      <x:c r="R687" s="20" t="str">
        <x:v>待展开</x:v>
      </x:c>
      <x:c r="S687" s="20"/>
      <x:c r="T687" s="31"/>
      <x:c r="U687" s="30" t="str">
        <x:f>IF(A687="","缺记录编号",IF(COUNTIFS(PathRecords[记录编号],A687)&lt;&gt;1,"记录编号重复",IF(OR(B687="",E687=""),"缺组合/功能",IF(COUNTIFS(Equipment[组合编号],B687)&lt;&gt;1,"组合编号无效",IF(COUNTIFS(FunctionMatrix[编号],E687)=0,"功能编号无效",IF(H687="不适用",IF(J687="已实测","适用性冲突",IF(I687="","待补不适用依据","不适用（非实测）")),IF(J687="阻塞",IF(I687="","待补阻塞原因","阻塞（非实测）"),IF(J687&lt;&gt;"已实测",IF(F687="","待展开路径","未实测"),IF(H687&lt;&gt;"适用","待确认适用性",IF(INDEX(Equipment[登记状态（自动）],MATCH(B687,Equipment[组合编号],0))&lt;&gt;"已登记","待补设备组合",IF(AND(F687&lt;&gt;"",G687&lt;&gt;"",K687&lt;&gt;"",L687&lt;&gt;"",M687&lt;&gt;"",N687&lt;&gt;"",ISNUMBER(O687),O687&gt;0,P687&lt;&gt;""),"记录齐全","待补实测记录")))))))))))</x:f>
        <x:v>待展开路径</x:v>
      </x:c>
    </x:row>
    <x:row r="688" ht="43.5" customHeight="1">
      <x:c r="A688" s="20" t="str">
        <x:v>REC-00679</x:v>
      </x:c>
      <x:c r="B688" s="20" t="str">
        <x:v>P2-B2-01</x:v>
      </x:c>
      <x:c r="C688" s="30" t="str">
        <x:f>IF(B688="","",IF(COUNTIFS(Equipment[组合编号],B688)&lt;&gt;1,"组合编号无效",INDEX(Equipment[PLC组],MATCH(B688,Equipment[组合编号],0))))</x:f>
        <x:v>汇川中大型</x:v>
      </x:c>
      <x:c r="D688" s="30" t="str">
        <x:f>IF(B688="","",IF(COUNTIFS(Equipment[组合编号],B688)&lt;&gt;1,"组合编号无效",INDEX(Equipment[驱动品牌],MATCH(B688,Equipment[组合编号],0))))</x:f>
        <x:v>台达</x:v>
      </x:c>
      <x:c r="E688" s="20" t="str">
        <x:v>H06</x:v>
      </x:c>
      <x:c r="F688" s="20"/>
      <x:c r="G688" s="20"/>
      <x:c r="H688" s="20" t="str">
        <x:v>待判定</x:v>
      </x:c>
      <x:c r="I688" s="20"/>
      <x:c r="J688" s="20" t="str">
        <x:v>未测试</x:v>
      </x:c>
      <x:c r="K688" s="20"/>
      <x:c r="L688" s="20"/>
      <x:c r="M688" s="20"/>
      <x:c r="N688" s="20"/>
      <x:c r="O688" s="31"/>
      <x:c r="P688" s="20"/>
      <x:c r="Q688" s="20"/>
      <x:c r="R688" s="20" t="str">
        <x:v>待展开</x:v>
      </x:c>
      <x:c r="S688" s="20"/>
      <x:c r="T688" s="31"/>
      <x:c r="U688" s="30" t="str">
        <x:f>IF(A688="","缺记录编号",IF(COUNTIFS(PathRecords[记录编号],A688)&lt;&gt;1,"记录编号重复",IF(OR(B688="",E688=""),"缺组合/功能",IF(COUNTIFS(Equipment[组合编号],B688)&lt;&gt;1,"组合编号无效",IF(COUNTIFS(FunctionMatrix[编号],E688)=0,"功能编号无效",IF(H688="不适用",IF(J688="已实测","适用性冲突",IF(I688="","待补不适用依据","不适用（非实测）")),IF(J688="阻塞",IF(I688="","待补阻塞原因","阻塞（非实测）"),IF(J688&lt;&gt;"已实测",IF(F688="","待展开路径","未实测"),IF(H688&lt;&gt;"适用","待确认适用性",IF(INDEX(Equipment[登记状态（自动）],MATCH(B688,Equipment[组合编号],0))&lt;&gt;"已登记","待补设备组合",IF(AND(F688&lt;&gt;"",G688&lt;&gt;"",K688&lt;&gt;"",L688&lt;&gt;"",M688&lt;&gt;"",N688&lt;&gt;"",ISNUMBER(O688),O688&gt;0,P688&lt;&gt;""),"记录齐全","待补实测记录")))))))))))</x:f>
        <x:v>待展开路径</x:v>
      </x:c>
    </x:row>
    <x:row r="689" ht="43.5" customHeight="1">
      <x:c r="A689" s="20" t="str">
        <x:v>REC-00680</x:v>
      </x:c>
      <x:c r="B689" s="20" t="str">
        <x:v>P2-B2-01</x:v>
      </x:c>
      <x:c r="C689" s="30" t="str">
        <x:f>IF(B689="","",IF(COUNTIFS(Equipment[组合编号],B689)&lt;&gt;1,"组合编号无效",INDEX(Equipment[PLC组],MATCH(B689,Equipment[组合编号],0))))</x:f>
        <x:v>汇川中大型</x:v>
      </x:c>
      <x:c r="D689" s="30" t="str">
        <x:f>IF(B689="","",IF(COUNTIFS(Equipment[组合编号],B689)&lt;&gt;1,"组合编号无效",INDEX(Equipment[驱动品牌],MATCH(B689,Equipment[组合编号],0))))</x:f>
        <x:v>台达</x:v>
      </x:c>
      <x:c r="E689" s="20" t="str">
        <x:v>H07</x:v>
      </x:c>
      <x:c r="F689" s="20"/>
      <x:c r="G689" s="20"/>
      <x:c r="H689" s="20" t="str">
        <x:v>待判定</x:v>
      </x:c>
      <x:c r="I689" s="20"/>
      <x:c r="J689" s="20" t="str">
        <x:v>未测试</x:v>
      </x:c>
      <x:c r="K689" s="20"/>
      <x:c r="L689" s="20"/>
      <x:c r="M689" s="20"/>
      <x:c r="N689" s="20"/>
      <x:c r="O689" s="31"/>
      <x:c r="P689" s="20"/>
      <x:c r="Q689" s="20"/>
      <x:c r="R689" s="20" t="str">
        <x:v>待展开</x:v>
      </x:c>
      <x:c r="S689" s="20"/>
      <x:c r="T689" s="31"/>
      <x:c r="U689" s="30" t="str">
        <x:f>IF(A689="","缺记录编号",IF(COUNTIFS(PathRecords[记录编号],A689)&lt;&gt;1,"记录编号重复",IF(OR(B689="",E689=""),"缺组合/功能",IF(COUNTIFS(Equipment[组合编号],B689)&lt;&gt;1,"组合编号无效",IF(COUNTIFS(FunctionMatrix[编号],E689)=0,"功能编号无效",IF(H689="不适用",IF(J689="已实测","适用性冲突",IF(I689="","待补不适用依据","不适用（非实测）")),IF(J689="阻塞",IF(I689="","待补阻塞原因","阻塞（非实测）"),IF(J689&lt;&gt;"已实测",IF(F689="","待展开路径","未实测"),IF(H689&lt;&gt;"适用","待确认适用性",IF(INDEX(Equipment[登记状态（自动）],MATCH(B689,Equipment[组合编号],0))&lt;&gt;"已登记","待补设备组合",IF(AND(F689&lt;&gt;"",G689&lt;&gt;"",K689&lt;&gt;"",L689&lt;&gt;"",M689&lt;&gt;"",N689&lt;&gt;"",ISNUMBER(O689),O689&gt;0,P689&lt;&gt;""),"记录齐全","待补实测记录")))))))))))</x:f>
        <x:v>待展开路径</x:v>
      </x:c>
    </x:row>
    <x:row r="690" ht="43.5" customHeight="1">
      <x:c r="A690" s="20" t="str">
        <x:v>REC-00681</x:v>
      </x:c>
      <x:c r="B690" s="20" t="str">
        <x:v>P2-B2-01</x:v>
      </x:c>
      <x:c r="C690" s="30" t="str">
        <x:f>IF(B690="","",IF(COUNTIFS(Equipment[组合编号],B690)&lt;&gt;1,"组合编号无效",INDEX(Equipment[PLC组],MATCH(B690,Equipment[组合编号],0))))</x:f>
        <x:v>汇川中大型</x:v>
      </x:c>
      <x:c r="D690" s="30" t="str">
        <x:f>IF(B690="","",IF(COUNTIFS(Equipment[组合编号],B690)&lt;&gt;1,"组合编号无效",INDEX(Equipment[驱动品牌],MATCH(B690,Equipment[组合编号],0))))</x:f>
        <x:v>台达</x:v>
      </x:c>
      <x:c r="E690" s="20" t="str">
        <x:v>H08</x:v>
      </x:c>
      <x:c r="F690" s="20"/>
      <x:c r="G690" s="20"/>
      <x:c r="H690" s="20" t="str">
        <x:v>待判定</x:v>
      </x:c>
      <x:c r="I690" s="20"/>
      <x:c r="J690" s="20" t="str">
        <x:v>未测试</x:v>
      </x:c>
      <x:c r="K690" s="20"/>
      <x:c r="L690" s="20"/>
      <x:c r="M690" s="20"/>
      <x:c r="N690" s="20"/>
      <x:c r="O690" s="31"/>
      <x:c r="P690" s="20"/>
      <x:c r="Q690" s="20"/>
      <x:c r="R690" s="20" t="str">
        <x:v>待展开</x:v>
      </x:c>
      <x:c r="S690" s="20"/>
      <x:c r="T690" s="31"/>
      <x:c r="U690" s="30" t="str">
        <x:f>IF(A690="","缺记录编号",IF(COUNTIFS(PathRecords[记录编号],A690)&lt;&gt;1,"记录编号重复",IF(OR(B690="",E690=""),"缺组合/功能",IF(COUNTIFS(Equipment[组合编号],B690)&lt;&gt;1,"组合编号无效",IF(COUNTIFS(FunctionMatrix[编号],E690)=0,"功能编号无效",IF(H690="不适用",IF(J690="已实测","适用性冲突",IF(I690="","待补不适用依据","不适用（非实测）")),IF(J690="阻塞",IF(I690="","待补阻塞原因","阻塞（非实测）"),IF(J690&lt;&gt;"已实测",IF(F690="","待展开路径","未实测"),IF(H690&lt;&gt;"适用","待确认适用性",IF(INDEX(Equipment[登记状态（自动）],MATCH(B690,Equipment[组合编号],0))&lt;&gt;"已登记","待补设备组合",IF(AND(F690&lt;&gt;"",G690&lt;&gt;"",K690&lt;&gt;"",L690&lt;&gt;"",M690&lt;&gt;"",N690&lt;&gt;"",ISNUMBER(O690),O690&gt;0,P690&lt;&gt;""),"记录齐全","待补实测记录")))))))))))</x:f>
        <x:v>待展开路径</x:v>
      </x:c>
    </x:row>
    <x:row r="691" ht="43.5" customHeight="1">
      <x:c r="A691" s="20" t="str">
        <x:v>REC-00682</x:v>
      </x:c>
      <x:c r="B691" s="20" t="str">
        <x:v>P2-B2-01</x:v>
      </x:c>
      <x:c r="C691" s="30" t="str">
        <x:f>IF(B691="","",IF(COUNTIFS(Equipment[组合编号],B691)&lt;&gt;1,"组合编号无效",INDEX(Equipment[PLC组],MATCH(B691,Equipment[组合编号],0))))</x:f>
        <x:v>汇川中大型</x:v>
      </x:c>
      <x:c r="D691" s="30" t="str">
        <x:f>IF(B691="","",IF(COUNTIFS(Equipment[组合编号],B691)&lt;&gt;1,"组合编号无效",INDEX(Equipment[驱动品牌],MATCH(B691,Equipment[组合编号],0))))</x:f>
        <x:v>台达</x:v>
      </x:c>
      <x:c r="E691" s="20" t="str">
        <x:v>H09</x:v>
      </x:c>
      <x:c r="F691" s="20"/>
      <x:c r="G691" s="20"/>
      <x:c r="H691" s="20" t="str">
        <x:v>待判定</x:v>
      </x:c>
      <x:c r="I691" s="20"/>
      <x:c r="J691" s="20" t="str">
        <x:v>未测试</x:v>
      </x:c>
      <x:c r="K691" s="20"/>
      <x:c r="L691" s="20"/>
      <x:c r="M691" s="20"/>
      <x:c r="N691" s="20"/>
      <x:c r="O691" s="31"/>
      <x:c r="P691" s="20"/>
      <x:c r="Q691" s="20"/>
      <x:c r="R691" s="20" t="str">
        <x:v>待展开</x:v>
      </x:c>
      <x:c r="S691" s="20"/>
      <x:c r="T691" s="31"/>
      <x:c r="U691" s="30" t="str">
        <x:f>IF(A691="","缺记录编号",IF(COUNTIFS(PathRecords[记录编号],A691)&lt;&gt;1,"记录编号重复",IF(OR(B691="",E691=""),"缺组合/功能",IF(COUNTIFS(Equipment[组合编号],B691)&lt;&gt;1,"组合编号无效",IF(COUNTIFS(FunctionMatrix[编号],E691)=0,"功能编号无效",IF(H691="不适用",IF(J691="已实测","适用性冲突",IF(I691="","待补不适用依据","不适用（非实测）")),IF(J691="阻塞",IF(I691="","待补阻塞原因","阻塞（非实测）"),IF(J691&lt;&gt;"已实测",IF(F691="","待展开路径","未实测"),IF(H691&lt;&gt;"适用","待确认适用性",IF(INDEX(Equipment[登记状态（自动）],MATCH(B691,Equipment[组合编号],0))&lt;&gt;"已登记","待补设备组合",IF(AND(F691&lt;&gt;"",G691&lt;&gt;"",K691&lt;&gt;"",L691&lt;&gt;"",M691&lt;&gt;"",N691&lt;&gt;"",ISNUMBER(O691),O691&gt;0,P691&lt;&gt;""),"记录齐全","待补实测记录")))))))))))</x:f>
        <x:v>待展开路径</x:v>
      </x:c>
    </x:row>
    <x:row r="692" ht="43.5" customHeight="1">
      <x:c r="A692" s="20" t="str">
        <x:v>REC-00683</x:v>
      </x:c>
      <x:c r="B692" s="20" t="str">
        <x:v>P2-B2-01</x:v>
      </x:c>
      <x:c r="C692" s="30" t="str">
        <x:f>IF(B692="","",IF(COUNTIFS(Equipment[组合编号],B692)&lt;&gt;1,"组合编号无效",INDEX(Equipment[PLC组],MATCH(B692,Equipment[组合编号],0))))</x:f>
        <x:v>汇川中大型</x:v>
      </x:c>
      <x:c r="D692" s="30" t="str">
        <x:f>IF(B692="","",IF(COUNTIFS(Equipment[组合编号],B692)&lt;&gt;1,"组合编号无效",INDEX(Equipment[驱动品牌],MATCH(B692,Equipment[组合编号],0))))</x:f>
        <x:v>台达</x:v>
      </x:c>
      <x:c r="E692" s="20" t="str">
        <x:v>H10</x:v>
      </x:c>
      <x:c r="F692" s="20"/>
      <x:c r="G692" s="20"/>
      <x:c r="H692" s="20" t="str">
        <x:v>待判定</x:v>
      </x:c>
      <x:c r="I692" s="20"/>
      <x:c r="J692" s="20" t="str">
        <x:v>未测试</x:v>
      </x:c>
      <x:c r="K692" s="20"/>
      <x:c r="L692" s="20"/>
      <x:c r="M692" s="20"/>
      <x:c r="N692" s="20"/>
      <x:c r="O692" s="31"/>
      <x:c r="P692" s="20"/>
      <x:c r="Q692" s="20"/>
      <x:c r="R692" s="20" t="str">
        <x:v>待展开</x:v>
      </x:c>
      <x:c r="S692" s="20"/>
      <x:c r="T692" s="31"/>
      <x:c r="U692" s="30" t="str">
        <x:f>IF(A692="","缺记录编号",IF(COUNTIFS(PathRecords[记录编号],A692)&lt;&gt;1,"记录编号重复",IF(OR(B692="",E692=""),"缺组合/功能",IF(COUNTIFS(Equipment[组合编号],B692)&lt;&gt;1,"组合编号无效",IF(COUNTIFS(FunctionMatrix[编号],E692)=0,"功能编号无效",IF(H692="不适用",IF(J692="已实测","适用性冲突",IF(I692="","待补不适用依据","不适用（非实测）")),IF(J692="阻塞",IF(I692="","待补阻塞原因","阻塞（非实测）"),IF(J692&lt;&gt;"已实测",IF(F692="","待展开路径","未实测"),IF(H692&lt;&gt;"适用","待确认适用性",IF(INDEX(Equipment[登记状态（自动）],MATCH(B692,Equipment[组合编号],0))&lt;&gt;"已登记","待补设备组合",IF(AND(F692&lt;&gt;"",G692&lt;&gt;"",K692&lt;&gt;"",L692&lt;&gt;"",M692&lt;&gt;"",N692&lt;&gt;"",ISNUMBER(O692),O692&gt;0,P692&lt;&gt;""),"记录齐全","待补实测记录")))))))))))</x:f>
        <x:v>待展开路径</x:v>
      </x:c>
    </x:row>
    <x:row r="693" ht="43.5" customHeight="1">
      <x:c r="A693" s="20" t="str">
        <x:v>REC-00684</x:v>
      </x:c>
      <x:c r="B693" s="20" t="str">
        <x:v>P2-B2-01</x:v>
      </x:c>
      <x:c r="C693" s="30" t="str">
        <x:f>IF(B693="","",IF(COUNTIFS(Equipment[组合编号],B693)&lt;&gt;1,"组合编号无效",INDEX(Equipment[PLC组],MATCH(B693,Equipment[组合编号],0))))</x:f>
        <x:v>汇川中大型</x:v>
      </x:c>
      <x:c r="D693" s="30" t="str">
        <x:f>IF(B693="","",IF(COUNTIFS(Equipment[组合编号],B693)&lt;&gt;1,"组合编号无效",INDEX(Equipment[驱动品牌],MATCH(B693,Equipment[组合编号],0))))</x:f>
        <x:v>台达</x:v>
      </x:c>
      <x:c r="E693" s="20" t="str">
        <x:v>H11</x:v>
      </x:c>
      <x:c r="F693" s="20"/>
      <x:c r="G693" s="20"/>
      <x:c r="H693" s="20" t="str">
        <x:v>待判定</x:v>
      </x:c>
      <x:c r="I693" s="20"/>
      <x:c r="J693" s="20" t="str">
        <x:v>未测试</x:v>
      </x:c>
      <x:c r="K693" s="20"/>
      <x:c r="L693" s="20"/>
      <x:c r="M693" s="20"/>
      <x:c r="N693" s="20"/>
      <x:c r="O693" s="31"/>
      <x:c r="P693" s="20"/>
      <x:c r="Q693" s="20"/>
      <x:c r="R693" s="20" t="str">
        <x:v>待展开</x:v>
      </x:c>
      <x:c r="S693" s="20"/>
      <x:c r="T693" s="31"/>
      <x:c r="U693" s="30" t="str">
        <x:f>IF(A693="","缺记录编号",IF(COUNTIFS(PathRecords[记录编号],A693)&lt;&gt;1,"记录编号重复",IF(OR(B693="",E693=""),"缺组合/功能",IF(COUNTIFS(Equipment[组合编号],B693)&lt;&gt;1,"组合编号无效",IF(COUNTIFS(FunctionMatrix[编号],E693)=0,"功能编号无效",IF(H693="不适用",IF(J693="已实测","适用性冲突",IF(I693="","待补不适用依据","不适用（非实测）")),IF(J693="阻塞",IF(I693="","待补阻塞原因","阻塞（非实测）"),IF(J693&lt;&gt;"已实测",IF(F693="","待展开路径","未实测"),IF(H693&lt;&gt;"适用","待确认适用性",IF(INDEX(Equipment[登记状态（自动）],MATCH(B693,Equipment[组合编号],0))&lt;&gt;"已登记","待补设备组合",IF(AND(F693&lt;&gt;"",G693&lt;&gt;"",K693&lt;&gt;"",L693&lt;&gt;"",M693&lt;&gt;"",N693&lt;&gt;"",ISNUMBER(O693),O693&gt;0,P693&lt;&gt;""),"记录齐全","待补实测记录")))))))))))</x:f>
        <x:v>待展开路径</x:v>
      </x:c>
    </x:row>
    <x:row r="694" ht="43.5" customHeight="1">
      <x:c r="A694" s="20" t="str">
        <x:v>REC-00685</x:v>
      </x:c>
      <x:c r="B694" s="20" t="str">
        <x:v>P2-B2-01</x:v>
      </x:c>
      <x:c r="C694" s="30" t="str">
        <x:f>IF(B694="","",IF(COUNTIFS(Equipment[组合编号],B694)&lt;&gt;1,"组合编号无效",INDEX(Equipment[PLC组],MATCH(B694,Equipment[组合编号],0))))</x:f>
        <x:v>汇川中大型</x:v>
      </x:c>
      <x:c r="D694" s="30" t="str">
        <x:f>IF(B694="","",IF(COUNTIFS(Equipment[组合编号],B694)&lt;&gt;1,"组合编号无效",INDEX(Equipment[驱动品牌],MATCH(B694,Equipment[组合编号],0))))</x:f>
        <x:v>台达</x:v>
      </x:c>
      <x:c r="E694" s="20" t="str">
        <x:v>N01</x:v>
      </x:c>
      <x:c r="F694" s="20"/>
      <x:c r="G694" s="20"/>
      <x:c r="H694" s="20" t="str">
        <x:v>待判定</x:v>
      </x:c>
      <x:c r="I694" s="20"/>
      <x:c r="J694" s="20" t="str">
        <x:v>未测试</x:v>
      </x:c>
      <x:c r="K694" s="20"/>
      <x:c r="L694" s="20"/>
      <x:c r="M694" s="20"/>
      <x:c r="N694" s="20"/>
      <x:c r="O694" s="31"/>
      <x:c r="P694" s="20"/>
      <x:c r="Q694" s="20"/>
      <x:c r="R694" s="20" t="str">
        <x:v>待展开</x:v>
      </x:c>
      <x:c r="S694" s="20"/>
      <x:c r="T694" s="31"/>
      <x:c r="U694" s="30" t="str">
        <x:f>IF(A694="","缺记录编号",IF(COUNTIFS(PathRecords[记录编号],A694)&lt;&gt;1,"记录编号重复",IF(OR(B694="",E694=""),"缺组合/功能",IF(COUNTIFS(Equipment[组合编号],B694)&lt;&gt;1,"组合编号无效",IF(COUNTIFS(FunctionMatrix[编号],E694)=0,"功能编号无效",IF(H694="不适用",IF(J694="已实测","适用性冲突",IF(I694="","待补不适用依据","不适用（非实测）")),IF(J694="阻塞",IF(I694="","待补阻塞原因","阻塞（非实测）"),IF(J694&lt;&gt;"已实测",IF(F694="","待展开路径","未实测"),IF(H694&lt;&gt;"适用","待确认适用性",IF(INDEX(Equipment[登记状态（自动）],MATCH(B694,Equipment[组合编号],0))&lt;&gt;"已登记","待补设备组合",IF(AND(F694&lt;&gt;"",G694&lt;&gt;"",K694&lt;&gt;"",L694&lt;&gt;"",M694&lt;&gt;"",N694&lt;&gt;"",ISNUMBER(O694),O694&gt;0,P694&lt;&gt;""),"记录齐全","待补实测记录")))))))))))</x:f>
        <x:v>待展开路径</x:v>
      </x:c>
    </x:row>
    <x:row r="695" ht="43.5" customHeight="1">
      <x:c r="A695" s="20" t="str">
        <x:v>REC-00686</x:v>
      </x:c>
      <x:c r="B695" s="20" t="str">
        <x:v>P2-B2-01</x:v>
      </x:c>
      <x:c r="C695" s="30" t="str">
        <x:f>IF(B695="","",IF(COUNTIFS(Equipment[组合编号],B695)&lt;&gt;1,"组合编号无效",INDEX(Equipment[PLC组],MATCH(B695,Equipment[组合编号],0))))</x:f>
        <x:v>汇川中大型</x:v>
      </x:c>
      <x:c r="D695" s="30" t="str">
        <x:f>IF(B695="","",IF(COUNTIFS(Equipment[组合编号],B695)&lt;&gt;1,"组合编号无效",INDEX(Equipment[驱动品牌],MATCH(B695,Equipment[组合编号],0))))</x:f>
        <x:v>台达</x:v>
      </x:c>
      <x:c r="E695" s="20" t="str">
        <x:v>N02</x:v>
      </x:c>
      <x:c r="F695" s="20"/>
      <x:c r="G695" s="20"/>
      <x:c r="H695" s="20" t="str">
        <x:v>待判定</x:v>
      </x:c>
      <x:c r="I695" s="20"/>
      <x:c r="J695" s="20" t="str">
        <x:v>未测试</x:v>
      </x:c>
      <x:c r="K695" s="20"/>
      <x:c r="L695" s="20"/>
      <x:c r="M695" s="20"/>
      <x:c r="N695" s="20"/>
      <x:c r="O695" s="31"/>
      <x:c r="P695" s="20"/>
      <x:c r="Q695" s="20"/>
      <x:c r="R695" s="20" t="str">
        <x:v>待展开</x:v>
      </x:c>
      <x:c r="S695" s="20"/>
      <x:c r="T695" s="31"/>
      <x:c r="U695" s="30" t="str">
        <x:f>IF(A695="","缺记录编号",IF(COUNTIFS(PathRecords[记录编号],A695)&lt;&gt;1,"记录编号重复",IF(OR(B695="",E695=""),"缺组合/功能",IF(COUNTIFS(Equipment[组合编号],B695)&lt;&gt;1,"组合编号无效",IF(COUNTIFS(FunctionMatrix[编号],E695)=0,"功能编号无效",IF(H695="不适用",IF(J695="已实测","适用性冲突",IF(I695="","待补不适用依据","不适用（非实测）")),IF(J695="阻塞",IF(I695="","待补阻塞原因","阻塞（非实测）"),IF(J695&lt;&gt;"已实测",IF(F695="","待展开路径","未实测"),IF(H695&lt;&gt;"适用","待确认适用性",IF(INDEX(Equipment[登记状态（自动）],MATCH(B695,Equipment[组合编号],0))&lt;&gt;"已登记","待补设备组合",IF(AND(F695&lt;&gt;"",G695&lt;&gt;"",K695&lt;&gt;"",L695&lt;&gt;"",M695&lt;&gt;"",N695&lt;&gt;"",ISNUMBER(O695),O695&gt;0,P695&lt;&gt;""),"记录齐全","待补实测记录")))))))))))</x:f>
        <x:v>待展开路径</x:v>
      </x:c>
    </x:row>
    <x:row r="696" ht="43.5" customHeight="1">
      <x:c r="A696" s="20" t="str">
        <x:v>REC-00687</x:v>
      </x:c>
      <x:c r="B696" s="20" t="str">
        <x:v>P2-B2-01</x:v>
      </x:c>
      <x:c r="C696" s="30" t="str">
        <x:f>IF(B696="","",IF(COUNTIFS(Equipment[组合编号],B696)&lt;&gt;1,"组合编号无效",INDEX(Equipment[PLC组],MATCH(B696,Equipment[组合编号],0))))</x:f>
        <x:v>汇川中大型</x:v>
      </x:c>
      <x:c r="D696" s="30" t="str">
        <x:f>IF(B696="","",IF(COUNTIFS(Equipment[组合编号],B696)&lt;&gt;1,"组合编号无效",INDEX(Equipment[驱动品牌],MATCH(B696,Equipment[组合编号],0))))</x:f>
        <x:v>台达</x:v>
      </x:c>
      <x:c r="E696" s="20" t="str">
        <x:v>N03</x:v>
      </x:c>
      <x:c r="F696" s="20"/>
      <x:c r="G696" s="20"/>
      <x:c r="H696" s="20" t="str">
        <x:v>待判定</x:v>
      </x:c>
      <x:c r="I696" s="20"/>
      <x:c r="J696" s="20" t="str">
        <x:v>未测试</x:v>
      </x:c>
      <x:c r="K696" s="20"/>
      <x:c r="L696" s="20"/>
      <x:c r="M696" s="20"/>
      <x:c r="N696" s="20"/>
      <x:c r="O696" s="31"/>
      <x:c r="P696" s="20"/>
      <x:c r="Q696" s="20"/>
      <x:c r="R696" s="20" t="str">
        <x:v>待展开</x:v>
      </x:c>
      <x:c r="S696" s="20"/>
      <x:c r="T696" s="31"/>
      <x:c r="U696" s="30" t="str">
        <x:f>IF(A696="","缺记录编号",IF(COUNTIFS(PathRecords[记录编号],A696)&lt;&gt;1,"记录编号重复",IF(OR(B696="",E696=""),"缺组合/功能",IF(COUNTIFS(Equipment[组合编号],B696)&lt;&gt;1,"组合编号无效",IF(COUNTIFS(FunctionMatrix[编号],E696)=0,"功能编号无效",IF(H696="不适用",IF(J696="已实测","适用性冲突",IF(I696="","待补不适用依据","不适用（非实测）")),IF(J696="阻塞",IF(I696="","待补阻塞原因","阻塞（非实测）"),IF(J696&lt;&gt;"已实测",IF(F696="","待展开路径","未实测"),IF(H696&lt;&gt;"适用","待确认适用性",IF(INDEX(Equipment[登记状态（自动）],MATCH(B696,Equipment[组合编号],0))&lt;&gt;"已登记","待补设备组合",IF(AND(F696&lt;&gt;"",G696&lt;&gt;"",K696&lt;&gt;"",L696&lt;&gt;"",M696&lt;&gt;"",N696&lt;&gt;"",ISNUMBER(O696),O696&gt;0,P696&lt;&gt;""),"记录齐全","待补实测记录")))))))))))</x:f>
        <x:v>待展开路径</x:v>
      </x:c>
    </x:row>
    <x:row r="697" ht="43.5" customHeight="1">
      <x:c r="A697" s="20" t="str">
        <x:v>REC-00688</x:v>
      </x:c>
      <x:c r="B697" s="20" t="str">
        <x:v>P2-B2-01</x:v>
      </x:c>
      <x:c r="C697" s="30" t="str">
        <x:f>IF(B697="","",IF(COUNTIFS(Equipment[组合编号],B697)&lt;&gt;1,"组合编号无效",INDEX(Equipment[PLC组],MATCH(B697,Equipment[组合编号],0))))</x:f>
        <x:v>汇川中大型</x:v>
      </x:c>
      <x:c r="D697" s="30" t="str">
        <x:f>IF(B697="","",IF(COUNTIFS(Equipment[组合编号],B697)&lt;&gt;1,"组合编号无效",INDEX(Equipment[驱动品牌],MATCH(B697,Equipment[组合编号],0))))</x:f>
        <x:v>台达</x:v>
      </x:c>
      <x:c r="E697" s="20" t="str">
        <x:v>N04</x:v>
      </x:c>
      <x:c r="F697" s="20"/>
      <x:c r="G697" s="20"/>
      <x:c r="H697" s="20" t="str">
        <x:v>待判定</x:v>
      </x:c>
      <x:c r="I697" s="20"/>
      <x:c r="J697" s="20" t="str">
        <x:v>未测试</x:v>
      </x:c>
      <x:c r="K697" s="20"/>
      <x:c r="L697" s="20"/>
      <x:c r="M697" s="20"/>
      <x:c r="N697" s="20"/>
      <x:c r="O697" s="31"/>
      <x:c r="P697" s="20"/>
      <x:c r="Q697" s="20"/>
      <x:c r="R697" s="20" t="str">
        <x:v>待展开</x:v>
      </x:c>
      <x:c r="S697" s="20"/>
      <x:c r="T697" s="31"/>
      <x:c r="U697" s="30" t="str">
        <x:f>IF(A697="","缺记录编号",IF(COUNTIFS(PathRecords[记录编号],A697)&lt;&gt;1,"记录编号重复",IF(OR(B697="",E697=""),"缺组合/功能",IF(COUNTIFS(Equipment[组合编号],B697)&lt;&gt;1,"组合编号无效",IF(COUNTIFS(FunctionMatrix[编号],E697)=0,"功能编号无效",IF(H697="不适用",IF(J697="已实测","适用性冲突",IF(I697="","待补不适用依据","不适用（非实测）")),IF(J697="阻塞",IF(I697="","待补阻塞原因","阻塞（非实测）"),IF(J697&lt;&gt;"已实测",IF(F697="","待展开路径","未实测"),IF(H697&lt;&gt;"适用","待确认适用性",IF(INDEX(Equipment[登记状态（自动）],MATCH(B697,Equipment[组合编号],0))&lt;&gt;"已登记","待补设备组合",IF(AND(F697&lt;&gt;"",G697&lt;&gt;"",K697&lt;&gt;"",L697&lt;&gt;"",M697&lt;&gt;"",N697&lt;&gt;"",ISNUMBER(O697),O697&gt;0,P697&lt;&gt;""),"记录齐全","待补实测记录")))))))))))</x:f>
        <x:v>待展开路径</x:v>
      </x:c>
    </x:row>
    <x:row r="698" ht="43.5" customHeight="1">
      <x:c r="A698" s="20" t="str">
        <x:v>REC-00689</x:v>
      </x:c>
      <x:c r="B698" s="20" t="str">
        <x:v>P2-B2-01</x:v>
      </x:c>
      <x:c r="C698" s="30" t="str">
        <x:f>IF(B698="","",IF(COUNTIFS(Equipment[组合编号],B698)&lt;&gt;1,"组合编号无效",INDEX(Equipment[PLC组],MATCH(B698,Equipment[组合编号],0))))</x:f>
        <x:v>汇川中大型</x:v>
      </x:c>
      <x:c r="D698" s="30" t="str">
        <x:f>IF(B698="","",IF(COUNTIFS(Equipment[组合编号],B698)&lt;&gt;1,"组合编号无效",INDEX(Equipment[驱动品牌],MATCH(B698,Equipment[组合编号],0))))</x:f>
        <x:v>台达</x:v>
      </x:c>
      <x:c r="E698" s="20" t="str">
        <x:v>N05</x:v>
      </x:c>
      <x:c r="F698" s="20"/>
      <x:c r="G698" s="20"/>
      <x:c r="H698" s="20" t="str">
        <x:v>待判定</x:v>
      </x:c>
      <x:c r="I698" s="20"/>
      <x:c r="J698" s="20" t="str">
        <x:v>未测试</x:v>
      </x:c>
      <x:c r="K698" s="20"/>
      <x:c r="L698" s="20"/>
      <x:c r="M698" s="20"/>
      <x:c r="N698" s="20"/>
      <x:c r="O698" s="31"/>
      <x:c r="P698" s="20"/>
      <x:c r="Q698" s="20"/>
      <x:c r="R698" s="20" t="str">
        <x:v>待展开</x:v>
      </x:c>
      <x:c r="S698" s="20"/>
      <x:c r="T698" s="31"/>
      <x:c r="U698" s="30" t="str">
        <x:f>IF(A698="","缺记录编号",IF(COUNTIFS(PathRecords[记录编号],A698)&lt;&gt;1,"记录编号重复",IF(OR(B698="",E698=""),"缺组合/功能",IF(COUNTIFS(Equipment[组合编号],B698)&lt;&gt;1,"组合编号无效",IF(COUNTIFS(FunctionMatrix[编号],E698)=0,"功能编号无效",IF(H698="不适用",IF(J698="已实测","适用性冲突",IF(I698="","待补不适用依据","不适用（非实测）")),IF(J698="阻塞",IF(I698="","待补阻塞原因","阻塞（非实测）"),IF(J698&lt;&gt;"已实测",IF(F698="","待展开路径","未实测"),IF(H698&lt;&gt;"适用","待确认适用性",IF(INDEX(Equipment[登记状态（自动）],MATCH(B698,Equipment[组合编号],0))&lt;&gt;"已登记","待补设备组合",IF(AND(F698&lt;&gt;"",G698&lt;&gt;"",K698&lt;&gt;"",L698&lt;&gt;"",M698&lt;&gt;"",N698&lt;&gt;"",ISNUMBER(O698),O698&gt;0,P698&lt;&gt;""),"记录齐全","待补实测记录")))))))))))</x:f>
        <x:v>待展开路径</x:v>
      </x:c>
    </x:row>
    <x:row r="699" ht="43.5" customHeight="1">
      <x:c r="A699" s="20" t="str">
        <x:v>REC-00690</x:v>
      </x:c>
      <x:c r="B699" s="20" t="str">
        <x:v>P2-B2-01</x:v>
      </x:c>
      <x:c r="C699" s="30" t="str">
        <x:f>IF(B699="","",IF(COUNTIFS(Equipment[组合编号],B699)&lt;&gt;1,"组合编号无效",INDEX(Equipment[PLC组],MATCH(B699,Equipment[组合编号],0))))</x:f>
        <x:v>汇川中大型</x:v>
      </x:c>
      <x:c r="D699" s="30" t="str">
        <x:f>IF(B699="","",IF(COUNTIFS(Equipment[组合编号],B699)&lt;&gt;1,"组合编号无效",INDEX(Equipment[驱动品牌],MATCH(B699,Equipment[组合编号],0))))</x:f>
        <x:v>台达</x:v>
      </x:c>
      <x:c r="E699" s="20" t="str">
        <x:v>N06</x:v>
      </x:c>
      <x:c r="F699" s="20"/>
      <x:c r="G699" s="20"/>
      <x:c r="H699" s="20" t="str">
        <x:v>待判定</x:v>
      </x:c>
      <x:c r="I699" s="20"/>
      <x:c r="J699" s="20" t="str">
        <x:v>未测试</x:v>
      </x:c>
      <x:c r="K699" s="20"/>
      <x:c r="L699" s="20"/>
      <x:c r="M699" s="20"/>
      <x:c r="N699" s="20"/>
      <x:c r="O699" s="31"/>
      <x:c r="P699" s="20"/>
      <x:c r="Q699" s="20"/>
      <x:c r="R699" s="20" t="str">
        <x:v>待展开</x:v>
      </x:c>
      <x:c r="S699" s="20"/>
      <x:c r="T699" s="31"/>
      <x:c r="U699" s="30" t="str">
        <x:f>IF(A699="","缺记录编号",IF(COUNTIFS(PathRecords[记录编号],A699)&lt;&gt;1,"记录编号重复",IF(OR(B699="",E699=""),"缺组合/功能",IF(COUNTIFS(Equipment[组合编号],B699)&lt;&gt;1,"组合编号无效",IF(COUNTIFS(FunctionMatrix[编号],E699)=0,"功能编号无效",IF(H699="不适用",IF(J699="已实测","适用性冲突",IF(I699="","待补不适用依据","不适用（非实测）")),IF(J699="阻塞",IF(I699="","待补阻塞原因","阻塞（非实测）"),IF(J699&lt;&gt;"已实测",IF(F699="","待展开路径","未实测"),IF(H699&lt;&gt;"适用","待确认适用性",IF(INDEX(Equipment[登记状态（自动）],MATCH(B699,Equipment[组合编号],0))&lt;&gt;"已登记","待补设备组合",IF(AND(F699&lt;&gt;"",G699&lt;&gt;"",K699&lt;&gt;"",L699&lt;&gt;"",M699&lt;&gt;"",N699&lt;&gt;"",ISNUMBER(O699),O699&gt;0,P699&lt;&gt;""),"记录齐全","待补实测记录")))))))))))</x:f>
        <x:v>待展开路径</x:v>
      </x:c>
    </x:row>
    <x:row r="700" ht="43.5" customHeight="1">
      <x:c r="A700" s="20" t="str">
        <x:v>REC-00691</x:v>
      </x:c>
      <x:c r="B700" s="20" t="str">
        <x:v>P2-B2-01</x:v>
      </x:c>
      <x:c r="C700" s="30" t="str">
        <x:f>IF(B700="","",IF(COUNTIFS(Equipment[组合编号],B700)&lt;&gt;1,"组合编号无效",INDEX(Equipment[PLC组],MATCH(B700,Equipment[组合编号],0))))</x:f>
        <x:v>汇川中大型</x:v>
      </x:c>
      <x:c r="D700" s="30" t="str">
        <x:f>IF(B700="","",IF(COUNTIFS(Equipment[组合编号],B700)&lt;&gt;1,"组合编号无效",INDEX(Equipment[驱动品牌],MATCH(B700,Equipment[组合编号],0))))</x:f>
        <x:v>台达</x:v>
      </x:c>
      <x:c r="E700" s="20" t="str">
        <x:v>N07</x:v>
      </x:c>
      <x:c r="F700" s="20"/>
      <x:c r="G700" s="20"/>
      <x:c r="H700" s="20" t="str">
        <x:v>待判定</x:v>
      </x:c>
      <x:c r="I700" s="20"/>
      <x:c r="J700" s="20" t="str">
        <x:v>未测试</x:v>
      </x:c>
      <x:c r="K700" s="20"/>
      <x:c r="L700" s="20"/>
      <x:c r="M700" s="20"/>
      <x:c r="N700" s="20"/>
      <x:c r="O700" s="31"/>
      <x:c r="P700" s="20"/>
      <x:c r="Q700" s="20"/>
      <x:c r="R700" s="20" t="str">
        <x:v>待展开</x:v>
      </x:c>
      <x:c r="S700" s="20"/>
      <x:c r="T700" s="31"/>
      <x:c r="U700" s="30" t="str">
        <x:f>IF(A700="","缺记录编号",IF(COUNTIFS(PathRecords[记录编号],A700)&lt;&gt;1,"记录编号重复",IF(OR(B700="",E700=""),"缺组合/功能",IF(COUNTIFS(Equipment[组合编号],B700)&lt;&gt;1,"组合编号无效",IF(COUNTIFS(FunctionMatrix[编号],E700)=0,"功能编号无效",IF(H700="不适用",IF(J700="已实测","适用性冲突",IF(I700="","待补不适用依据","不适用（非实测）")),IF(J700="阻塞",IF(I700="","待补阻塞原因","阻塞（非实测）"),IF(J700&lt;&gt;"已实测",IF(F700="","待展开路径","未实测"),IF(H700&lt;&gt;"适用","待确认适用性",IF(INDEX(Equipment[登记状态（自动）],MATCH(B700,Equipment[组合编号],0))&lt;&gt;"已登记","待补设备组合",IF(AND(F700&lt;&gt;"",G700&lt;&gt;"",K700&lt;&gt;"",L700&lt;&gt;"",M700&lt;&gt;"",N700&lt;&gt;"",ISNUMBER(O700),O700&gt;0,P700&lt;&gt;""),"记录齐全","待补实测记录")))))))))))</x:f>
        <x:v>待展开路径</x:v>
      </x:c>
    </x:row>
    <x:row r="701" ht="43.5" customHeight="1">
      <x:c r="A701" s="20" t="str">
        <x:v>REC-00692</x:v>
      </x:c>
      <x:c r="B701" s="20" t="str">
        <x:v>P2-B2-01</x:v>
      </x:c>
      <x:c r="C701" s="30" t="str">
        <x:f>IF(B701="","",IF(COUNTIFS(Equipment[组合编号],B701)&lt;&gt;1,"组合编号无效",INDEX(Equipment[PLC组],MATCH(B701,Equipment[组合编号],0))))</x:f>
        <x:v>汇川中大型</x:v>
      </x:c>
      <x:c r="D701" s="30" t="str">
        <x:f>IF(B701="","",IF(COUNTIFS(Equipment[组合编号],B701)&lt;&gt;1,"组合编号无效",INDEX(Equipment[驱动品牌],MATCH(B701,Equipment[组合编号],0))))</x:f>
        <x:v>台达</x:v>
      </x:c>
      <x:c r="E701" s="20" t="str">
        <x:v>N08</x:v>
      </x:c>
      <x:c r="F701" s="20"/>
      <x:c r="G701" s="20"/>
      <x:c r="H701" s="20" t="str">
        <x:v>待判定</x:v>
      </x:c>
      <x:c r="I701" s="20"/>
      <x:c r="J701" s="20" t="str">
        <x:v>未测试</x:v>
      </x:c>
      <x:c r="K701" s="20"/>
      <x:c r="L701" s="20"/>
      <x:c r="M701" s="20"/>
      <x:c r="N701" s="20"/>
      <x:c r="O701" s="31"/>
      <x:c r="P701" s="20"/>
      <x:c r="Q701" s="20"/>
      <x:c r="R701" s="20" t="str">
        <x:v>待展开</x:v>
      </x:c>
      <x:c r="S701" s="20"/>
      <x:c r="T701" s="31"/>
      <x:c r="U701" s="30" t="str">
        <x:f>IF(A701="","缺记录编号",IF(COUNTIFS(PathRecords[记录编号],A701)&lt;&gt;1,"记录编号重复",IF(OR(B701="",E701=""),"缺组合/功能",IF(COUNTIFS(Equipment[组合编号],B701)&lt;&gt;1,"组合编号无效",IF(COUNTIFS(FunctionMatrix[编号],E701)=0,"功能编号无效",IF(H701="不适用",IF(J701="已实测","适用性冲突",IF(I701="","待补不适用依据","不适用（非实测）")),IF(J701="阻塞",IF(I701="","待补阻塞原因","阻塞（非实测）"),IF(J701&lt;&gt;"已实测",IF(F701="","待展开路径","未实测"),IF(H701&lt;&gt;"适用","待确认适用性",IF(INDEX(Equipment[登记状态（自动）],MATCH(B701,Equipment[组合编号],0))&lt;&gt;"已登记","待补设备组合",IF(AND(F701&lt;&gt;"",G701&lt;&gt;"",K701&lt;&gt;"",L701&lt;&gt;"",M701&lt;&gt;"",N701&lt;&gt;"",ISNUMBER(O701),O701&gt;0,P701&lt;&gt;""),"记录齐全","待补实测记录")))))))))))</x:f>
        <x:v>待展开路径</x:v>
      </x:c>
    </x:row>
    <x:row r="702" ht="43.5" customHeight="1">
      <x:c r="A702" s="20" t="str">
        <x:v>REC-00693</x:v>
      </x:c>
      <x:c r="B702" s="20" t="str">
        <x:v>P2-B2-01</x:v>
      </x:c>
      <x:c r="C702" s="30" t="str">
        <x:f>IF(B702="","",IF(COUNTIFS(Equipment[组合编号],B702)&lt;&gt;1,"组合编号无效",INDEX(Equipment[PLC组],MATCH(B702,Equipment[组合编号],0))))</x:f>
        <x:v>汇川中大型</x:v>
      </x:c>
      <x:c r="D702" s="30" t="str">
        <x:f>IF(B702="","",IF(COUNTIFS(Equipment[组合编号],B702)&lt;&gt;1,"组合编号无效",INDEX(Equipment[驱动品牌],MATCH(B702,Equipment[组合编号],0))))</x:f>
        <x:v>台达</x:v>
      </x:c>
      <x:c r="E702" s="20" t="str">
        <x:v>N09</x:v>
      </x:c>
      <x:c r="F702" s="20"/>
      <x:c r="G702" s="20"/>
      <x:c r="H702" s="20" t="str">
        <x:v>待判定</x:v>
      </x:c>
      <x:c r="I702" s="20"/>
      <x:c r="J702" s="20" t="str">
        <x:v>未测试</x:v>
      </x:c>
      <x:c r="K702" s="20"/>
      <x:c r="L702" s="20"/>
      <x:c r="M702" s="20"/>
      <x:c r="N702" s="20"/>
      <x:c r="O702" s="31"/>
      <x:c r="P702" s="20"/>
      <x:c r="Q702" s="20"/>
      <x:c r="R702" s="20" t="str">
        <x:v>待展开</x:v>
      </x:c>
      <x:c r="S702" s="20"/>
      <x:c r="T702" s="31"/>
      <x:c r="U702" s="30" t="str">
        <x:f>IF(A702="","缺记录编号",IF(COUNTIFS(PathRecords[记录编号],A702)&lt;&gt;1,"记录编号重复",IF(OR(B702="",E702=""),"缺组合/功能",IF(COUNTIFS(Equipment[组合编号],B702)&lt;&gt;1,"组合编号无效",IF(COUNTIFS(FunctionMatrix[编号],E702)=0,"功能编号无效",IF(H702="不适用",IF(J702="已实测","适用性冲突",IF(I702="","待补不适用依据","不适用（非实测）")),IF(J702="阻塞",IF(I702="","待补阻塞原因","阻塞（非实测）"),IF(J702&lt;&gt;"已实测",IF(F702="","待展开路径","未实测"),IF(H702&lt;&gt;"适用","待确认适用性",IF(INDEX(Equipment[登记状态（自动）],MATCH(B702,Equipment[组合编号],0))&lt;&gt;"已登记","待补设备组合",IF(AND(F702&lt;&gt;"",G702&lt;&gt;"",K702&lt;&gt;"",L702&lt;&gt;"",M702&lt;&gt;"",N702&lt;&gt;"",ISNUMBER(O702),O702&gt;0,P702&lt;&gt;""),"记录齐全","待补实测记录")))))))))))</x:f>
        <x:v>待展开路径</x:v>
      </x:c>
    </x:row>
    <x:row r="703" ht="43.5" customHeight="1">
      <x:c r="A703" s="20" t="str">
        <x:v>REC-00694</x:v>
      </x:c>
      <x:c r="B703" s="20" t="str">
        <x:v>P2-B2-01</x:v>
      </x:c>
      <x:c r="C703" s="30" t="str">
        <x:f>IF(B703="","",IF(COUNTIFS(Equipment[组合编号],B703)&lt;&gt;1,"组合编号无效",INDEX(Equipment[PLC组],MATCH(B703,Equipment[组合编号],0))))</x:f>
        <x:v>汇川中大型</x:v>
      </x:c>
      <x:c r="D703" s="30" t="str">
        <x:f>IF(B703="","",IF(COUNTIFS(Equipment[组合编号],B703)&lt;&gt;1,"组合编号无效",INDEX(Equipment[驱动品牌],MATCH(B703,Equipment[组合编号],0))))</x:f>
        <x:v>台达</x:v>
      </x:c>
      <x:c r="E703" s="20" t="str">
        <x:v>N10</x:v>
      </x:c>
      <x:c r="F703" s="20"/>
      <x:c r="G703" s="20"/>
      <x:c r="H703" s="20" t="str">
        <x:v>待判定</x:v>
      </x:c>
      <x:c r="I703" s="20"/>
      <x:c r="J703" s="20" t="str">
        <x:v>未测试</x:v>
      </x:c>
      <x:c r="K703" s="20"/>
      <x:c r="L703" s="20"/>
      <x:c r="M703" s="20"/>
      <x:c r="N703" s="20"/>
      <x:c r="O703" s="31"/>
      <x:c r="P703" s="20"/>
      <x:c r="Q703" s="20"/>
      <x:c r="R703" s="20" t="str">
        <x:v>待展开</x:v>
      </x:c>
      <x:c r="S703" s="20"/>
      <x:c r="T703" s="31"/>
      <x:c r="U703" s="30" t="str">
        <x:f>IF(A703="","缺记录编号",IF(COUNTIFS(PathRecords[记录编号],A703)&lt;&gt;1,"记录编号重复",IF(OR(B703="",E703=""),"缺组合/功能",IF(COUNTIFS(Equipment[组合编号],B703)&lt;&gt;1,"组合编号无效",IF(COUNTIFS(FunctionMatrix[编号],E703)=0,"功能编号无效",IF(H703="不适用",IF(J703="已实测","适用性冲突",IF(I703="","待补不适用依据","不适用（非实测）")),IF(J703="阻塞",IF(I703="","待补阻塞原因","阻塞（非实测）"),IF(J703&lt;&gt;"已实测",IF(F703="","待展开路径","未实测"),IF(H703&lt;&gt;"适用","待确认适用性",IF(INDEX(Equipment[登记状态（自动）],MATCH(B703,Equipment[组合编号],0))&lt;&gt;"已登记","待补设备组合",IF(AND(F703&lt;&gt;"",G703&lt;&gt;"",K703&lt;&gt;"",L703&lt;&gt;"",M703&lt;&gt;"",N703&lt;&gt;"",ISNUMBER(O703),O703&gt;0,P703&lt;&gt;""),"记录齐全","待补实测记录")))))))))))</x:f>
        <x:v>待展开路径</x:v>
      </x:c>
    </x:row>
    <x:row r="704" ht="43.5" customHeight="1">
      <x:c r="A704" s="20" t="str">
        <x:v>REC-00695</x:v>
      </x:c>
      <x:c r="B704" s="20" t="str">
        <x:v>P2-B2-01</x:v>
      </x:c>
      <x:c r="C704" s="30" t="str">
        <x:f>IF(B704="","",IF(COUNTIFS(Equipment[组合编号],B704)&lt;&gt;1,"组合编号无效",INDEX(Equipment[PLC组],MATCH(B704,Equipment[组合编号],0))))</x:f>
        <x:v>汇川中大型</x:v>
      </x:c>
      <x:c r="D704" s="30" t="str">
        <x:f>IF(B704="","",IF(COUNTIFS(Equipment[组合编号],B704)&lt;&gt;1,"组合编号无效",INDEX(Equipment[驱动品牌],MATCH(B704,Equipment[组合编号],0))))</x:f>
        <x:v>台达</x:v>
      </x:c>
      <x:c r="E704" s="20" t="str">
        <x:v>N11</x:v>
      </x:c>
      <x:c r="F704" s="20"/>
      <x:c r="G704" s="20"/>
      <x:c r="H704" s="20" t="str">
        <x:v>待判定</x:v>
      </x:c>
      <x:c r="I704" s="20"/>
      <x:c r="J704" s="20" t="str">
        <x:v>未测试</x:v>
      </x:c>
      <x:c r="K704" s="20"/>
      <x:c r="L704" s="20"/>
      <x:c r="M704" s="20"/>
      <x:c r="N704" s="20"/>
      <x:c r="O704" s="31"/>
      <x:c r="P704" s="20"/>
      <x:c r="Q704" s="20"/>
      <x:c r="R704" s="20" t="str">
        <x:v>待展开</x:v>
      </x:c>
      <x:c r="S704" s="20"/>
      <x:c r="T704" s="31"/>
      <x:c r="U704" s="30" t="str">
        <x:f>IF(A704="","缺记录编号",IF(COUNTIFS(PathRecords[记录编号],A704)&lt;&gt;1,"记录编号重复",IF(OR(B704="",E704=""),"缺组合/功能",IF(COUNTIFS(Equipment[组合编号],B704)&lt;&gt;1,"组合编号无效",IF(COUNTIFS(FunctionMatrix[编号],E704)=0,"功能编号无效",IF(H704="不适用",IF(J704="已实测","适用性冲突",IF(I704="","待补不适用依据","不适用（非实测）")),IF(J704="阻塞",IF(I704="","待补阻塞原因","阻塞（非实测）"),IF(J704&lt;&gt;"已实测",IF(F704="","待展开路径","未实测"),IF(H704&lt;&gt;"适用","待确认适用性",IF(INDEX(Equipment[登记状态（自动）],MATCH(B704,Equipment[组合编号],0))&lt;&gt;"已登记","待补设备组合",IF(AND(F704&lt;&gt;"",G704&lt;&gt;"",K704&lt;&gt;"",L704&lt;&gt;"",M704&lt;&gt;"",N704&lt;&gt;"",ISNUMBER(O704),O704&gt;0,P704&lt;&gt;""),"记录齐全","待补实测记录")))))))))))</x:f>
        <x:v>待展开路径</x:v>
      </x:c>
    </x:row>
    <x:row r="705" ht="43.5" customHeight="1">
      <x:c r="A705" s="20" t="str">
        <x:v>REC-00696</x:v>
      </x:c>
      <x:c r="B705" s="20" t="str">
        <x:v>P2-B2-01</x:v>
      </x:c>
      <x:c r="C705" s="30" t="str">
        <x:f>IF(B705="","",IF(COUNTIFS(Equipment[组合编号],B705)&lt;&gt;1,"组合编号无效",INDEX(Equipment[PLC组],MATCH(B705,Equipment[组合编号],0))))</x:f>
        <x:v>汇川中大型</x:v>
      </x:c>
      <x:c r="D705" s="30" t="str">
        <x:f>IF(B705="","",IF(COUNTIFS(Equipment[组合编号],B705)&lt;&gt;1,"组合编号无效",INDEX(Equipment[驱动品牌],MATCH(B705,Equipment[组合编号],0))))</x:f>
        <x:v>台达</x:v>
      </x:c>
      <x:c r="E705" s="20" t="str">
        <x:v>N12</x:v>
      </x:c>
      <x:c r="F705" s="20"/>
      <x:c r="G705" s="20"/>
      <x:c r="H705" s="20" t="str">
        <x:v>待判定</x:v>
      </x:c>
      <x:c r="I705" s="20"/>
      <x:c r="J705" s="20" t="str">
        <x:v>未测试</x:v>
      </x:c>
      <x:c r="K705" s="20"/>
      <x:c r="L705" s="20"/>
      <x:c r="M705" s="20"/>
      <x:c r="N705" s="20"/>
      <x:c r="O705" s="31"/>
      <x:c r="P705" s="20"/>
      <x:c r="Q705" s="20"/>
      <x:c r="R705" s="20" t="str">
        <x:v>待展开</x:v>
      </x:c>
      <x:c r="S705" s="20"/>
      <x:c r="T705" s="31"/>
      <x:c r="U705" s="30" t="str">
        <x:f>IF(A705="","缺记录编号",IF(COUNTIFS(PathRecords[记录编号],A705)&lt;&gt;1,"记录编号重复",IF(OR(B705="",E705=""),"缺组合/功能",IF(COUNTIFS(Equipment[组合编号],B705)&lt;&gt;1,"组合编号无效",IF(COUNTIFS(FunctionMatrix[编号],E705)=0,"功能编号无效",IF(H705="不适用",IF(J705="已实测","适用性冲突",IF(I705="","待补不适用依据","不适用（非实测）")),IF(J705="阻塞",IF(I705="","待补阻塞原因","阻塞（非实测）"),IF(J705&lt;&gt;"已实测",IF(F705="","待展开路径","未实测"),IF(H705&lt;&gt;"适用","待确认适用性",IF(INDEX(Equipment[登记状态（自动）],MATCH(B705,Equipment[组合编号],0))&lt;&gt;"已登记","待补设备组合",IF(AND(F705&lt;&gt;"",G705&lt;&gt;"",K705&lt;&gt;"",L705&lt;&gt;"",M705&lt;&gt;"",N705&lt;&gt;"",ISNUMBER(O705),O705&gt;0,P705&lt;&gt;""),"记录齐全","待补实测记录")))))))))))</x:f>
        <x:v>待展开路径</x:v>
      </x:c>
    </x:row>
    <x:row r="706" ht="43.5" customHeight="1">
      <x:c r="A706" s="20" t="str">
        <x:v>REC-00697</x:v>
      </x:c>
      <x:c r="B706" s="20" t="str">
        <x:v>P2-B2-01</x:v>
      </x:c>
      <x:c r="C706" s="30" t="str">
        <x:f>IF(B706="","",IF(COUNTIFS(Equipment[组合编号],B706)&lt;&gt;1,"组合编号无效",INDEX(Equipment[PLC组],MATCH(B706,Equipment[组合编号],0))))</x:f>
        <x:v>汇川中大型</x:v>
      </x:c>
      <x:c r="D706" s="30" t="str">
        <x:f>IF(B706="","",IF(COUNTIFS(Equipment[组合编号],B706)&lt;&gt;1,"组合编号无效",INDEX(Equipment[驱动品牌],MATCH(B706,Equipment[组合编号],0))))</x:f>
        <x:v>台达</x:v>
      </x:c>
      <x:c r="E706" s="20" t="str">
        <x:v>P01</x:v>
      </x:c>
      <x:c r="F706" s="20"/>
      <x:c r="G706" s="20"/>
      <x:c r="H706" s="20" t="str">
        <x:v>待判定</x:v>
      </x:c>
      <x:c r="I706" s="20"/>
      <x:c r="J706" s="20" t="str">
        <x:v>未测试</x:v>
      </x:c>
      <x:c r="K706" s="20"/>
      <x:c r="L706" s="20"/>
      <x:c r="M706" s="20"/>
      <x:c r="N706" s="20"/>
      <x:c r="O706" s="31"/>
      <x:c r="P706" s="20"/>
      <x:c r="Q706" s="20"/>
      <x:c r="R706" s="20" t="str">
        <x:v>待展开</x:v>
      </x:c>
      <x:c r="S706" s="20"/>
      <x:c r="T706" s="31"/>
      <x:c r="U706" s="30" t="str">
        <x:f>IF(A706="","缺记录编号",IF(COUNTIFS(PathRecords[记录编号],A706)&lt;&gt;1,"记录编号重复",IF(OR(B706="",E706=""),"缺组合/功能",IF(COUNTIFS(Equipment[组合编号],B706)&lt;&gt;1,"组合编号无效",IF(COUNTIFS(FunctionMatrix[编号],E706)=0,"功能编号无效",IF(H706="不适用",IF(J706="已实测","适用性冲突",IF(I706="","待补不适用依据","不适用（非实测）")),IF(J706="阻塞",IF(I706="","待补阻塞原因","阻塞（非实测）"),IF(J706&lt;&gt;"已实测",IF(F706="","待展开路径","未实测"),IF(H706&lt;&gt;"适用","待确认适用性",IF(INDEX(Equipment[登记状态（自动）],MATCH(B706,Equipment[组合编号],0))&lt;&gt;"已登记","待补设备组合",IF(AND(F706&lt;&gt;"",G706&lt;&gt;"",K706&lt;&gt;"",L706&lt;&gt;"",M706&lt;&gt;"",N706&lt;&gt;"",ISNUMBER(O706),O706&gt;0,P706&lt;&gt;""),"记录齐全","待补实测记录")))))))))))</x:f>
        <x:v>待展开路径</x:v>
      </x:c>
    </x:row>
    <x:row r="707" ht="43.5" customHeight="1">
      <x:c r="A707" s="20" t="str">
        <x:v>REC-00698</x:v>
      </x:c>
      <x:c r="B707" s="20" t="str">
        <x:v>P2-B2-01</x:v>
      </x:c>
      <x:c r="C707" s="30" t="str">
        <x:f>IF(B707="","",IF(COUNTIFS(Equipment[组合编号],B707)&lt;&gt;1,"组合编号无效",INDEX(Equipment[PLC组],MATCH(B707,Equipment[组合编号],0))))</x:f>
        <x:v>汇川中大型</x:v>
      </x:c>
      <x:c r="D707" s="30" t="str">
        <x:f>IF(B707="","",IF(COUNTIFS(Equipment[组合编号],B707)&lt;&gt;1,"组合编号无效",INDEX(Equipment[驱动品牌],MATCH(B707,Equipment[组合编号],0))))</x:f>
        <x:v>台达</x:v>
      </x:c>
      <x:c r="E707" s="20" t="str">
        <x:v>P02</x:v>
      </x:c>
      <x:c r="F707" s="20"/>
      <x:c r="G707" s="20"/>
      <x:c r="H707" s="20" t="str">
        <x:v>待判定</x:v>
      </x:c>
      <x:c r="I707" s="20"/>
      <x:c r="J707" s="20" t="str">
        <x:v>未测试</x:v>
      </x:c>
      <x:c r="K707" s="20"/>
      <x:c r="L707" s="20"/>
      <x:c r="M707" s="20"/>
      <x:c r="N707" s="20"/>
      <x:c r="O707" s="31"/>
      <x:c r="P707" s="20"/>
      <x:c r="Q707" s="20"/>
      <x:c r="R707" s="20" t="str">
        <x:v>待展开</x:v>
      </x:c>
      <x:c r="S707" s="20"/>
      <x:c r="T707" s="31"/>
      <x:c r="U707" s="30" t="str">
        <x:f>IF(A707="","缺记录编号",IF(COUNTIFS(PathRecords[记录编号],A707)&lt;&gt;1,"记录编号重复",IF(OR(B707="",E707=""),"缺组合/功能",IF(COUNTIFS(Equipment[组合编号],B707)&lt;&gt;1,"组合编号无效",IF(COUNTIFS(FunctionMatrix[编号],E707)=0,"功能编号无效",IF(H707="不适用",IF(J707="已实测","适用性冲突",IF(I707="","待补不适用依据","不适用（非实测）")),IF(J707="阻塞",IF(I707="","待补阻塞原因","阻塞（非实测）"),IF(J707&lt;&gt;"已实测",IF(F707="","待展开路径","未实测"),IF(H707&lt;&gt;"适用","待确认适用性",IF(INDEX(Equipment[登记状态（自动）],MATCH(B707,Equipment[组合编号],0))&lt;&gt;"已登记","待补设备组合",IF(AND(F707&lt;&gt;"",G707&lt;&gt;"",K707&lt;&gt;"",L707&lt;&gt;"",M707&lt;&gt;"",N707&lt;&gt;"",ISNUMBER(O707),O707&gt;0,P707&lt;&gt;""),"记录齐全","待补实测记录")))))))))))</x:f>
        <x:v>待展开路径</x:v>
      </x:c>
    </x:row>
    <x:row r="708" ht="43.5" customHeight="1">
      <x:c r="A708" s="20" t="str">
        <x:v>REC-00699</x:v>
      </x:c>
      <x:c r="B708" s="20" t="str">
        <x:v>P2-B2-01</x:v>
      </x:c>
      <x:c r="C708" s="30" t="str">
        <x:f>IF(B708="","",IF(COUNTIFS(Equipment[组合编号],B708)&lt;&gt;1,"组合编号无效",INDEX(Equipment[PLC组],MATCH(B708,Equipment[组合编号],0))))</x:f>
        <x:v>汇川中大型</x:v>
      </x:c>
      <x:c r="D708" s="30" t="str">
        <x:f>IF(B708="","",IF(COUNTIFS(Equipment[组合编号],B708)&lt;&gt;1,"组合编号无效",INDEX(Equipment[驱动品牌],MATCH(B708,Equipment[组合编号],0))))</x:f>
        <x:v>台达</x:v>
      </x:c>
      <x:c r="E708" s="20" t="str">
        <x:v>P03</x:v>
      </x:c>
      <x:c r="F708" s="20"/>
      <x:c r="G708" s="20"/>
      <x:c r="H708" s="20" t="str">
        <x:v>待判定</x:v>
      </x:c>
      <x:c r="I708" s="20"/>
      <x:c r="J708" s="20" t="str">
        <x:v>未测试</x:v>
      </x:c>
      <x:c r="K708" s="20"/>
      <x:c r="L708" s="20"/>
      <x:c r="M708" s="20"/>
      <x:c r="N708" s="20"/>
      <x:c r="O708" s="31"/>
      <x:c r="P708" s="20"/>
      <x:c r="Q708" s="20"/>
      <x:c r="R708" s="20" t="str">
        <x:v>待展开</x:v>
      </x:c>
      <x:c r="S708" s="20"/>
      <x:c r="T708" s="31"/>
      <x:c r="U708" s="30" t="str">
        <x:f>IF(A708="","缺记录编号",IF(COUNTIFS(PathRecords[记录编号],A708)&lt;&gt;1,"记录编号重复",IF(OR(B708="",E708=""),"缺组合/功能",IF(COUNTIFS(Equipment[组合编号],B708)&lt;&gt;1,"组合编号无效",IF(COUNTIFS(FunctionMatrix[编号],E708)=0,"功能编号无效",IF(H708="不适用",IF(J708="已实测","适用性冲突",IF(I708="","待补不适用依据","不适用（非实测）")),IF(J708="阻塞",IF(I708="","待补阻塞原因","阻塞（非实测）"),IF(J708&lt;&gt;"已实测",IF(F708="","待展开路径","未实测"),IF(H708&lt;&gt;"适用","待确认适用性",IF(INDEX(Equipment[登记状态（自动）],MATCH(B708,Equipment[组合编号],0))&lt;&gt;"已登记","待补设备组合",IF(AND(F708&lt;&gt;"",G708&lt;&gt;"",K708&lt;&gt;"",L708&lt;&gt;"",M708&lt;&gt;"",N708&lt;&gt;"",ISNUMBER(O708),O708&gt;0,P708&lt;&gt;""),"记录齐全","待补实测记录")))))))))))</x:f>
        <x:v>待展开路径</x:v>
      </x:c>
    </x:row>
    <x:row r="709" ht="43.5" customHeight="1">
      <x:c r="A709" s="20" t="str">
        <x:v>REC-00700</x:v>
      </x:c>
      <x:c r="B709" s="20" t="str">
        <x:v>P2-B2-01</x:v>
      </x:c>
      <x:c r="C709" s="30" t="str">
        <x:f>IF(B709="","",IF(COUNTIFS(Equipment[组合编号],B709)&lt;&gt;1,"组合编号无效",INDEX(Equipment[PLC组],MATCH(B709,Equipment[组合编号],0))))</x:f>
        <x:v>汇川中大型</x:v>
      </x:c>
      <x:c r="D709" s="30" t="str">
        <x:f>IF(B709="","",IF(COUNTIFS(Equipment[组合编号],B709)&lt;&gt;1,"组合编号无效",INDEX(Equipment[驱动品牌],MATCH(B709,Equipment[组合编号],0))))</x:f>
        <x:v>台达</x:v>
      </x:c>
      <x:c r="E709" s="20" t="str">
        <x:v>P04</x:v>
      </x:c>
      <x:c r="F709" s="20"/>
      <x:c r="G709" s="20"/>
      <x:c r="H709" s="20" t="str">
        <x:v>待判定</x:v>
      </x:c>
      <x:c r="I709" s="20"/>
      <x:c r="J709" s="20" t="str">
        <x:v>未测试</x:v>
      </x:c>
      <x:c r="K709" s="20"/>
      <x:c r="L709" s="20"/>
      <x:c r="M709" s="20"/>
      <x:c r="N709" s="20"/>
      <x:c r="O709" s="31"/>
      <x:c r="P709" s="20"/>
      <x:c r="Q709" s="20"/>
      <x:c r="R709" s="20" t="str">
        <x:v>待展开</x:v>
      </x:c>
      <x:c r="S709" s="20"/>
      <x:c r="T709" s="31"/>
      <x:c r="U709" s="30" t="str">
        <x:f>IF(A709="","缺记录编号",IF(COUNTIFS(PathRecords[记录编号],A709)&lt;&gt;1,"记录编号重复",IF(OR(B709="",E709=""),"缺组合/功能",IF(COUNTIFS(Equipment[组合编号],B709)&lt;&gt;1,"组合编号无效",IF(COUNTIFS(FunctionMatrix[编号],E709)=0,"功能编号无效",IF(H709="不适用",IF(J709="已实测","适用性冲突",IF(I709="","待补不适用依据","不适用（非实测）")),IF(J709="阻塞",IF(I709="","待补阻塞原因","阻塞（非实测）"),IF(J709&lt;&gt;"已实测",IF(F709="","待展开路径","未实测"),IF(H709&lt;&gt;"适用","待确认适用性",IF(INDEX(Equipment[登记状态（自动）],MATCH(B709,Equipment[组合编号],0))&lt;&gt;"已登记","待补设备组合",IF(AND(F709&lt;&gt;"",G709&lt;&gt;"",K709&lt;&gt;"",L709&lt;&gt;"",M709&lt;&gt;"",N709&lt;&gt;"",ISNUMBER(O709),O709&gt;0,P709&lt;&gt;""),"记录齐全","待补实测记录")))))))))))</x:f>
        <x:v>待展开路径</x:v>
      </x:c>
    </x:row>
    <x:row r="710" ht="43.5" customHeight="1">
      <x:c r="A710" s="20" t="str">
        <x:v>REC-00701</x:v>
      </x:c>
      <x:c r="B710" s="20" t="str">
        <x:v>P2-B2-01</x:v>
      </x:c>
      <x:c r="C710" s="30" t="str">
        <x:f>IF(B710="","",IF(COUNTIFS(Equipment[组合编号],B710)&lt;&gt;1,"组合编号无效",INDEX(Equipment[PLC组],MATCH(B710,Equipment[组合编号],0))))</x:f>
        <x:v>汇川中大型</x:v>
      </x:c>
      <x:c r="D710" s="30" t="str">
        <x:f>IF(B710="","",IF(COUNTIFS(Equipment[组合编号],B710)&lt;&gt;1,"组合编号无效",INDEX(Equipment[驱动品牌],MATCH(B710,Equipment[组合编号],0))))</x:f>
        <x:v>台达</x:v>
      </x:c>
      <x:c r="E710" s="20" t="str">
        <x:v>P05</x:v>
      </x:c>
      <x:c r="F710" s="20"/>
      <x:c r="G710" s="20"/>
      <x:c r="H710" s="20" t="str">
        <x:v>待判定</x:v>
      </x:c>
      <x:c r="I710" s="20"/>
      <x:c r="J710" s="20" t="str">
        <x:v>未测试</x:v>
      </x:c>
      <x:c r="K710" s="20"/>
      <x:c r="L710" s="20"/>
      <x:c r="M710" s="20"/>
      <x:c r="N710" s="20"/>
      <x:c r="O710" s="31"/>
      <x:c r="P710" s="20"/>
      <x:c r="Q710" s="20"/>
      <x:c r="R710" s="20" t="str">
        <x:v>待展开</x:v>
      </x:c>
      <x:c r="S710" s="20"/>
      <x:c r="T710" s="31"/>
      <x:c r="U710" s="30" t="str">
        <x:f>IF(A710="","缺记录编号",IF(COUNTIFS(PathRecords[记录编号],A710)&lt;&gt;1,"记录编号重复",IF(OR(B710="",E710=""),"缺组合/功能",IF(COUNTIFS(Equipment[组合编号],B710)&lt;&gt;1,"组合编号无效",IF(COUNTIFS(FunctionMatrix[编号],E710)=0,"功能编号无效",IF(H710="不适用",IF(J710="已实测","适用性冲突",IF(I710="","待补不适用依据","不适用（非实测）")),IF(J710="阻塞",IF(I710="","待补阻塞原因","阻塞（非实测）"),IF(J710&lt;&gt;"已实测",IF(F710="","待展开路径","未实测"),IF(H710&lt;&gt;"适用","待确认适用性",IF(INDEX(Equipment[登记状态（自动）],MATCH(B710,Equipment[组合编号],0))&lt;&gt;"已登记","待补设备组合",IF(AND(F710&lt;&gt;"",G710&lt;&gt;"",K710&lt;&gt;"",L710&lt;&gt;"",M710&lt;&gt;"",N710&lt;&gt;"",ISNUMBER(O710),O710&gt;0,P710&lt;&gt;""),"记录齐全","待补实测记录")))))))))))</x:f>
        <x:v>待展开路径</x:v>
      </x:c>
    </x:row>
    <x:row r="711" ht="43.5" customHeight="1">
      <x:c r="A711" s="20" t="str">
        <x:v>REC-00702</x:v>
      </x:c>
      <x:c r="B711" s="20" t="str">
        <x:v>P2-B2-01</x:v>
      </x:c>
      <x:c r="C711" s="30" t="str">
        <x:f>IF(B711="","",IF(COUNTIFS(Equipment[组合编号],B711)&lt;&gt;1,"组合编号无效",INDEX(Equipment[PLC组],MATCH(B711,Equipment[组合编号],0))))</x:f>
        <x:v>汇川中大型</x:v>
      </x:c>
      <x:c r="D711" s="30" t="str">
        <x:f>IF(B711="","",IF(COUNTIFS(Equipment[组合编号],B711)&lt;&gt;1,"组合编号无效",INDEX(Equipment[驱动品牌],MATCH(B711,Equipment[组合编号],0))))</x:f>
        <x:v>台达</x:v>
      </x:c>
      <x:c r="E711" s="20" t="str">
        <x:v>P06</x:v>
      </x:c>
      <x:c r="F711" s="20"/>
      <x:c r="G711" s="20"/>
      <x:c r="H711" s="20" t="str">
        <x:v>待判定</x:v>
      </x:c>
      <x:c r="I711" s="20"/>
      <x:c r="J711" s="20" t="str">
        <x:v>未测试</x:v>
      </x:c>
      <x:c r="K711" s="20"/>
      <x:c r="L711" s="20"/>
      <x:c r="M711" s="20"/>
      <x:c r="N711" s="20"/>
      <x:c r="O711" s="31"/>
      <x:c r="P711" s="20"/>
      <x:c r="Q711" s="20"/>
      <x:c r="R711" s="20" t="str">
        <x:v>待展开</x:v>
      </x:c>
      <x:c r="S711" s="20"/>
      <x:c r="T711" s="31"/>
      <x:c r="U711" s="30" t="str">
        <x:f>IF(A711="","缺记录编号",IF(COUNTIFS(PathRecords[记录编号],A711)&lt;&gt;1,"记录编号重复",IF(OR(B711="",E711=""),"缺组合/功能",IF(COUNTIFS(Equipment[组合编号],B711)&lt;&gt;1,"组合编号无效",IF(COUNTIFS(FunctionMatrix[编号],E711)=0,"功能编号无效",IF(H711="不适用",IF(J711="已实测","适用性冲突",IF(I711="","待补不适用依据","不适用（非实测）")),IF(J711="阻塞",IF(I711="","待补阻塞原因","阻塞（非实测）"),IF(J711&lt;&gt;"已实测",IF(F711="","待展开路径","未实测"),IF(H711&lt;&gt;"适用","待确认适用性",IF(INDEX(Equipment[登记状态（自动）],MATCH(B711,Equipment[组合编号],0))&lt;&gt;"已登记","待补设备组合",IF(AND(F711&lt;&gt;"",G711&lt;&gt;"",K711&lt;&gt;"",L711&lt;&gt;"",M711&lt;&gt;"",N711&lt;&gt;"",ISNUMBER(O711),O711&gt;0,P711&lt;&gt;""),"记录齐全","待补实测记录")))))))))))</x:f>
        <x:v>待展开路径</x:v>
      </x:c>
    </x:row>
    <x:row r="712" ht="43.5" customHeight="1">
      <x:c r="A712" s="20" t="str">
        <x:v>REC-00703</x:v>
      </x:c>
      <x:c r="B712" s="20" t="str">
        <x:v>P2-B2-01</x:v>
      </x:c>
      <x:c r="C712" s="30" t="str">
        <x:f>IF(B712="","",IF(COUNTIFS(Equipment[组合编号],B712)&lt;&gt;1,"组合编号无效",INDEX(Equipment[PLC组],MATCH(B712,Equipment[组合编号],0))))</x:f>
        <x:v>汇川中大型</x:v>
      </x:c>
      <x:c r="D712" s="30" t="str">
        <x:f>IF(B712="","",IF(COUNTIFS(Equipment[组合编号],B712)&lt;&gt;1,"组合编号无效",INDEX(Equipment[驱动品牌],MATCH(B712,Equipment[组合编号],0))))</x:f>
        <x:v>台达</x:v>
      </x:c>
      <x:c r="E712" s="20" t="str">
        <x:v>P07</x:v>
      </x:c>
      <x:c r="F712" s="20"/>
      <x:c r="G712" s="20"/>
      <x:c r="H712" s="20" t="str">
        <x:v>待判定</x:v>
      </x:c>
      <x:c r="I712" s="20"/>
      <x:c r="J712" s="20" t="str">
        <x:v>未测试</x:v>
      </x:c>
      <x:c r="K712" s="20"/>
      <x:c r="L712" s="20"/>
      <x:c r="M712" s="20"/>
      <x:c r="N712" s="20"/>
      <x:c r="O712" s="31"/>
      <x:c r="P712" s="20"/>
      <x:c r="Q712" s="20"/>
      <x:c r="R712" s="20" t="str">
        <x:v>待展开</x:v>
      </x:c>
      <x:c r="S712" s="20"/>
      <x:c r="T712" s="31"/>
      <x:c r="U712" s="30" t="str">
        <x:f>IF(A712="","缺记录编号",IF(COUNTIFS(PathRecords[记录编号],A712)&lt;&gt;1,"记录编号重复",IF(OR(B712="",E712=""),"缺组合/功能",IF(COUNTIFS(Equipment[组合编号],B712)&lt;&gt;1,"组合编号无效",IF(COUNTIFS(FunctionMatrix[编号],E712)=0,"功能编号无效",IF(H712="不适用",IF(J712="已实测","适用性冲突",IF(I712="","待补不适用依据","不适用（非实测）")),IF(J712="阻塞",IF(I712="","待补阻塞原因","阻塞（非实测）"),IF(J712&lt;&gt;"已实测",IF(F712="","待展开路径","未实测"),IF(H712&lt;&gt;"适用","待确认适用性",IF(INDEX(Equipment[登记状态（自动）],MATCH(B712,Equipment[组合编号],0))&lt;&gt;"已登记","待补设备组合",IF(AND(F712&lt;&gt;"",G712&lt;&gt;"",K712&lt;&gt;"",L712&lt;&gt;"",M712&lt;&gt;"",N712&lt;&gt;"",ISNUMBER(O712),O712&gt;0,P712&lt;&gt;""),"记录齐全","待补实测记录")))))))))))</x:f>
        <x:v>待展开路径</x:v>
      </x:c>
    </x:row>
    <x:row r="713" ht="43.5" customHeight="1">
      <x:c r="A713" s="20" t="str">
        <x:v>REC-00704</x:v>
      </x:c>
      <x:c r="B713" s="20" t="str">
        <x:v>P2-B2-01</x:v>
      </x:c>
      <x:c r="C713" s="30" t="str">
        <x:f>IF(B713="","",IF(COUNTIFS(Equipment[组合编号],B713)&lt;&gt;1,"组合编号无效",INDEX(Equipment[PLC组],MATCH(B713,Equipment[组合编号],0))))</x:f>
        <x:v>汇川中大型</x:v>
      </x:c>
      <x:c r="D713" s="30" t="str">
        <x:f>IF(B713="","",IF(COUNTIFS(Equipment[组合编号],B713)&lt;&gt;1,"组合编号无效",INDEX(Equipment[驱动品牌],MATCH(B713,Equipment[组合编号],0))))</x:f>
        <x:v>台达</x:v>
      </x:c>
      <x:c r="E713" s="20" t="str">
        <x:v>P08</x:v>
      </x:c>
      <x:c r="F713" s="20"/>
      <x:c r="G713" s="20"/>
      <x:c r="H713" s="20" t="str">
        <x:v>待判定</x:v>
      </x:c>
      <x:c r="I713" s="20"/>
      <x:c r="J713" s="20" t="str">
        <x:v>未测试</x:v>
      </x:c>
      <x:c r="K713" s="20"/>
      <x:c r="L713" s="20"/>
      <x:c r="M713" s="20"/>
      <x:c r="N713" s="20"/>
      <x:c r="O713" s="31"/>
      <x:c r="P713" s="20"/>
      <x:c r="Q713" s="20"/>
      <x:c r="R713" s="20" t="str">
        <x:v>待展开</x:v>
      </x:c>
      <x:c r="S713" s="20"/>
      <x:c r="T713" s="31"/>
      <x:c r="U713" s="30" t="str">
        <x:f>IF(A713="","缺记录编号",IF(COUNTIFS(PathRecords[记录编号],A713)&lt;&gt;1,"记录编号重复",IF(OR(B713="",E713=""),"缺组合/功能",IF(COUNTIFS(Equipment[组合编号],B713)&lt;&gt;1,"组合编号无效",IF(COUNTIFS(FunctionMatrix[编号],E713)=0,"功能编号无效",IF(H713="不适用",IF(J713="已实测","适用性冲突",IF(I713="","待补不适用依据","不适用（非实测）")),IF(J713="阻塞",IF(I713="","待补阻塞原因","阻塞（非实测）"),IF(J713&lt;&gt;"已实测",IF(F713="","待展开路径","未实测"),IF(H713&lt;&gt;"适用","待确认适用性",IF(INDEX(Equipment[登记状态（自动）],MATCH(B713,Equipment[组合编号],0))&lt;&gt;"已登记","待补设备组合",IF(AND(F713&lt;&gt;"",G713&lt;&gt;"",K713&lt;&gt;"",L713&lt;&gt;"",M713&lt;&gt;"",N713&lt;&gt;"",ISNUMBER(O713),O713&gt;0,P713&lt;&gt;""),"记录齐全","待补实测记录")))))))))))</x:f>
        <x:v>待展开路径</x:v>
      </x:c>
    </x:row>
    <x:row r="714" ht="43.5" customHeight="1">
      <x:c r="A714" s="20" t="str">
        <x:v>REC-00705</x:v>
      </x:c>
      <x:c r="B714" s="20" t="str">
        <x:v>P2-B2-01</x:v>
      </x:c>
      <x:c r="C714" s="30" t="str">
        <x:f>IF(B714="","",IF(COUNTIFS(Equipment[组合编号],B714)&lt;&gt;1,"组合编号无效",INDEX(Equipment[PLC组],MATCH(B714,Equipment[组合编号],0))))</x:f>
        <x:v>汇川中大型</x:v>
      </x:c>
      <x:c r="D714" s="30" t="str">
        <x:f>IF(B714="","",IF(COUNTIFS(Equipment[组合编号],B714)&lt;&gt;1,"组合编号无效",INDEX(Equipment[驱动品牌],MATCH(B714,Equipment[组合编号],0))))</x:f>
        <x:v>台达</x:v>
      </x:c>
      <x:c r="E714" s="20" t="str">
        <x:v>P09</x:v>
      </x:c>
      <x:c r="F714" s="20"/>
      <x:c r="G714" s="20"/>
      <x:c r="H714" s="20" t="str">
        <x:v>待判定</x:v>
      </x:c>
      <x:c r="I714" s="20"/>
      <x:c r="J714" s="20" t="str">
        <x:v>未测试</x:v>
      </x:c>
      <x:c r="K714" s="20"/>
      <x:c r="L714" s="20"/>
      <x:c r="M714" s="20"/>
      <x:c r="N714" s="20"/>
      <x:c r="O714" s="31"/>
      <x:c r="P714" s="20"/>
      <x:c r="Q714" s="20"/>
      <x:c r="R714" s="20" t="str">
        <x:v>待展开</x:v>
      </x:c>
      <x:c r="S714" s="20"/>
      <x:c r="T714" s="31"/>
      <x:c r="U714" s="30" t="str">
        <x:f>IF(A714="","缺记录编号",IF(COUNTIFS(PathRecords[记录编号],A714)&lt;&gt;1,"记录编号重复",IF(OR(B714="",E714=""),"缺组合/功能",IF(COUNTIFS(Equipment[组合编号],B714)&lt;&gt;1,"组合编号无效",IF(COUNTIFS(FunctionMatrix[编号],E714)=0,"功能编号无效",IF(H714="不适用",IF(J714="已实测","适用性冲突",IF(I714="","待补不适用依据","不适用（非实测）")),IF(J714="阻塞",IF(I714="","待补阻塞原因","阻塞（非实测）"),IF(J714&lt;&gt;"已实测",IF(F714="","待展开路径","未实测"),IF(H714&lt;&gt;"适用","待确认适用性",IF(INDEX(Equipment[登记状态（自动）],MATCH(B714,Equipment[组合编号],0))&lt;&gt;"已登记","待补设备组合",IF(AND(F714&lt;&gt;"",G714&lt;&gt;"",K714&lt;&gt;"",L714&lt;&gt;"",M714&lt;&gt;"",N714&lt;&gt;"",ISNUMBER(O714),O714&gt;0,P714&lt;&gt;""),"记录齐全","待补实测记录")))))))))))</x:f>
        <x:v>待展开路径</x:v>
      </x:c>
    </x:row>
    <x:row r="715" ht="43.5" customHeight="1">
      <x:c r="A715" s="20" t="str">
        <x:v>REC-00706</x:v>
      </x:c>
      <x:c r="B715" s="20" t="str">
        <x:v>P2-B2-01</x:v>
      </x:c>
      <x:c r="C715" s="30" t="str">
        <x:f>IF(B715="","",IF(COUNTIFS(Equipment[组合编号],B715)&lt;&gt;1,"组合编号无效",INDEX(Equipment[PLC组],MATCH(B715,Equipment[组合编号],0))))</x:f>
        <x:v>汇川中大型</x:v>
      </x:c>
      <x:c r="D715" s="30" t="str">
        <x:f>IF(B715="","",IF(COUNTIFS(Equipment[组合编号],B715)&lt;&gt;1,"组合编号无效",INDEX(Equipment[驱动品牌],MATCH(B715,Equipment[组合编号],0))))</x:f>
        <x:v>台达</x:v>
      </x:c>
      <x:c r="E715" s="20" t="str">
        <x:v>P10</x:v>
      </x:c>
      <x:c r="F715" s="20"/>
      <x:c r="G715" s="20"/>
      <x:c r="H715" s="20" t="str">
        <x:v>待判定</x:v>
      </x:c>
      <x:c r="I715" s="20"/>
      <x:c r="J715" s="20" t="str">
        <x:v>未测试</x:v>
      </x:c>
      <x:c r="K715" s="20"/>
      <x:c r="L715" s="20"/>
      <x:c r="M715" s="20"/>
      <x:c r="N715" s="20"/>
      <x:c r="O715" s="31"/>
      <x:c r="P715" s="20"/>
      <x:c r="Q715" s="20"/>
      <x:c r="R715" s="20" t="str">
        <x:v>待展开</x:v>
      </x:c>
      <x:c r="S715" s="20"/>
      <x:c r="T715" s="31"/>
      <x:c r="U715" s="30" t="str">
        <x:f>IF(A715="","缺记录编号",IF(COUNTIFS(PathRecords[记录编号],A715)&lt;&gt;1,"记录编号重复",IF(OR(B715="",E715=""),"缺组合/功能",IF(COUNTIFS(Equipment[组合编号],B715)&lt;&gt;1,"组合编号无效",IF(COUNTIFS(FunctionMatrix[编号],E715)=0,"功能编号无效",IF(H715="不适用",IF(J715="已实测","适用性冲突",IF(I715="","待补不适用依据","不适用（非实测）")),IF(J715="阻塞",IF(I715="","待补阻塞原因","阻塞（非实测）"),IF(J715&lt;&gt;"已实测",IF(F715="","待展开路径","未实测"),IF(H715&lt;&gt;"适用","待确认适用性",IF(INDEX(Equipment[登记状态（自动）],MATCH(B715,Equipment[组合编号],0))&lt;&gt;"已登记","待补设备组合",IF(AND(F715&lt;&gt;"",G715&lt;&gt;"",K715&lt;&gt;"",L715&lt;&gt;"",M715&lt;&gt;"",N715&lt;&gt;"",ISNUMBER(O715),O715&gt;0,P715&lt;&gt;""),"记录齐全","待补实测记录")))))))))))</x:f>
        <x:v>待展开路径</x:v>
      </x:c>
    </x:row>
    <x:row r="716" ht="43.5" customHeight="1">
      <x:c r="A716" s="20" t="str">
        <x:v>REC-00707</x:v>
      </x:c>
      <x:c r="B716" s="20" t="str">
        <x:v>P2-B2-01</x:v>
      </x:c>
      <x:c r="C716" s="30" t="str">
        <x:f>IF(B716="","",IF(COUNTIFS(Equipment[组合编号],B716)&lt;&gt;1,"组合编号无效",INDEX(Equipment[PLC组],MATCH(B716,Equipment[组合编号],0))))</x:f>
        <x:v>汇川中大型</x:v>
      </x:c>
      <x:c r="D716" s="30" t="str">
        <x:f>IF(B716="","",IF(COUNTIFS(Equipment[组合编号],B716)&lt;&gt;1,"组合编号无效",INDEX(Equipment[驱动品牌],MATCH(B716,Equipment[组合编号],0))))</x:f>
        <x:v>台达</x:v>
      </x:c>
      <x:c r="E716" s="20" t="str">
        <x:v>A01</x:v>
      </x:c>
      <x:c r="F716" s="20"/>
      <x:c r="G716" s="20"/>
      <x:c r="H716" s="20" t="str">
        <x:v>待判定</x:v>
      </x:c>
      <x:c r="I716" s="20"/>
      <x:c r="J716" s="20" t="str">
        <x:v>未测试</x:v>
      </x:c>
      <x:c r="K716" s="20"/>
      <x:c r="L716" s="20"/>
      <x:c r="M716" s="20"/>
      <x:c r="N716" s="20"/>
      <x:c r="O716" s="31"/>
      <x:c r="P716" s="20"/>
      <x:c r="Q716" s="20"/>
      <x:c r="R716" s="20" t="str">
        <x:v>待展开</x:v>
      </x:c>
      <x:c r="S716" s="20"/>
      <x:c r="T716" s="31"/>
      <x:c r="U716" s="30" t="str">
        <x:f>IF(A716="","缺记录编号",IF(COUNTIFS(PathRecords[记录编号],A716)&lt;&gt;1,"记录编号重复",IF(OR(B716="",E716=""),"缺组合/功能",IF(COUNTIFS(Equipment[组合编号],B716)&lt;&gt;1,"组合编号无效",IF(COUNTIFS(FunctionMatrix[编号],E716)=0,"功能编号无效",IF(H716="不适用",IF(J716="已实测","适用性冲突",IF(I716="","待补不适用依据","不适用（非实测）")),IF(J716="阻塞",IF(I716="","待补阻塞原因","阻塞（非实测）"),IF(J716&lt;&gt;"已实测",IF(F716="","待展开路径","未实测"),IF(H716&lt;&gt;"适用","待确认适用性",IF(INDEX(Equipment[登记状态（自动）],MATCH(B716,Equipment[组合编号],0))&lt;&gt;"已登记","待补设备组合",IF(AND(F716&lt;&gt;"",G716&lt;&gt;"",K716&lt;&gt;"",L716&lt;&gt;"",M716&lt;&gt;"",N716&lt;&gt;"",ISNUMBER(O716),O716&gt;0,P716&lt;&gt;""),"记录齐全","待补实测记录")))))))))))</x:f>
        <x:v>待展开路径</x:v>
      </x:c>
    </x:row>
    <x:row r="717" ht="43.5" customHeight="1">
      <x:c r="A717" s="20" t="str">
        <x:v>REC-00708</x:v>
      </x:c>
      <x:c r="B717" s="20" t="str">
        <x:v>P2-B2-01</x:v>
      </x:c>
      <x:c r="C717" s="30" t="str">
        <x:f>IF(B717="","",IF(COUNTIFS(Equipment[组合编号],B717)&lt;&gt;1,"组合编号无效",INDEX(Equipment[PLC组],MATCH(B717,Equipment[组合编号],0))))</x:f>
        <x:v>汇川中大型</x:v>
      </x:c>
      <x:c r="D717" s="30" t="str">
        <x:f>IF(B717="","",IF(COUNTIFS(Equipment[组合编号],B717)&lt;&gt;1,"组合编号无效",INDEX(Equipment[驱动品牌],MATCH(B717,Equipment[组合编号],0))))</x:f>
        <x:v>台达</x:v>
      </x:c>
      <x:c r="E717" s="20" t="str">
        <x:v>A02</x:v>
      </x:c>
      <x:c r="F717" s="20"/>
      <x:c r="G717" s="20"/>
      <x:c r="H717" s="20" t="str">
        <x:v>待判定</x:v>
      </x:c>
      <x:c r="I717" s="20"/>
      <x:c r="J717" s="20" t="str">
        <x:v>未测试</x:v>
      </x:c>
      <x:c r="K717" s="20"/>
      <x:c r="L717" s="20"/>
      <x:c r="M717" s="20"/>
      <x:c r="N717" s="20"/>
      <x:c r="O717" s="31"/>
      <x:c r="P717" s="20"/>
      <x:c r="Q717" s="20"/>
      <x:c r="R717" s="20" t="str">
        <x:v>待展开</x:v>
      </x:c>
      <x:c r="S717" s="20"/>
      <x:c r="T717" s="31"/>
      <x:c r="U717" s="30" t="str">
        <x:f>IF(A717="","缺记录编号",IF(COUNTIFS(PathRecords[记录编号],A717)&lt;&gt;1,"记录编号重复",IF(OR(B717="",E717=""),"缺组合/功能",IF(COUNTIFS(Equipment[组合编号],B717)&lt;&gt;1,"组合编号无效",IF(COUNTIFS(FunctionMatrix[编号],E717)=0,"功能编号无效",IF(H717="不适用",IF(J717="已实测","适用性冲突",IF(I717="","待补不适用依据","不适用（非实测）")),IF(J717="阻塞",IF(I717="","待补阻塞原因","阻塞（非实测）"),IF(J717&lt;&gt;"已实测",IF(F717="","待展开路径","未实测"),IF(H717&lt;&gt;"适用","待确认适用性",IF(INDEX(Equipment[登记状态（自动）],MATCH(B717,Equipment[组合编号],0))&lt;&gt;"已登记","待补设备组合",IF(AND(F717&lt;&gt;"",G717&lt;&gt;"",K717&lt;&gt;"",L717&lt;&gt;"",M717&lt;&gt;"",N717&lt;&gt;"",ISNUMBER(O717),O717&gt;0,P717&lt;&gt;""),"记录齐全","待补实测记录")))))))))))</x:f>
        <x:v>待展开路径</x:v>
      </x:c>
    </x:row>
    <x:row r="718" ht="43.5" customHeight="1">
      <x:c r="A718" s="20" t="str">
        <x:v>REC-00709</x:v>
      </x:c>
      <x:c r="B718" s="20" t="str">
        <x:v>P2-B2-01</x:v>
      </x:c>
      <x:c r="C718" s="30" t="str">
        <x:f>IF(B718="","",IF(COUNTIFS(Equipment[组合编号],B718)&lt;&gt;1,"组合编号无效",INDEX(Equipment[PLC组],MATCH(B718,Equipment[组合编号],0))))</x:f>
        <x:v>汇川中大型</x:v>
      </x:c>
      <x:c r="D718" s="30" t="str">
        <x:f>IF(B718="","",IF(COUNTIFS(Equipment[组合编号],B718)&lt;&gt;1,"组合编号无效",INDEX(Equipment[驱动品牌],MATCH(B718,Equipment[组合编号],0))))</x:f>
        <x:v>台达</x:v>
      </x:c>
      <x:c r="E718" s="20" t="str">
        <x:v>A03</x:v>
      </x:c>
      <x:c r="F718" s="20"/>
      <x:c r="G718" s="20"/>
      <x:c r="H718" s="20" t="str">
        <x:v>待判定</x:v>
      </x:c>
      <x:c r="I718" s="20"/>
      <x:c r="J718" s="20" t="str">
        <x:v>未测试</x:v>
      </x:c>
      <x:c r="K718" s="20"/>
      <x:c r="L718" s="20"/>
      <x:c r="M718" s="20"/>
      <x:c r="N718" s="20"/>
      <x:c r="O718" s="31"/>
      <x:c r="P718" s="20"/>
      <x:c r="Q718" s="20"/>
      <x:c r="R718" s="20" t="str">
        <x:v>待展开</x:v>
      </x:c>
      <x:c r="S718" s="20"/>
      <x:c r="T718" s="31"/>
      <x:c r="U718" s="30" t="str">
        <x:f>IF(A718="","缺记录编号",IF(COUNTIFS(PathRecords[记录编号],A718)&lt;&gt;1,"记录编号重复",IF(OR(B718="",E718=""),"缺组合/功能",IF(COUNTIFS(Equipment[组合编号],B718)&lt;&gt;1,"组合编号无效",IF(COUNTIFS(FunctionMatrix[编号],E718)=0,"功能编号无效",IF(H718="不适用",IF(J718="已实测","适用性冲突",IF(I718="","待补不适用依据","不适用（非实测）")),IF(J718="阻塞",IF(I718="","待补阻塞原因","阻塞（非实测）"),IF(J718&lt;&gt;"已实测",IF(F718="","待展开路径","未实测"),IF(H718&lt;&gt;"适用","待确认适用性",IF(INDEX(Equipment[登记状态（自动）],MATCH(B718,Equipment[组合编号],0))&lt;&gt;"已登记","待补设备组合",IF(AND(F718&lt;&gt;"",G718&lt;&gt;"",K718&lt;&gt;"",L718&lt;&gt;"",M718&lt;&gt;"",N718&lt;&gt;"",ISNUMBER(O718),O718&gt;0,P718&lt;&gt;""),"记录齐全","待补实测记录")))))))))))</x:f>
        <x:v>待展开路径</x:v>
      </x:c>
    </x:row>
    <x:row r="719" ht="43.5" customHeight="1">
      <x:c r="A719" s="20" t="str">
        <x:v>REC-00710</x:v>
      </x:c>
      <x:c r="B719" s="20" t="str">
        <x:v>P2-B2-01</x:v>
      </x:c>
      <x:c r="C719" s="30" t="str">
        <x:f>IF(B719="","",IF(COUNTIFS(Equipment[组合编号],B719)&lt;&gt;1,"组合编号无效",INDEX(Equipment[PLC组],MATCH(B719,Equipment[组合编号],0))))</x:f>
        <x:v>汇川中大型</x:v>
      </x:c>
      <x:c r="D719" s="30" t="str">
        <x:f>IF(B719="","",IF(COUNTIFS(Equipment[组合编号],B719)&lt;&gt;1,"组合编号无效",INDEX(Equipment[驱动品牌],MATCH(B719,Equipment[组合编号],0))))</x:f>
        <x:v>台达</x:v>
      </x:c>
      <x:c r="E719" s="20" t="str">
        <x:v>A04</x:v>
      </x:c>
      <x:c r="F719" s="20"/>
      <x:c r="G719" s="20"/>
      <x:c r="H719" s="20" t="str">
        <x:v>待判定</x:v>
      </x:c>
      <x:c r="I719" s="20"/>
      <x:c r="J719" s="20" t="str">
        <x:v>未测试</x:v>
      </x:c>
      <x:c r="K719" s="20"/>
      <x:c r="L719" s="20"/>
      <x:c r="M719" s="20"/>
      <x:c r="N719" s="20"/>
      <x:c r="O719" s="31"/>
      <x:c r="P719" s="20"/>
      <x:c r="Q719" s="20"/>
      <x:c r="R719" s="20" t="str">
        <x:v>待展开</x:v>
      </x:c>
      <x:c r="S719" s="20"/>
      <x:c r="T719" s="31"/>
      <x:c r="U719" s="30" t="str">
        <x:f>IF(A719="","缺记录编号",IF(COUNTIFS(PathRecords[记录编号],A719)&lt;&gt;1,"记录编号重复",IF(OR(B719="",E719=""),"缺组合/功能",IF(COUNTIFS(Equipment[组合编号],B719)&lt;&gt;1,"组合编号无效",IF(COUNTIFS(FunctionMatrix[编号],E719)=0,"功能编号无效",IF(H719="不适用",IF(J719="已实测","适用性冲突",IF(I719="","待补不适用依据","不适用（非实测）")),IF(J719="阻塞",IF(I719="","待补阻塞原因","阻塞（非实测）"),IF(J719&lt;&gt;"已实测",IF(F719="","待展开路径","未实测"),IF(H719&lt;&gt;"适用","待确认适用性",IF(INDEX(Equipment[登记状态（自动）],MATCH(B719,Equipment[组合编号],0))&lt;&gt;"已登记","待补设备组合",IF(AND(F719&lt;&gt;"",G719&lt;&gt;"",K719&lt;&gt;"",L719&lt;&gt;"",M719&lt;&gt;"",N719&lt;&gt;"",ISNUMBER(O719),O719&gt;0,P719&lt;&gt;""),"记录齐全","待补实测记录")))))))))))</x:f>
        <x:v>待展开路径</x:v>
      </x:c>
    </x:row>
    <x:row r="720" ht="43.5" customHeight="1">
      <x:c r="A720" s="20" t="str">
        <x:v>REC-00711</x:v>
      </x:c>
      <x:c r="B720" s="20" t="str">
        <x:v>P2-B2-01</x:v>
      </x:c>
      <x:c r="C720" s="30" t="str">
        <x:f>IF(B720="","",IF(COUNTIFS(Equipment[组合编号],B720)&lt;&gt;1,"组合编号无效",INDEX(Equipment[PLC组],MATCH(B720,Equipment[组合编号],0))))</x:f>
        <x:v>汇川中大型</x:v>
      </x:c>
      <x:c r="D720" s="30" t="str">
        <x:f>IF(B720="","",IF(COUNTIFS(Equipment[组合编号],B720)&lt;&gt;1,"组合编号无效",INDEX(Equipment[驱动品牌],MATCH(B720,Equipment[组合编号],0))))</x:f>
        <x:v>台达</x:v>
      </x:c>
      <x:c r="E720" s="20" t="str">
        <x:v>A05</x:v>
      </x:c>
      <x:c r="F720" s="20"/>
      <x:c r="G720" s="20"/>
      <x:c r="H720" s="20" t="str">
        <x:v>待判定</x:v>
      </x:c>
      <x:c r="I720" s="20"/>
      <x:c r="J720" s="20" t="str">
        <x:v>未测试</x:v>
      </x:c>
      <x:c r="K720" s="20"/>
      <x:c r="L720" s="20"/>
      <x:c r="M720" s="20"/>
      <x:c r="N720" s="20"/>
      <x:c r="O720" s="31"/>
      <x:c r="P720" s="20"/>
      <x:c r="Q720" s="20"/>
      <x:c r="R720" s="20" t="str">
        <x:v>待展开</x:v>
      </x:c>
      <x:c r="S720" s="20"/>
      <x:c r="T720" s="31"/>
      <x:c r="U720" s="30" t="str">
        <x:f>IF(A720="","缺记录编号",IF(COUNTIFS(PathRecords[记录编号],A720)&lt;&gt;1,"记录编号重复",IF(OR(B720="",E720=""),"缺组合/功能",IF(COUNTIFS(Equipment[组合编号],B720)&lt;&gt;1,"组合编号无效",IF(COUNTIFS(FunctionMatrix[编号],E720)=0,"功能编号无效",IF(H720="不适用",IF(J720="已实测","适用性冲突",IF(I720="","待补不适用依据","不适用（非实测）")),IF(J720="阻塞",IF(I720="","待补阻塞原因","阻塞（非实测）"),IF(J720&lt;&gt;"已实测",IF(F720="","待展开路径","未实测"),IF(H720&lt;&gt;"适用","待确认适用性",IF(INDEX(Equipment[登记状态（自动）],MATCH(B720,Equipment[组合编号],0))&lt;&gt;"已登记","待补设备组合",IF(AND(F720&lt;&gt;"",G720&lt;&gt;"",K720&lt;&gt;"",L720&lt;&gt;"",M720&lt;&gt;"",N720&lt;&gt;"",ISNUMBER(O720),O720&gt;0,P720&lt;&gt;""),"记录齐全","待补实测记录")))))))))))</x:f>
        <x:v>待展开路径</x:v>
      </x:c>
    </x:row>
    <x:row r="721" ht="43.5" customHeight="1">
      <x:c r="A721" s="20" t="str">
        <x:v>REC-00712</x:v>
      </x:c>
      <x:c r="B721" s="20" t="str">
        <x:v>P2-B2-01</x:v>
      </x:c>
      <x:c r="C721" s="30" t="str">
        <x:f>IF(B721="","",IF(COUNTIFS(Equipment[组合编号],B721)&lt;&gt;1,"组合编号无效",INDEX(Equipment[PLC组],MATCH(B721,Equipment[组合编号],0))))</x:f>
        <x:v>汇川中大型</x:v>
      </x:c>
      <x:c r="D721" s="30" t="str">
        <x:f>IF(B721="","",IF(COUNTIFS(Equipment[组合编号],B721)&lt;&gt;1,"组合编号无效",INDEX(Equipment[驱动品牌],MATCH(B721,Equipment[组合编号],0))))</x:f>
        <x:v>台达</x:v>
      </x:c>
      <x:c r="E721" s="20" t="str">
        <x:v>A06</x:v>
      </x:c>
      <x:c r="F721" s="20"/>
      <x:c r="G721" s="20"/>
      <x:c r="H721" s="20" t="str">
        <x:v>待判定</x:v>
      </x:c>
      <x:c r="I721" s="20"/>
      <x:c r="J721" s="20" t="str">
        <x:v>未测试</x:v>
      </x:c>
      <x:c r="K721" s="20"/>
      <x:c r="L721" s="20"/>
      <x:c r="M721" s="20"/>
      <x:c r="N721" s="20"/>
      <x:c r="O721" s="31"/>
      <x:c r="P721" s="20"/>
      <x:c r="Q721" s="20"/>
      <x:c r="R721" s="20" t="str">
        <x:v>待展开</x:v>
      </x:c>
      <x:c r="S721" s="20"/>
      <x:c r="T721" s="31"/>
      <x:c r="U721" s="30" t="str">
        <x:f>IF(A721="","缺记录编号",IF(COUNTIFS(PathRecords[记录编号],A721)&lt;&gt;1,"记录编号重复",IF(OR(B721="",E721=""),"缺组合/功能",IF(COUNTIFS(Equipment[组合编号],B721)&lt;&gt;1,"组合编号无效",IF(COUNTIFS(FunctionMatrix[编号],E721)=0,"功能编号无效",IF(H721="不适用",IF(J721="已实测","适用性冲突",IF(I721="","待补不适用依据","不适用（非实测）")),IF(J721="阻塞",IF(I721="","待补阻塞原因","阻塞（非实测）"),IF(J721&lt;&gt;"已实测",IF(F721="","待展开路径","未实测"),IF(H721&lt;&gt;"适用","待确认适用性",IF(INDEX(Equipment[登记状态（自动）],MATCH(B721,Equipment[组合编号],0))&lt;&gt;"已登记","待补设备组合",IF(AND(F721&lt;&gt;"",G721&lt;&gt;"",K721&lt;&gt;"",L721&lt;&gt;"",M721&lt;&gt;"",N721&lt;&gt;"",ISNUMBER(O721),O721&gt;0,P721&lt;&gt;""),"记录齐全","待补实测记录")))))))))))</x:f>
        <x:v>待展开路径</x:v>
      </x:c>
    </x:row>
    <x:row r="722" ht="43.5" customHeight="1">
      <x:c r="A722" s="20" t="str">
        <x:v>REC-00713</x:v>
      </x:c>
      <x:c r="B722" s="20" t="str">
        <x:v>P2-B2-01</x:v>
      </x:c>
      <x:c r="C722" s="30" t="str">
        <x:f>IF(B722="","",IF(COUNTIFS(Equipment[组合编号],B722)&lt;&gt;1,"组合编号无效",INDEX(Equipment[PLC组],MATCH(B722,Equipment[组合编号],0))))</x:f>
        <x:v>汇川中大型</x:v>
      </x:c>
      <x:c r="D722" s="30" t="str">
        <x:f>IF(B722="","",IF(COUNTIFS(Equipment[组合编号],B722)&lt;&gt;1,"组合编号无效",INDEX(Equipment[驱动品牌],MATCH(B722,Equipment[组合编号],0))))</x:f>
        <x:v>台达</x:v>
      </x:c>
      <x:c r="E722" s="20" t="str">
        <x:v>A07</x:v>
      </x:c>
      <x:c r="F722" s="20"/>
      <x:c r="G722" s="20"/>
      <x:c r="H722" s="20" t="str">
        <x:v>待判定</x:v>
      </x:c>
      <x:c r="I722" s="20"/>
      <x:c r="J722" s="20" t="str">
        <x:v>未测试</x:v>
      </x:c>
      <x:c r="K722" s="20"/>
      <x:c r="L722" s="20"/>
      <x:c r="M722" s="20"/>
      <x:c r="N722" s="20"/>
      <x:c r="O722" s="31"/>
      <x:c r="P722" s="20"/>
      <x:c r="Q722" s="20"/>
      <x:c r="R722" s="20" t="str">
        <x:v>待展开</x:v>
      </x:c>
      <x:c r="S722" s="20"/>
      <x:c r="T722" s="31"/>
      <x:c r="U722" s="30" t="str">
        <x:f>IF(A722="","缺记录编号",IF(COUNTIFS(PathRecords[记录编号],A722)&lt;&gt;1,"记录编号重复",IF(OR(B722="",E722=""),"缺组合/功能",IF(COUNTIFS(Equipment[组合编号],B722)&lt;&gt;1,"组合编号无效",IF(COUNTIFS(FunctionMatrix[编号],E722)=0,"功能编号无效",IF(H722="不适用",IF(J722="已实测","适用性冲突",IF(I722="","待补不适用依据","不适用（非实测）")),IF(J722="阻塞",IF(I722="","待补阻塞原因","阻塞（非实测）"),IF(J722&lt;&gt;"已实测",IF(F722="","待展开路径","未实测"),IF(H722&lt;&gt;"适用","待确认适用性",IF(INDEX(Equipment[登记状态（自动）],MATCH(B722,Equipment[组合编号],0))&lt;&gt;"已登记","待补设备组合",IF(AND(F722&lt;&gt;"",G722&lt;&gt;"",K722&lt;&gt;"",L722&lt;&gt;"",M722&lt;&gt;"",N722&lt;&gt;"",ISNUMBER(O722),O722&gt;0,P722&lt;&gt;""),"记录齐全","待补实测记录")))))))))))</x:f>
        <x:v>待展开路径</x:v>
      </x:c>
    </x:row>
    <x:row r="723" ht="43.5" customHeight="1">
      <x:c r="A723" s="20" t="str">
        <x:v>REC-00714</x:v>
      </x:c>
      <x:c r="B723" s="20" t="str">
        <x:v>P2-B2-01</x:v>
      </x:c>
      <x:c r="C723" s="30" t="str">
        <x:f>IF(B723="","",IF(COUNTIFS(Equipment[组合编号],B723)&lt;&gt;1,"组合编号无效",INDEX(Equipment[PLC组],MATCH(B723,Equipment[组合编号],0))))</x:f>
        <x:v>汇川中大型</x:v>
      </x:c>
      <x:c r="D723" s="30" t="str">
        <x:f>IF(B723="","",IF(COUNTIFS(Equipment[组合编号],B723)&lt;&gt;1,"组合编号无效",INDEX(Equipment[驱动品牌],MATCH(B723,Equipment[组合编号],0))))</x:f>
        <x:v>台达</x:v>
      </x:c>
      <x:c r="E723" s="20" t="str">
        <x:v>A08</x:v>
      </x:c>
      <x:c r="F723" s="20"/>
      <x:c r="G723" s="20"/>
      <x:c r="H723" s="20" t="str">
        <x:v>待判定</x:v>
      </x:c>
      <x:c r="I723" s="20"/>
      <x:c r="J723" s="20" t="str">
        <x:v>未测试</x:v>
      </x:c>
      <x:c r="K723" s="20"/>
      <x:c r="L723" s="20"/>
      <x:c r="M723" s="20"/>
      <x:c r="N723" s="20"/>
      <x:c r="O723" s="31"/>
      <x:c r="P723" s="20"/>
      <x:c r="Q723" s="20"/>
      <x:c r="R723" s="20" t="str">
        <x:v>待展开</x:v>
      </x:c>
      <x:c r="S723" s="20"/>
      <x:c r="T723" s="31"/>
      <x:c r="U723" s="30" t="str">
        <x:f>IF(A723="","缺记录编号",IF(COUNTIFS(PathRecords[记录编号],A723)&lt;&gt;1,"记录编号重复",IF(OR(B723="",E723=""),"缺组合/功能",IF(COUNTIFS(Equipment[组合编号],B723)&lt;&gt;1,"组合编号无效",IF(COUNTIFS(FunctionMatrix[编号],E723)=0,"功能编号无效",IF(H723="不适用",IF(J723="已实测","适用性冲突",IF(I723="","待补不适用依据","不适用（非实测）")),IF(J723="阻塞",IF(I723="","待补阻塞原因","阻塞（非实测）"),IF(J723&lt;&gt;"已实测",IF(F723="","待展开路径","未实测"),IF(H723&lt;&gt;"适用","待确认适用性",IF(INDEX(Equipment[登记状态（自动）],MATCH(B723,Equipment[组合编号],0))&lt;&gt;"已登记","待补设备组合",IF(AND(F723&lt;&gt;"",G723&lt;&gt;"",K723&lt;&gt;"",L723&lt;&gt;"",M723&lt;&gt;"",N723&lt;&gt;"",ISNUMBER(O723),O723&gt;0,P723&lt;&gt;""),"记录齐全","待补实测记录")))))))))))</x:f>
        <x:v>待展开路径</x:v>
      </x:c>
    </x:row>
    <x:row r="724" ht="43.5" customHeight="1">
      <x:c r="A724" s="20" t="str">
        <x:v>REC-00715</x:v>
      </x:c>
      <x:c r="B724" s="20" t="str">
        <x:v>P2-B2-01</x:v>
      </x:c>
      <x:c r="C724" s="30" t="str">
        <x:f>IF(B724="","",IF(COUNTIFS(Equipment[组合编号],B724)&lt;&gt;1,"组合编号无效",INDEX(Equipment[PLC组],MATCH(B724,Equipment[组合编号],0))))</x:f>
        <x:v>汇川中大型</x:v>
      </x:c>
      <x:c r="D724" s="30" t="str">
        <x:f>IF(B724="","",IF(COUNTIFS(Equipment[组合编号],B724)&lt;&gt;1,"组合编号无效",INDEX(Equipment[驱动品牌],MATCH(B724,Equipment[组合编号],0))))</x:f>
        <x:v>台达</x:v>
      </x:c>
      <x:c r="E724" s="20" t="str">
        <x:v>A09</x:v>
      </x:c>
      <x:c r="F724" s="20"/>
      <x:c r="G724" s="20"/>
      <x:c r="H724" s="20" t="str">
        <x:v>待判定</x:v>
      </x:c>
      <x:c r="I724" s="20"/>
      <x:c r="J724" s="20" t="str">
        <x:v>未测试</x:v>
      </x:c>
      <x:c r="K724" s="20"/>
      <x:c r="L724" s="20"/>
      <x:c r="M724" s="20"/>
      <x:c r="N724" s="20"/>
      <x:c r="O724" s="31"/>
      <x:c r="P724" s="20"/>
      <x:c r="Q724" s="20"/>
      <x:c r="R724" s="20" t="str">
        <x:v>待展开</x:v>
      </x:c>
      <x:c r="S724" s="20"/>
      <x:c r="T724" s="31"/>
      <x:c r="U724" s="30" t="str">
        <x:f>IF(A724="","缺记录编号",IF(COUNTIFS(PathRecords[记录编号],A724)&lt;&gt;1,"记录编号重复",IF(OR(B724="",E724=""),"缺组合/功能",IF(COUNTIFS(Equipment[组合编号],B724)&lt;&gt;1,"组合编号无效",IF(COUNTIFS(FunctionMatrix[编号],E724)=0,"功能编号无效",IF(H724="不适用",IF(J724="已实测","适用性冲突",IF(I724="","待补不适用依据","不适用（非实测）")),IF(J724="阻塞",IF(I724="","待补阻塞原因","阻塞（非实测）"),IF(J724&lt;&gt;"已实测",IF(F724="","待展开路径","未实测"),IF(H724&lt;&gt;"适用","待确认适用性",IF(INDEX(Equipment[登记状态（自动）],MATCH(B724,Equipment[组合编号],0))&lt;&gt;"已登记","待补设备组合",IF(AND(F724&lt;&gt;"",G724&lt;&gt;"",K724&lt;&gt;"",L724&lt;&gt;"",M724&lt;&gt;"",N724&lt;&gt;"",ISNUMBER(O724),O724&gt;0,P724&lt;&gt;""),"记录齐全","待补实测记录")))))))))))</x:f>
        <x:v>待展开路径</x:v>
      </x:c>
    </x:row>
    <x:row r="725" ht="43.5" customHeight="1">
      <x:c r="A725" s="20" t="str">
        <x:v>REC-00716</x:v>
      </x:c>
      <x:c r="B725" s="20" t="str">
        <x:v>P2-B2-01</x:v>
      </x:c>
      <x:c r="C725" s="30" t="str">
        <x:f>IF(B725="","",IF(COUNTIFS(Equipment[组合编号],B725)&lt;&gt;1,"组合编号无效",INDEX(Equipment[PLC组],MATCH(B725,Equipment[组合编号],0))))</x:f>
        <x:v>汇川中大型</x:v>
      </x:c>
      <x:c r="D725" s="30" t="str">
        <x:f>IF(B725="","",IF(COUNTIFS(Equipment[组合编号],B725)&lt;&gt;1,"组合编号无效",INDEX(Equipment[驱动品牌],MATCH(B725,Equipment[组合编号],0))))</x:f>
        <x:v>台达</x:v>
      </x:c>
      <x:c r="E725" s="20" t="str">
        <x:v>C01</x:v>
      </x:c>
      <x:c r="F725" s="20"/>
      <x:c r="G725" s="20"/>
      <x:c r="H725" s="20" t="str">
        <x:v>待判定</x:v>
      </x:c>
      <x:c r="I725" s="20"/>
      <x:c r="J725" s="20" t="str">
        <x:v>未测试</x:v>
      </x:c>
      <x:c r="K725" s="20"/>
      <x:c r="L725" s="20"/>
      <x:c r="M725" s="20"/>
      <x:c r="N725" s="20"/>
      <x:c r="O725" s="31"/>
      <x:c r="P725" s="20"/>
      <x:c r="Q725" s="20"/>
      <x:c r="R725" s="20" t="str">
        <x:v>待展开</x:v>
      </x:c>
      <x:c r="S725" s="20"/>
      <x:c r="T725" s="31"/>
      <x:c r="U725" s="30" t="str">
        <x:f>IF(A725="","缺记录编号",IF(COUNTIFS(PathRecords[记录编号],A725)&lt;&gt;1,"记录编号重复",IF(OR(B725="",E725=""),"缺组合/功能",IF(COUNTIFS(Equipment[组合编号],B725)&lt;&gt;1,"组合编号无效",IF(COUNTIFS(FunctionMatrix[编号],E725)=0,"功能编号无效",IF(H725="不适用",IF(J725="已实测","适用性冲突",IF(I725="","待补不适用依据","不适用（非实测）")),IF(J725="阻塞",IF(I725="","待补阻塞原因","阻塞（非实测）"),IF(J725&lt;&gt;"已实测",IF(F725="","待展开路径","未实测"),IF(H725&lt;&gt;"适用","待确认适用性",IF(INDEX(Equipment[登记状态（自动）],MATCH(B725,Equipment[组合编号],0))&lt;&gt;"已登记","待补设备组合",IF(AND(F725&lt;&gt;"",G725&lt;&gt;"",K725&lt;&gt;"",L725&lt;&gt;"",M725&lt;&gt;"",N725&lt;&gt;"",ISNUMBER(O725),O725&gt;0,P725&lt;&gt;""),"记录齐全","待补实测记录")))))))))))</x:f>
        <x:v>待展开路径</x:v>
      </x:c>
    </x:row>
    <x:row r="726" ht="43.5" customHeight="1">
      <x:c r="A726" s="20" t="str">
        <x:v>REC-00717</x:v>
      </x:c>
      <x:c r="B726" s="20" t="str">
        <x:v>P2-B2-01</x:v>
      </x:c>
      <x:c r="C726" s="30" t="str">
        <x:f>IF(B726="","",IF(COUNTIFS(Equipment[组合编号],B726)&lt;&gt;1,"组合编号无效",INDEX(Equipment[PLC组],MATCH(B726,Equipment[组合编号],0))))</x:f>
        <x:v>汇川中大型</x:v>
      </x:c>
      <x:c r="D726" s="30" t="str">
        <x:f>IF(B726="","",IF(COUNTIFS(Equipment[组合编号],B726)&lt;&gt;1,"组合编号无效",INDEX(Equipment[驱动品牌],MATCH(B726,Equipment[组合编号],0))))</x:f>
        <x:v>台达</x:v>
      </x:c>
      <x:c r="E726" s="20" t="str">
        <x:v>C02</x:v>
      </x:c>
      <x:c r="F726" s="20"/>
      <x:c r="G726" s="20"/>
      <x:c r="H726" s="20" t="str">
        <x:v>待判定</x:v>
      </x:c>
      <x:c r="I726" s="20"/>
      <x:c r="J726" s="20" t="str">
        <x:v>未测试</x:v>
      </x:c>
      <x:c r="K726" s="20"/>
      <x:c r="L726" s="20"/>
      <x:c r="M726" s="20"/>
      <x:c r="N726" s="20"/>
      <x:c r="O726" s="31"/>
      <x:c r="P726" s="20"/>
      <x:c r="Q726" s="20"/>
      <x:c r="R726" s="20" t="str">
        <x:v>待展开</x:v>
      </x:c>
      <x:c r="S726" s="20"/>
      <x:c r="T726" s="31"/>
      <x:c r="U726" s="30" t="str">
        <x:f>IF(A726="","缺记录编号",IF(COUNTIFS(PathRecords[记录编号],A726)&lt;&gt;1,"记录编号重复",IF(OR(B726="",E726=""),"缺组合/功能",IF(COUNTIFS(Equipment[组合编号],B726)&lt;&gt;1,"组合编号无效",IF(COUNTIFS(FunctionMatrix[编号],E726)=0,"功能编号无效",IF(H726="不适用",IF(J726="已实测","适用性冲突",IF(I726="","待补不适用依据","不适用（非实测）")),IF(J726="阻塞",IF(I726="","待补阻塞原因","阻塞（非实测）"),IF(J726&lt;&gt;"已实测",IF(F726="","待展开路径","未实测"),IF(H726&lt;&gt;"适用","待确认适用性",IF(INDEX(Equipment[登记状态（自动）],MATCH(B726,Equipment[组合编号],0))&lt;&gt;"已登记","待补设备组合",IF(AND(F726&lt;&gt;"",G726&lt;&gt;"",K726&lt;&gt;"",L726&lt;&gt;"",M726&lt;&gt;"",N726&lt;&gt;"",ISNUMBER(O726),O726&gt;0,P726&lt;&gt;""),"记录齐全","待补实测记录")))))))))))</x:f>
        <x:v>待展开路径</x:v>
      </x:c>
    </x:row>
    <x:row r="727" ht="43.5" customHeight="1">
      <x:c r="A727" s="20" t="str">
        <x:v>REC-00718</x:v>
      </x:c>
      <x:c r="B727" s="20" t="str">
        <x:v>P2-B2-01</x:v>
      </x:c>
      <x:c r="C727" s="30" t="str">
        <x:f>IF(B727="","",IF(COUNTIFS(Equipment[组合编号],B727)&lt;&gt;1,"组合编号无效",INDEX(Equipment[PLC组],MATCH(B727,Equipment[组合编号],0))))</x:f>
        <x:v>汇川中大型</x:v>
      </x:c>
      <x:c r="D727" s="30" t="str">
        <x:f>IF(B727="","",IF(COUNTIFS(Equipment[组合编号],B727)&lt;&gt;1,"组合编号无效",INDEX(Equipment[驱动品牌],MATCH(B727,Equipment[组合编号],0))))</x:f>
        <x:v>台达</x:v>
      </x:c>
      <x:c r="E727" s="20" t="str">
        <x:v>C03</x:v>
      </x:c>
      <x:c r="F727" s="20"/>
      <x:c r="G727" s="20"/>
      <x:c r="H727" s="20" t="str">
        <x:v>待判定</x:v>
      </x:c>
      <x:c r="I727" s="20"/>
      <x:c r="J727" s="20" t="str">
        <x:v>未测试</x:v>
      </x:c>
      <x:c r="K727" s="20"/>
      <x:c r="L727" s="20"/>
      <x:c r="M727" s="20"/>
      <x:c r="N727" s="20"/>
      <x:c r="O727" s="31"/>
      <x:c r="P727" s="20"/>
      <x:c r="Q727" s="20"/>
      <x:c r="R727" s="20" t="str">
        <x:v>待展开</x:v>
      </x:c>
      <x:c r="S727" s="20"/>
      <x:c r="T727" s="31"/>
      <x:c r="U727" s="30" t="str">
        <x:f>IF(A727="","缺记录编号",IF(COUNTIFS(PathRecords[记录编号],A727)&lt;&gt;1,"记录编号重复",IF(OR(B727="",E727=""),"缺组合/功能",IF(COUNTIFS(Equipment[组合编号],B727)&lt;&gt;1,"组合编号无效",IF(COUNTIFS(FunctionMatrix[编号],E727)=0,"功能编号无效",IF(H727="不适用",IF(J727="已实测","适用性冲突",IF(I727="","待补不适用依据","不适用（非实测）")),IF(J727="阻塞",IF(I727="","待补阻塞原因","阻塞（非实测）"),IF(J727&lt;&gt;"已实测",IF(F727="","待展开路径","未实测"),IF(H727&lt;&gt;"适用","待确认适用性",IF(INDEX(Equipment[登记状态（自动）],MATCH(B727,Equipment[组合编号],0))&lt;&gt;"已登记","待补设备组合",IF(AND(F727&lt;&gt;"",G727&lt;&gt;"",K727&lt;&gt;"",L727&lt;&gt;"",M727&lt;&gt;"",N727&lt;&gt;"",ISNUMBER(O727),O727&gt;0,P727&lt;&gt;""),"记录齐全","待补实测记录")))))))))))</x:f>
        <x:v>待展开路径</x:v>
      </x:c>
    </x:row>
    <x:row r="728" ht="43.5" customHeight="1">
      <x:c r="A728" s="20" t="str">
        <x:v>REC-00719</x:v>
      </x:c>
      <x:c r="B728" s="20" t="str">
        <x:v>P2-B2-01</x:v>
      </x:c>
      <x:c r="C728" s="30" t="str">
        <x:f>IF(B728="","",IF(COUNTIFS(Equipment[组合编号],B728)&lt;&gt;1,"组合编号无效",INDEX(Equipment[PLC组],MATCH(B728,Equipment[组合编号],0))))</x:f>
        <x:v>汇川中大型</x:v>
      </x:c>
      <x:c r="D728" s="30" t="str">
        <x:f>IF(B728="","",IF(COUNTIFS(Equipment[组合编号],B728)&lt;&gt;1,"组合编号无效",INDEX(Equipment[驱动品牌],MATCH(B728,Equipment[组合编号],0))))</x:f>
        <x:v>台达</x:v>
      </x:c>
      <x:c r="E728" s="20" t="str">
        <x:v>C04</x:v>
      </x:c>
      <x:c r="F728" s="20"/>
      <x:c r="G728" s="20"/>
      <x:c r="H728" s="20" t="str">
        <x:v>待判定</x:v>
      </x:c>
      <x:c r="I728" s="20"/>
      <x:c r="J728" s="20" t="str">
        <x:v>未测试</x:v>
      </x:c>
      <x:c r="K728" s="20"/>
      <x:c r="L728" s="20"/>
      <x:c r="M728" s="20"/>
      <x:c r="N728" s="20"/>
      <x:c r="O728" s="31"/>
      <x:c r="P728" s="20"/>
      <x:c r="Q728" s="20"/>
      <x:c r="R728" s="20" t="str">
        <x:v>待展开</x:v>
      </x:c>
      <x:c r="S728" s="20"/>
      <x:c r="T728" s="31"/>
      <x:c r="U728" s="30" t="str">
        <x:f>IF(A728="","缺记录编号",IF(COUNTIFS(PathRecords[记录编号],A728)&lt;&gt;1,"记录编号重复",IF(OR(B728="",E728=""),"缺组合/功能",IF(COUNTIFS(Equipment[组合编号],B728)&lt;&gt;1,"组合编号无效",IF(COUNTIFS(FunctionMatrix[编号],E728)=0,"功能编号无效",IF(H728="不适用",IF(J728="已实测","适用性冲突",IF(I728="","待补不适用依据","不适用（非实测）")),IF(J728="阻塞",IF(I728="","待补阻塞原因","阻塞（非实测）"),IF(J728&lt;&gt;"已实测",IF(F728="","待展开路径","未实测"),IF(H728&lt;&gt;"适用","待确认适用性",IF(INDEX(Equipment[登记状态（自动）],MATCH(B728,Equipment[组合编号],0))&lt;&gt;"已登记","待补设备组合",IF(AND(F728&lt;&gt;"",G728&lt;&gt;"",K728&lt;&gt;"",L728&lt;&gt;"",M728&lt;&gt;"",N728&lt;&gt;"",ISNUMBER(O728),O728&gt;0,P728&lt;&gt;""),"记录齐全","待补实测记录")))))))))))</x:f>
        <x:v>待展开路径</x:v>
      </x:c>
    </x:row>
    <x:row r="729" ht="43.5" customHeight="1">
      <x:c r="A729" s="20" t="str">
        <x:v>REC-00720</x:v>
      </x:c>
      <x:c r="B729" s="20" t="str">
        <x:v>P2-B2-01</x:v>
      </x:c>
      <x:c r="C729" s="30" t="str">
        <x:f>IF(B729="","",IF(COUNTIFS(Equipment[组合编号],B729)&lt;&gt;1,"组合编号无效",INDEX(Equipment[PLC组],MATCH(B729,Equipment[组合编号],0))))</x:f>
        <x:v>汇川中大型</x:v>
      </x:c>
      <x:c r="D729" s="30" t="str">
        <x:f>IF(B729="","",IF(COUNTIFS(Equipment[组合编号],B729)&lt;&gt;1,"组合编号无效",INDEX(Equipment[驱动品牌],MATCH(B729,Equipment[组合编号],0))))</x:f>
        <x:v>台达</x:v>
      </x:c>
      <x:c r="E729" s="20" t="str">
        <x:v>C05</x:v>
      </x:c>
      <x:c r="F729" s="20"/>
      <x:c r="G729" s="20"/>
      <x:c r="H729" s="20" t="str">
        <x:v>待判定</x:v>
      </x:c>
      <x:c r="I729" s="20"/>
      <x:c r="J729" s="20" t="str">
        <x:v>未测试</x:v>
      </x:c>
      <x:c r="K729" s="20"/>
      <x:c r="L729" s="20"/>
      <x:c r="M729" s="20"/>
      <x:c r="N729" s="20"/>
      <x:c r="O729" s="31"/>
      <x:c r="P729" s="20"/>
      <x:c r="Q729" s="20"/>
      <x:c r="R729" s="20" t="str">
        <x:v>待展开</x:v>
      </x:c>
      <x:c r="S729" s="20"/>
      <x:c r="T729" s="31"/>
      <x:c r="U729" s="30" t="str">
        <x:f>IF(A729="","缺记录编号",IF(COUNTIFS(PathRecords[记录编号],A729)&lt;&gt;1,"记录编号重复",IF(OR(B729="",E729=""),"缺组合/功能",IF(COUNTIFS(Equipment[组合编号],B729)&lt;&gt;1,"组合编号无效",IF(COUNTIFS(FunctionMatrix[编号],E729)=0,"功能编号无效",IF(H729="不适用",IF(J729="已实测","适用性冲突",IF(I729="","待补不适用依据","不适用（非实测）")),IF(J729="阻塞",IF(I729="","待补阻塞原因","阻塞（非实测）"),IF(J729&lt;&gt;"已实测",IF(F729="","待展开路径","未实测"),IF(H729&lt;&gt;"适用","待确认适用性",IF(INDEX(Equipment[登记状态（自动）],MATCH(B729,Equipment[组合编号],0))&lt;&gt;"已登记","待补设备组合",IF(AND(F729&lt;&gt;"",G729&lt;&gt;"",K729&lt;&gt;"",L729&lt;&gt;"",M729&lt;&gt;"",N729&lt;&gt;"",ISNUMBER(O729),O729&gt;0,P729&lt;&gt;""),"记录齐全","待补实测记录")))))))))))</x:f>
        <x:v>待展开路径</x:v>
      </x:c>
    </x:row>
    <x:row r="730" ht="43.5" customHeight="1">
      <x:c r="A730" s="20" t="str">
        <x:v>REC-00721</x:v>
      </x:c>
      <x:c r="B730" s="20" t="str">
        <x:v>P2-B2-01</x:v>
      </x:c>
      <x:c r="C730" s="30" t="str">
        <x:f>IF(B730="","",IF(COUNTIFS(Equipment[组合编号],B730)&lt;&gt;1,"组合编号无效",INDEX(Equipment[PLC组],MATCH(B730,Equipment[组合编号],0))))</x:f>
        <x:v>汇川中大型</x:v>
      </x:c>
      <x:c r="D730" s="30" t="str">
        <x:f>IF(B730="","",IF(COUNTIFS(Equipment[组合编号],B730)&lt;&gt;1,"组合编号无效",INDEX(Equipment[驱动品牌],MATCH(B730,Equipment[组合编号],0))))</x:f>
        <x:v>台达</x:v>
      </x:c>
      <x:c r="E730" s="20" t="str">
        <x:v>C06</x:v>
      </x:c>
      <x:c r="F730" s="20"/>
      <x:c r="G730" s="20"/>
      <x:c r="H730" s="20" t="str">
        <x:v>待判定</x:v>
      </x:c>
      <x:c r="I730" s="20"/>
      <x:c r="J730" s="20" t="str">
        <x:v>未测试</x:v>
      </x:c>
      <x:c r="K730" s="20"/>
      <x:c r="L730" s="20"/>
      <x:c r="M730" s="20"/>
      <x:c r="N730" s="20"/>
      <x:c r="O730" s="31"/>
      <x:c r="P730" s="20"/>
      <x:c r="Q730" s="20"/>
      <x:c r="R730" s="20" t="str">
        <x:v>待展开</x:v>
      </x:c>
      <x:c r="S730" s="20"/>
      <x:c r="T730" s="31"/>
      <x:c r="U730" s="30" t="str">
        <x:f>IF(A730="","缺记录编号",IF(COUNTIFS(PathRecords[记录编号],A730)&lt;&gt;1,"记录编号重复",IF(OR(B730="",E730=""),"缺组合/功能",IF(COUNTIFS(Equipment[组合编号],B730)&lt;&gt;1,"组合编号无效",IF(COUNTIFS(FunctionMatrix[编号],E730)=0,"功能编号无效",IF(H730="不适用",IF(J730="已实测","适用性冲突",IF(I730="","待补不适用依据","不适用（非实测）")),IF(J730="阻塞",IF(I730="","待补阻塞原因","阻塞（非实测）"),IF(J730&lt;&gt;"已实测",IF(F730="","待展开路径","未实测"),IF(H730&lt;&gt;"适用","待确认适用性",IF(INDEX(Equipment[登记状态（自动）],MATCH(B730,Equipment[组合编号],0))&lt;&gt;"已登记","待补设备组合",IF(AND(F730&lt;&gt;"",G730&lt;&gt;"",K730&lt;&gt;"",L730&lt;&gt;"",M730&lt;&gt;"",N730&lt;&gt;"",ISNUMBER(O730),O730&gt;0,P730&lt;&gt;""),"记录齐全","待补实测记录")))))))))))</x:f>
        <x:v>待展开路径</x:v>
      </x:c>
    </x:row>
    <x:row r="731" ht="43.5" customHeight="1">
      <x:c r="A731" s="20" t="str">
        <x:v>REC-00722</x:v>
      </x:c>
      <x:c r="B731" s="20" t="str">
        <x:v>P2-B2-01</x:v>
      </x:c>
      <x:c r="C731" s="30" t="str">
        <x:f>IF(B731="","",IF(COUNTIFS(Equipment[组合编号],B731)&lt;&gt;1,"组合编号无效",INDEX(Equipment[PLC组],MATCH(B731,Equipment[组合编号],0))))</x:f>
        <x:v>汇川中大型</x:v>
      </x:c>
      <x:c r="D731" s="30" t="str">
        <x:f>IF(B731="","",IF(COUNTIFS(Equipment[组合编号],B731)&lt;&gt;1,"组合编号无效",INDEX(Equipment[驱动品牌],MATCH(B731,Equipment[组合编号],0))))</x:f>
        <x:v>台达</x:v>
      </x:c>
      <x:c r="E731" s="20" t="str">
        <x:v>C07</x:v>
      </x:c>
      <x:c r="F731" s="20"/>
      <x:c r="G731" s="20"/>
      <x:c r="H731" s="20" t="str">
        <x:v>待判定</x:v>
      </x:c>
      <x:c r="I731" s="20"/>
      <x:c r="J731" s="20" t="str">
        <x:v>未测试</x:v>
      </x:c>
      <x:c r="K731" s="20"/>
      <x:c r="L731" s="20"/>
      <x:c r="M731" s="20"/>
      <x:c r="N731" s="20"/>
      <x:c r="O731" s="31"/>
      <x:c r="P731" s="20"/>
      <x:c r="Q731" s="20"/>
      <x:c r="R731" s="20" t="str">
        <x:v>待展开</x:v>
      </x:c>
      <x:c r="S731" s="20"/>
      <x:c r="T731" s="31"/>
      <x:c r="U731" s="30" t="str">
        <x:f>IF(A731="","缺记录编号",IF(COUNTIFS(PathRecords[记录编号],A731)&lt;&gt;1,"记录编号重复",IF(OR(B731="",E731=""),"缺组合/功能",IF(COUNTIFS(Equipment[组合编号],B731)&lt;&gt;1,"组合编号无效",IF(COUNTIFS(FunctionMatrix[编号],E731)=0,"功能编号无效",IF(H731="不适用",IF(J731="已实测","适用性冲突",IF(I731="","待补不适用依据","不适用（非实测）")),IF(J731="阻塞",IF(I731="","待补阻塞原因","阻塞（非实测）"),IF(J731&lt;&gt;"已实测",IF(F731="","待展开路径","未实测"),IF(H731&lt;&gt;"适用","待确认适用性",IF(INDEX(Equipment[登记状态（自动）],MATCH(B731,Equipment[组合编号],0))&lt;&gt;"已登记","待补设备组合",IF(AND(F731&lt;&gt;"",G731&lt;&gt;"",K731&lt;&gt;"",L731&lt;&gt;"",M731&lt;&gt;"",N731&lt;&gt;"",ISNUMBER(O731),O731&gt;0,P731&lt;&gt;""),"记录齐全","待补实测记录")))))))))))</x:f>
        <x:v>待展开路径</x:v>
      </x:c>
    </x:row>
    <x:row r="732" ht="43.5" customHeight="1">
      <x:c r="A732" s="20" t="str">
        <x:v>REC-00723</x:v>
      </x:c>
      <x:c r="B732" s="20" t="str">
        <x:v>P2-B2-01</x:v>
      </x:c>
      <x:c r="C732" s="30" t="str">
        <x:f>IF(B732="","",IF(COUNTIFS(Equipment[组合编号],B732)&lt;&gt;1,"组合编号无效",INDEX(Equipment[PLC组],MATCH(B732,Equipment[组合编号],0))))</x:f>
        <x:v>汇川中大型</x:v>
      </x:c>
      <x:c r="D732" s="30" t="str">
        <x:f>IF(B732="","",IF(COUNTIFS(Equipment[组合编号],B732)&lt;&gt;1,"组合编号无效",INDEX(Equipment[驱动品牌],MATCH(B732,Equipment[组合编号],0))))</x:f>
        <x:v>台达</x:v>
      </x:c>
      <x:c r="E732" s="20" t="str">
        <x:v>C08</x:v>
      </x:c>
      <x:c r="F732" s="20"/>
      <x:c r="G732" s="20"/>
      <x:c r="H732" s="20" t="str">
        <x:v>待判定</x:v>
      </x:c>
      <x:c r="I732" s="20"/>
      <x:c r="J732" s="20" t="str">
        <x:v>未测试</x:v>
      </x:c>
      <x:c r="K732" s="20"/>
      <x:c r="L732" s="20"/>
      <x:c r="M732" s="20"/>
      <x:c r="N732" s="20"/>
      <x:c r="O732" s="31"/>
      <x:c r="P732" s="20"/>
      <x:c r="Q732" s="20"/>
      <x:c r="R732" s="20" t="str">
        <x:v>待展开</x:v>
      </x:c>
      <x:c r="S732" s="20"/>
      <x:c r="T732" s="31"/>
      <x:c r="U732" s="30" t="str">
        <x:f>IF(A732="","缺记录编号",IF(COUNTIFS(PathRecords[记录编号],A732)&lt;&gt;1,"记录编号重复",IF(OR(B732="",E732=""),"缺组合/功能",IF(COUNTIFS(Equipment[组合编号],B732)&lt;&gt;1,"组合编号无效",IF(COUNTIFS(FunctionMatrix[编号],E732)=0,"功能编号无效",IF(H732="不适用",IF(J732="已实测","适用性冲突",IF(I732="","待补不适用依据","不适用（非实测）")),IF(J732="阻塞",IF(I732="","待补阻塞原因","阻塞（非实测）"),IF(J732&lt;&gt;"已实测",IF(F732="","待展开路径","未实测"),IF(H732&lt;&gt;"适用","待确认适用性",IF(INDEX(Equipment[登记状态（自动）],MATCH(B732,Equipment[组合编号],0))&lt;&gt;"已登记","待补设备组合",IF(AND(F732&lt;&gt;"",G732&lt;&gt;"",K732&lt;&gt;"",L732&lt;&gt;"",M732&lt;&gt;"",N732&lt;&gt;"",ISNUMBER(O732),O732&gt;0,P732&lt;&gt;""),"记录齐全","待补实测记录")))))))))))</x:f>
        <x:v>待展开路径</x:v>
      </x:c>
    </x:row>
    <x:row r="733" ht="43.5" customHeight="1">
      <x:c r="A733" s="20" t="str">
        <x:v>REC-00724</x:v>
      </x:c>
      <x:c r="B733" s="20" t="str">
        <x:v>P2-B2-01</x:v>
      </x:c>
      <x:c r="C733" s="30" t="str">
        <x:f>IF(B733="","",IF(COUNTIFS(Equipment[组合编号],B733)&lt;&gt;1,"组合编号无效",INDEX(Equipment[PLC组],MATCH(B733,Equipment[组合编号],0))))</x:f>
        <x:v>汇川中大型</x:v>
      </x:c>
      <x:c r="D733" s="30" t="str">
        <x:f>IF(B733="","",IF(COUNTIFS(Equipment[组合编号],B733)&lt;&gt;1,"组合编号无效",INDEX(Equipment[驱动品牌],MATCH(B733,Equipment[组合编号],0))))</x:f>
        <x:v>台达</x:v>
      </x:c>
      <x:c r="E733" s="20" t="str">
        <x:v>C09</x:v>
      </x:c>
      <x:c r="F733" s="20"/>
      <x:c r="G733" s="20"/>
      <x:c r="H733" s="20" t="str">
        <x:v>待判定</x:v>
      </x:c>
      <x:c r="I733" s="20"/>
      <x:c r="J733" s="20" t="str">
        <x:v>未测试</x:v>
      </x:c>
      <x:c r="K733" s="20"/>
      <x:c r="L733" s="20"/>
      <x:c r="M733" s="20"/>
      <x:c r="N733" s="20"/>
      <x:c r="O733" s="31"/>
      <x:c r="P733" s="20"/>
      <x:c r="Q733" s="20"/>
      <x:c r="R733" s="20" t="str">
        <x:v>待展开</x:v>
      </x:c>
      <x:c r="S733" s="20"/>
      <x:c r="T733" s="31"/>
      <x:c r="U733" s="30" t="str">
        <x:f>IF(A733="","缺记录编号",IF(COUNTIFS(PathRecords[记录编号],A733)&lt;&gt;1,"记录编号重复",IF(OR(B733="",E733=""),"缺组合/功能",IF(COUNTIFS(Equipment[组合编号],B733)&lt;&gt;1,"组合编号无效",IF(COUNTIFS(FunctionMatrix[编号],E733)=0,"功能编号无效",IF(H733="不适用",IF(J733="已实测","适用性冲突",IF(I733="","待补不适用依据","不适用（非实测）")),IF(J733="阻塞",IF(I733="","待补阻塞原因","阻塞（非实测）"),IF(J733&lt;&gt;"已实测",IF(F733="","待展开路径","未实测"),IF(H733&lt;&gt;"适用","待确认适用性",IF(INDEX(Equipment[登记状态（自动）],MATCH(B733,Equipment[组合编号],0))&lt;&gt;"已登记","待补设备组合",IF(AND(F733&lt;&gt;"",G733&lt;&gt;"",K733&lt;&gt;"",L733&lt;&gt;"",M733&lt;&gt;"",N733&lt;&gt;"",ISNUMBER(O733),O733&gt;0,P733&lt;&gt;""),"记录齐全","待补实测记录")))))))))))</x:f>
        <x:v>待展开路径</x:v>
      </x:c>
    </x:row>
    <x:row r="734" ht="43.5" customHeight="1">
      <x:c r="A734" s="20" t="str">
        <x:v>REC-00725</x:v>
      </x:c>
      <x:c r="B734" s="20" t="str">
        <x:v>P2-B2-01</x:v>
      </x:c>
      <x:c r="C734" s="30" t="str">
        <x:f>IF(B734="","",IF(COUNTIFS(Equipment[组合编号],B734)&lt;&gt;1,"组合编号无效",INDEX(Equipment[PLC组],MATCH(B734,Equipment[组合编号],0))))</x:f>
        <x:v>汇川中大型</x:v>
      </x:c>
      <x:c r="D734" s="30" t="str">
        <x:f>IF(B734="","",IF(COUNTIFS(Equipment[组合编号],B734)&lt;&gt;1,"组合编号无效",INDEX(Equipment[驱动品牌],MATCH(B734,Equipment[组合编号],0))))</x:f>
        <x:v>台达</x:v>
      </x:c>
      <x:c r="E734" s="20" t="str">
        <x:v>C10</x:v>
      </x:c>
      <x:c r="F734" s="20"/>
      <x:c r="G734" s="20"/>
      <x:c r="H734" s="20" t="str">
        <x:v>待判定</x:v>
      </x:c>
      <x:c r="I734" s="20"/>
      <x:c r="J734" s="20" t="str">
        <x:v>未测试</x:v>
      </x:c>
      <x:c r="K734" s="20"/>
      <x:c r="L734" s="20"/>
      <x:c r="M734" s="20"/>
      <x:c r="N734" s="20"/>
      <x:c r="O734" s="31"/>
      <x:c r="P734" s="20"/>
      <x:c r="Q734" s="20"/>
      <x:c r="R734" s="20" t="str">
        <x:v>待展开</x:v>
      </x:c>
      <x:c r="S734" s="20"/>
      <x:c r="T734" s="31"/>
      <x:c r="U734" s="30" t="str">
        <x:f>IF(A734="","缺记录编号",IF(COUNTIFS(PathRecords[记录编号],A734)&lt;&gt;1,"记录编号重复",IF(OR(B734="",E734=""),"缺组合/功能",IF(COUNTIFS(Equipment[组合编号],B734)&lt;&gt;1,"组合编号无效",IF(COUNTIFS(FunctionMatrix[编号],E734)=0,"功能编号无效",IF(H734="不适用",IF(J734="已实测","适用性冲突",IF(I734="","待补不适用依据","不适用（非实测）")),IF(J734="阻塞",IF(I734="","待补阻塞原因","阻塞（非实测）"),IF(J734&lt;&gt;"已实测",IF(F734="","待展开路径","未实测"),IF(H734&lt;&gt;"适用","待确认适用性",IF(INDEX(Equipment[登记状态（自动）],MATCH(B734,Equipment[组合编号],0))&lt;&gt;"已登记","待补设备组合",IF(AND(F734&lt;&gt;"",G734&lt;&gt;"",K734&lt;&gt;"",L734&lt;&gt;"",M734&lt;&gt;"",N734&lt;&gt;"",ISNUMBER(O734),O734&gt;0,P734&lt;&gt;""),"记录齐全","待补实测记录")))))))))))</x:f>
        <x:v>待展开路径</x:v>
      </x:c>
    </x:row>
    <x:row r="735" ht="43.5" customHeight="1">
      <x:c r="A735" s="20" t="str">
        <x:v>REC-00726</x:v>
      </x:c>
      <x:c r="B735" s="20" t="str">
        <x:v>P2-B2-01</x:v>
      </x:c>
      <x:c r="C735" s="30" t="str">
        <x:f>IF(B735="","",IF(COUNTIFS(Equipment[组合编号],B735)&lt;&gt;1,"组合编号无效",INDEX(Equipment[PLC组],MATCH(B735,Equipment[组合编号],0))))</x:f>
        <x:v>汇川中大型</x:v>
      </x:c>
      <x:c r="D735" s="30" t="str">
        <x:f>IF(B735="","",IF(COUNTIFS(Equipment[组合编号],B735)&lt;&gt;1,"组合编号无效",INDEX(Equipment[驱动品牌],MATCH(B735,Equipment[组合编号],0))))</x:f>
        <x:v>台达</x:v>
      </x:c>
      <x:c r="E735" s="20" t="str">
        <x:v>T01</x:v>
      </x:c>
      <x:c r="F735" s="20"/>
      <x:c r="G735" s="20"/>
      <x:c r="H735" s="20" t="str">
        <x:v>待判定</x:v>
      </x:c>
      <x:c r="I735" s="20"/>
      <x:c r="J735" s="20" t="str">
        <x:v>未测试</x:v>
      </x:c>
      <x:c r="K735" s="20"/>
      <x:c r="L735" s="20"/>
      <x:c r="M735" s="20"/>
      <x:c r="N735" s="20"/>
      <x:c r="O735" s="31"/>
      <x:c r="P735" s="20"/>
      <x:c r="Q735" s="20"/>
      <x:c r="R735" s="20" t="str">
        <x:v>待展开</x:v>
      </x:c>
      <x:c r="S735" s="20"/>
      <x:c r="T735" s="31"/>
      <x:c r="U735" s="30" t="str">
        <x:f>IF(A735="","缺记录编号",IF(COUNTIFS(PathRecords[记录编号],A735)&lt;&gt;1,"记录编号重复",IF(OR(B735="",E735=""),"缺组合/功能",IF(COUNTIFS(Equipment[组合编号],B735)&lt;&gt;1,"组合编号无效",IF(COUNTIFS(FunctionMatrix[编号],E735)=0,"功能编号无效",IF(H735="不适用",IF(J735="已实测","适用性冲突",IF(I735="","待补不适用依据","不适用（非实测）")),IF(J735="阻塞",IF(I735="","待补阻塞原因","阻塞（非实测）"),IF(J735&lt;&gt;"已实测",IF(F735="","待展开路径","未实测"),IF(H735&lt;&gt;"适用","待确认适用性",IF(INDEX(Equipment[登记状态（自动）],MATCH(B735,Equipment[组合编号],0))&lt;&gt;"已登记","待补设备组合",IF(AND(F735&lt;&gt;"",G735&lt;&gt;"",K735&lt;&gt;"",L735&lt;&gt;"",M735&lt;&gt;"",N735&lt;&gt;"",ISNUMBER(O735),O735&gt;0,P735&lt;&gt;""),"记录齐全","待补实测记录")))))))))))</x:f>
        <x:v>待展开路径</x:v>
      </x:c>
    </x:row>
    <x:row r="736" ht="43.5" customHeight="1">
      <x:c r="A736" s="20" t="str">
        <x:v>REC-00727</x:v>
      </x:c>
      <x:c r="B736" s="20" t="str">
        <x:v>P2-B2-01</x:v>
      </x:c>
      <x:c r="C736" s="30" t="str">
        <x:f>IF(B736="","",IF(COUNTIFS(Equipment[组合编号],B736)&lt;&gt;1,"组合编号无效",INDEX(Equipment[PLC组],MATCH(B736,Equipment[组合编号],0))))</x:f>
        <x:v>汇川中大型</x:v>
      </x:c>
      <x:c r="D736" s="30" t="str">
        <x:f>IF(B736="","",IF(COUNTIFS(Equipment[组合编号],B736)&lt;&gt;1,"组合编号无效",INDEX(Equipment[驱动品牌],MATCH(B736,Equipment[组合编号],0))))</x:f>
        <x:v>台达</x:v>
      </x:c>
      <x:c r="E736" s="20" t="str">
        <x:v>T02</x:v>
      </x:c>
      <x:c r="F736" s="20"/>
      <x:c r="G736" s="20"/>
      <x:c r="H736" s="20" t="str">
        <x:v>待判定</x:v>
      </x:c>
      <x:c r="I736" s="20"/>
      <x:c r="J736" s="20" t="str">
        <x:v>未测试</x:v>
      </x:c>
      <x:c r="K736" s="20"/>
      <x:c r="L736" s="20"/>
      <x:c r="M736" s="20"/>
      <x:c r="N736" s="20"/>
      <x:c r="O736" s="31"/>
      <x:c r="P736" s="20"/>
      <x:c r="Q736" s="20"/>
      <x:c r="R736" s="20" t="str">
        <x:v>待展开</x:v>
      </x:c>
      <x:c r="S736" s="20"/>
      <x:c r="T736" s="31"/>
      <x:c r="U736" s="30" t="str">
        <x:f>IF(A736="","缺记录编号",IF(COUNTIFS(PathRecords[记录编号],A736)&lt;&gt;1,"记录编号重复",IF(OR(B736="",E736=""),"缺组合/功能",IF(COUNTIFS(Equipment[组合编号],B736)&lt;&gt;1,"组合编号无效",IF(COUNTIFS(FunctionMatrix[编号],E736)=0,"功能编号无效",IF(H736="不适用",IF(J736="已实测","适用性冲突",IF(I736="","待补不适用依据","不适用（非实测）")),IF(J736="阻塞",IF(I736="","待补阻塞原因","阻塞（非实测）"),IF(J736&lt;&gt;"已实测",IF(F736="","待展开路径","未实测"),IF(H736&lt;&gt;"适用","待确认适用性",IF(INDEX(Equipment[登记状态（自动）],MATCH(B736,Equipment[组合编号],0))&lt;&gt;"已登记","待补设备组合",IF(AND(F736&lt;&gt;"",G736&lt;&gt;"",K736&lt;&gt;"",L736&lt;&gt;"",M736&lt;&gt;"",N736&lt;&gt;"",ISNUMBER(O736),O736&gt;0,P736&lt;&gt;""),"记录齐全","待补实测记录")))))))))))</x:f>
        <x:v>待展开路径</x:v>
      </x:c>
    </x:row>
    <x:row r="737" ht="43.5" customHeight="1">
      <x:c r="A737" s="20" t="str">
        <x:v>REC-00728</x:v>
      </x:c>
      <x:c r="B737" s="20" t="str">
        <x:v>P2-B2-01</x:v>
      </x:c>
      <x:c r="C737" s="30" t="str">
        <x:f>IF(B737="","",IF(COUNTIFS(Equipment[组合编号],B737)&lt;&gt;1,"组合编号无效",INDEX(Equipment[PLC组],MATCH(B737,Equipment[组合编号],0))))</x:f>
        <x:v>汇川中大型</x:v>
      </x:c>
      <x:c r="D737" s="30" t="str">
        <x:f>IF(B737="","",IF(COUNTIFS(Equipment[组合编号],B737)&lt;&gt;1,"组合编号无效",INDEX(Equipment[驱动品牌],MATCH(B737,Equipment[组合编号],0))))</x:f>
        <x:v>台达</x:v>
      </x:c>
      <x:c r="E737" s="20" t="str">
        <x:v>T03</x:v>
      </x:c>
      <x:c r="F737" s="20"/>
      <x:c r="G737" s="20"/>
      <x:c r="H737" s="20" t="str">
        <x:v>待判定</x:v>
      </x:c>
      <x:c r="I737" s="20"/>
      <x:c r="J737" s="20" t="str">
        <x:v>未测试</x:v>
      </x:c>
      <x:c r="K737" s="20"/>
      <x:c r="L737" s="20"/>
      <x:c r="M737" s="20"/>
      <x:c r="N737" s="20"/>
      <x:c r="O737" s="31"/>
      <x:c r="P737" s="20"/>
      <x:c r="Q737" s="20"/>
      <x:c r="R737" s="20" t="str">
        <x:v>待展开</x:v>
      </x:c>
      <x:c r="S737" s="20"/>
      <x:c r="T737" s="31"/>
      <x:c r="U737" s="30" t="str">
        <x:f>IF(A737="","缺记录编号",IF(COUNTIFS(PathRecords[记录编号],A737)&lt;&gt;1,"记录编号重复",IF(OR(B737="",E737=""),"缺组合/功能",IF(COUNTIFS(Equipment[组合编号],B737)&lt;&gt;1,"组合编号无效",IF(COUNTIFS(FunctionMatrix[编号],E737)=0,"功能编号无效",IF(H737="不适用",IF(J737="已实测","适用性冲突",IF(I737="","待补不适用依据","不适用（非实测）")),IF(J737="阻塞",IF(I737="","待补阻塞原因","阻塞（非实测）"),IF(J737&lt;&gt;"已实测",IF(F737="","待展开路径","未实测"),IF(H737&lt;&gt;"适用","待确认适用性",IF(INDEX(Equipment[登记状态（自动）],MATCH(B737,Equipment[组合编号],0))&lt;&gt;"已登记","待补设备组合",IF(AND(F737&lt;&gt;"",G737&lt;&gt;"",K737&lt;&gt;"",L737&lt;&gt;"",M737&lt;&gt;"",N737&lt;&gt;"",ISNUMBER(O737),O737&gt;0,P737&lt;&gt;""),"记录齐全","待补实测记录")))))))))))</x:f>
        <x:v>待展开路径</x:v>
      </x:c>
    </x:row>
    <x:row r="738" ht="43.5" customHeight="1">
      <x:c r="A738" s="20" t="str">
        <x:v>REC-00729</x:v>
      </x:c>
      <x:c r="B738" s="20" t="str">
        <x:v>P2-B2-01</x:v>
      </x:c>
      <x:c r="C738" s="30" t="str">
        <x:f>IF(B738="","",IF(COUNTIFS(Equipment[组合编号],B738)&lt;&gt;1,"组合编号无效",INDEX(Equipment[PLC组],MATCH(B738,Equipment[组合编号],0))))</x:f>
        <x:v>汇川中大型</x:v>
      </x:c>
      <x:c r="D738" s="30" t="str">
        <x:f>IF(B738="","",IF(COUNTIFS(Equipment[组合编号],B738)&lt;&gt;1,"组合编号无效",INDEX(Equipment[驱动品牌],MATCH(B738,Equipment[组合编号],0))))</x:f>
        <x:v>台达</x:v>
      </x:c>
      <x:c r="E738" s="20" t="str">
        <x:v>T04</x:v>
      </x:c>
      <x:c r="F738" s="20"/>
      <x:c r="G738" s="20"/>
      <x:c r="H738" s="20" t="str">
        <x:v>待判定</x:v>
      </x:c>
      <x:c r="I738" s="20"/>
      <x:c r="J738" s="20" t="str">
        <x:v>未测试</x:v>
      </x:c>
      <x:c r="K738" s="20"/>
      <x:c r="L738" s="20"/>
      <x:c r="M738" s="20"/>
      <x:c r="N738" s="20"/>
      <x:c r="O738" s="31"/>
      <x:c r="P738" s="20"/>
      <x:c r="Q738" s="20"/>
      <x:c r="R738" s="20" t="str">
        <x:v>待展开</x:v>
      </x:c>
      <x:c r="S738" s="20"/>
      <x:c r="T738" s="31"/>
      <x:c r="U738" s="30" t="str">
        <x:f>IF(A738="","缺记录编号",IF(COUNTIFS(PathRecords[记录编号],A738)&lt;&gt;1,"记录编号重复",IF(OR(B738="",E738=""),"缺组合/功能",IF(COUNTIFS(Equipment[组合编号],B738)&lt;&gt;1,"组合编号无效",IF(COUNTIFS(FunctionMatrix[编号],E738)=0,"功能编号无效",IF(H738="不适用",IF(J738="已实测","适用性冲突",IF(I738="","待补不适用依据","不适用（非实测）")),IF(J738="阻塞",IF(I738="","待补阻塞原因","阻塞（非实测）"),IF(J738&lt;&gt;"已实测",IF(F738="","待展开路径","未实测"),IF(H738&lt;&gt;"适用","待确认适用性",IF(INDEX(Equipment[登记状态（自动）],MATCH(B738,Equipment[组合编号],0))&lt;&gt;"已登记","待补设备组合",IF(AND(F738&lt;&gt;"",G738&lt;&gt;"",K738&lt;&gt;"",L738&lt;&gt;"",M738&lt;&gt;"",N738&lt;&gt;"",ISNUMBER(O738),O738&gt;0,P738&lt;&gt;""),"记录齐全","待补实测记录")))))))))))</x:f>
        <x:v>待展开路径</x:v>
      </x:c>
    </x:row>
    <x:row r="739" ht="43.5" customHeight="1">
      <x:c r="A739" s="20" t="str">
        <x:v>REC-00730</x:v>
      </x:c>
      <x:c r="B739" s="20" t="str">
        <x:v>P2-B2-01</x:v>
      </x:c>
      <x:c r="C739" s="30" t="str">
        <x:f>IF(B739="","",IF(COUNTIFS(Equipment[组合编号],B739)&lt;&gt;1,"组合编号无效",INDEX(Equipment[PLC组],MATCH(B739,Equipment[组合编号],0))))</x:f>
        <x:v>汇川中大型</x:v>
      </x:c>
      <x:c r="D739" s="30" t="str">
        <x:f>IF(B739="","",IF(COUNTIFS(Equipment[组合编号],B739)&lt;&gt;1,"组合编号无效",INDEX(Equipment[驱动品牌],MATCH(B739,Equipment[组合编号],0))))</x:f>
        <x:v>台达</x:v>
      </x:c>
      <x:c r="E739" s="20" t="str">
        <x:v>T05</x:v>
      </x:c>
      <x:c r="F739" s="20"/>
      <x:c r="G739" s="20"/>
      <x:c r="H739" s="20" t="str">
        <x:v>待判定</x:v>
      </x:c>
      <x:c r="I739" s="20"/>
      <x:c r="J739" s="20" t="str">
        <x:v>未测试</x:v>
      </x:c>
      <x:c r="K739" s="20"/>
      <x:c r="L739" s="20"/>
      <x:c r="M739" s="20"/>
      <x:c r="N739" s="20"/>
      <x:c r="O739" s="31"/>
      <x:c r="P739" s="20"/>
      <x:c r="Q739" s="20"/>
      <x:c r="R739" s="20" t="str">
        <x:v>待展开</x:v>
      </x:c>
      <x:c r="S739" s="20"/>
      <x:c r="T739" s="31"/>
      <x:c r="U739" s="30" t="str">
        <x:f>IF(A739="","缺记录编号",IF(COUNTIFS(PathRecords[记录编号],A739)&lt;&gt;1,"记录编号重复",IF(OR(B739="",E739=""),"缺组合/功能",IF(COUNTIFS(Equipment[组合编号],B739)&lt;&gt;1,"组合编号无效",IF(COUNTIFS(FunctionMatrix[编号],E739)=0,"功能编号无效",IF(H739="不适用",IF(J739="已实测","适用性冲突",IF(I739="","待补不适用依据","不适用（非实测）")),IF(J739="阻塞",IF(I739="","待补阻塞原因","阻塞（非实测）"),IF(J739&lt;&gt;"已实测",IF(F739="","待展开路径","未实测"),IF(H739&lt;&gt;"适用","待确认适用性",IF(INDEX(Equipment[登记状态（自动）],MATCH(B739,Equipment[组合编号],0))&lt;&gt;"已登记","待补设备组合",IF(AND(F739&lt;&gt;"",G739&lt;&gt;"",K739&lt;&gt;"",L739&lt;&gt;"",M739&lt;&gt;"",N739&lt;&gt;"",ISNUMBER(O739),O739&gt;0,P739&lt;&gt;""),"记录齐全","待补实测记录")))))))))))</x:f>
        <x:v>待展开路径</x:v>
      </x:c>
    </x:row>
    <x:row r="740" ht="43.5" customHeight="1">
      <x:c r="A740" s="20" t="str">
        <x:v>REC-00731</x:v>
      </x:c>
      <x:c r="B740" s="20" t="str">
        <x:v>P2-B2-01</x:v>
      </x:c>
      <x:c r="C740" s="30" t="str">
        <x:f>IF(B740="","",IF(COUNTIFS(Equipment[组合编号],B740)&lt;&gt;1,"组合编号无效",INDEX(Equipment[PLC组],MATCH(B740,Equipment[组合编号],0))))</x:f>
        <x:v>汇川中大型</x:v>
      </x:c>
      <x:c r="D740" s="30" t="str">
        <x:f>IF(B740="","",IF(COUNTIFS(Equipment[组合编号],B740)&lt;&gt;1,"组合编号无效",INDEX(Equipment[驱动品牌],MATCH(B740,Equipment[组合编号],0))))</x:f>
        <x:v>台达</x:v>
      </x:c>
      <x:c r="E740" s="20" t="str">
        <x:v>T06</x:v>
      </x:c>
      <x:c r="F740" s="20"/>
      <x:c r="G740" s="20"/>
      <x:c r="H740" s="20" t="str">
        <x:v>待判定</x:v>
      </x:c>
      <x:c r="I740" s="20"/>
      <x:c r="J740" s="20" t="str">
        <x:v>未测试</x:v>
      </x:c>
      <x:c r="K740" s="20"/>
      <x:c r="L740" s="20"/>
      <x:c r="M740" s="20"/>
      <x:c r="N740" s="20"/>
      <x:c r="O740" s="31"/>
      <x:c r="P740" s="20"/>
      <x:c r="Q740" s="20"/>
      <x:c r="R740" s="20" t="str">
        <x:v>待展开</x:v>
      </x:c>
      <x:c r="S740" s="20"/>
      <x:c r="T740" s="31"/>
      <x:c r="U740" s="30" t="str">
        <x:f>IF(A740="","缺记录编号",IF(COUNTIFS(PathRecords[记录编号],A740)&lt;&gt;1,"记录编号重复",IF(OR(B740="",E740=""),"缺组合/功能",IF(COUNTIFS(Equipment[组合编号],B740)&lt;&gt;1,"组合编号无效",IF(COUNTIFS(FunctionMatrix[编号],E740)=0,"功能编号无效",IF(H740="不适用",IF(J740="已实测","适用性冲突",IF(I740="","待补不适用依据","不适用（非实测）")),IF(J740="阻塞",IF(I740="","待补阻塞原因","阻塞（非实测）"),IF(J740&lt;&gt;"已实测",IF(F740="","待展开路径","未实测"),IF(H740&lt;&gt;"适用","待确认适用性",IF(INDEX(Equipment[登记状态（自动）],MATCH(B740,Equipment[组合编号],0))&lt;&gt;"已登记","待补设备组合",IF(AND(F740&lt;&gt;"",G740&lt;&gt;"",K740&lt;&gt;"",L740&lt;&gt;"",M740&lt;&gt;"",N740&lt;&gt;"",ISNUMBER(O740),O740&gt;0,P740&lt;&gt;""),"记录齐全","待补实测记录")))))))))))</x:f>
        <x:v>待展开路径</x:v>
      </x:c>
    </x:row>
    <x:row r="741" ht="43.5" customHeight="1">
      <x:c r="A741" s="20" t="str">
        <x:v>REC-00732</x:v>
      </x:c>
      <x:c r="B741" s="20" t="str">
        <x:v>P2-B2-01</x:v>
      </x:c>
      <x:c r="C741" s="30" t="str">
        <x:f>IF(B741="","",IF(COUNTIFS(Equipment[组合编号],B741)&lt;&gt;1,"组合编号无效",INDEX(Equipment[PLC组],MATCH(B741,Equipment[组合编号],0))))</x:f>
        <x:v>汇川中大型</x:v>
      </x:c>
      <x:c r="D741" s="30" t="str">
        <x:f>IF(B741="","",IF(COUNTIFS(Equipment[组合编号],B741)&lt;&gt;1,"组合编号无效",INDEX(Equipment[驱动品牌],MATCH(B741,Equipment[组合编号],0))))</x:f>
        <x:v>台达</x:v>
      </x:c>
      <x:c r="E741" s="20" t="str">
        <x:v>T07</x:v>
      </x:c>
      <x:c r="F741" s="20"/>
      <x:c r="G741" s="20"/>
      <x:c r="H741" s="20" t="str">
        <x:v>待判定</x:v>
      </x:c>
      <x:c r="I741" s="20"/>
      <x:c r="J741" s="20" t="str">
        <x:v>未测试</x:v>
      </x:c>
      <x:c r="K741" s="20"/>
      <x:c r="L741" s="20"/>
      <x:c r="M741" s="20"/>
      <x:c r="N741" s="20"/>
      <x:c r="O741" s="31"/>
      <x:c r="P741" s="20"/>
      <x:c r="Q741" s="20"/>
      <x:c r="R741" s="20" t="str">
        <x:v>待展开</x:v>
      </x:c>
      <x:c r="S741" s="20"/>
      <x:c r="T741" s="31"/>
      <x:c r="U741" s="30" t="str">
        <x:f>IF(A741="","缺记录编号",IF(COUNTIFS(PathRecords[记录编号],A741)&lt;&gt;1,"记录编号重复",IF(OR(B741="",E741=""),"缺组合/功能",IF(COUNTIFS(Equipment[组合编号],B741)&lt;&gt;1,"组合编号无效",IF(COUNTIFS(FunctionMatrix[编号],E741)=0,"功能编号无效",IF(H741="不适用",IF(J741="已实测","适用性冲突",IF(I741="","待补不适用依据","不适用（非实测）")),IF(J741="阻塞",IF(I741="","待补阻塞原因","阻塞（非实测）"),IF(J741&lt;&gt;"已实测",IF(F741="","待展开路径","未实测"),IF(H741&lt;&gt;"适用","待确认适用性",IF(INDEX(Equipment[登记状态（自动）],MATCH(B741,Equipment[组合编号],0))&lt;&gt;"已登记","待补设备组合",IF(AND(F741&lt;&gt;"",G741&lt;&gt;"",K741&lt;&gt;"",L741&lt;&gt;"",M741&lt;&gt;"",N741&lt;&gt;"",ISNUMBER(O741),O741&gt;0,P741&lt;&gt;""),"记录齐全","待补实测记录")))))))))))</x:f>
        <x:v>待展开路径</x:v>
      </x:c>
    </x:row>
    <x:row r="742" ht="43.5" customHeight="1">
      <x:c r="A742" s="20" t="str">
        <x:v>REC-00733</x:v>
      </x:c>
      <x:c r="B742" s="20" t="str">
        <x:v>P2-B2-01</x:v>
      </x:c>
      <x:c r="C742" s="30" t="str">
        <x:f>IF(B742="","",IF(COUNTIFS(Equipment[组合编号],B742)&lt;&gt;1,"组合编号无效",INDEX(Equipment[PLC组],MATCH(B742,Equipment[组合编号],0))))</x:f>
        <x:v>汇川中大型</x:v>
      </x:c>
      <x:c r="D742" s="30" t="str">
        <x:f>IF(B742="","",IF(COUNTIFS(Equipment[组合编号],B742)&lt;&gt;1,"组合编号无效",INDEX(Equipment[驱动品牌],MATCH(B742,Equipment[组合编号],0))))</x:f>
        <x:v>台达</x:v>
      </x:c>
      <x:c r="E742" s="20" t="str">
        <x:v>T08</x:v>
      </x:c>
      <x:c r="F742" s="20"/>
      <x:c r="G742" s="20"/>
      <x:c r="H742" s="20" t="str">
        <x:v>待判定</x:v>
      </x:c>
      <x:c r="I742" s="20"/>
      <x:c r="J742" s="20" t="str">
        <x:v>未测试</x:v>
      </x:c>
      <x:c r="K742" s="20"/>
      <x:c r="L742" s="20"/>
      <x:c r="M742" s="20"/>
      <x:c r="N742" s="20"/>
      <x:c r="O742" s="31"/>
      <x:c r="P742" s="20"/>
      <x:c r="Q742" s="20"/>
      <x:c r="R742" s="20" t="str">
        <x:v>待展开</x:v>
      </x:c>
      <x:c r="S742" s="20"/>
      <x:c r="T742" s="31"/>
      <x:c r="U742" s="30" t="str">
        <x:f>IF(A742="","缺记录编号",IF(COUNTIFS(PathRecords[记录编号],A742)&lt;&gt;1,"记录编号重复",IF(OR(B742="",E742=""),"缺组合/功能",IF(COUNTIFS(Equipment[组合编号],B742)&lt;&gt;1,"组合编号无效",IF(COUNTIFS(FunctionMatrix[编号],E742)=0,"功能编号无效",IF(H742="不适用",IF(J742="已实测","适用性冲突",IF(I742="","待补不适用依据","不适用（非实测）")),IF(J742="阻塞",IF(I742="","待补阻塞原因","阻塞（非实测）"),IF(J742&lt;&gt;"已实测",IF(F742="","待展开路径","未实测"),IF(H742&lt;&gt;"适用","待确认适用性",IF(INDEX(Equipment[登记状态（自动）],MATCH(B742,Equipment[组合编号],0))&lt;&gt;"已登记","待补设备组合",IF(AND(F742&lt;&gt;"",G742&lt;&gt;"",K742&lt;&gt;"",L742&lt;&gt;"",M742&lt;&gt;"",N742&lt;&gt;"",ISNUMBER(O742),O742&gt;0,P742&lt;&gt;""),"记录齐全","待补实测记录")))))))))))</x:f>
        <x:v>待展开路径</x:v>
      </x:c>
    </x:row>
    <x:row r="743" ht="43.5" customHeight="1">
      <x:c r="A743" s="20" t="str">
        <x:v>REC-00734</x:v>
      </x:c>
      <x:c r="B743" s="20" t="str">
        <x:v>P2-B2-01</x:v>
      </x:c>
      <x:c r="C743" s="30" t="str">
        <x:f>IF(B743="","",IF(COUNTIFS(Equipment[组合编号],B743)&lt;&gt;1,"组合编号无效",INDEX(Equipment[PLC组],MATCH(B743,Equipment[组合编号],0))))</x:f>
        <x:v>汇川中大型</x:v>
      </x:c>
      <x:c r="D743" s="30" t="str">
        <x:f>IF(B743="","",IF(COUNTIFS(Equipment[组合编号],B743)&lt;&gt;1,"组合编号无效",INDEX(Equipment[驱动品牌],MATCH(B743,Equipment[组合编号],0))))</x:f>
        <x:v>台达</x:v>
      </x:c>
      <x:c r="E743" s="20" t="str">
        <x:v>T09</x:v>
      </x:c>
      <x:c r="F743" s="20"/>
      <x:c r="G743" s="20"/>
      <x:c r="H743" s="20" t="str">
        <x:v>待判定</x:v>
      </x:c>
      <x:c r="I743" s="20"/>
      <x:c r="J743" s="20" t="str">
        <x:v>未测试</x:v>
      </x:c>
      <x:c r="K743" s="20"/>
      <x:c r="L743" s="20"/>
      <x:c r="M743" s="20"/>
      <x:c r="N743" s="20"/>
      <x:c r="O743" s="31"/>
      <x:c r="P743" s="20"/>
      <x:c r="Q743" s="20"/>
      <x:c r="R743" s="20" t="str">
        <x:v>待展开</x:v>
      </x:c>
      <x:c r="S743" s="20"/>
      <x:c r="T743" s="31"/>
      <x:c r="U743" s="30" t="str">
        <x:f>IF(A743="","缺记录编号",IF(COUNTIFS(PathRecords[记录编号],A743)&lt;&gt;1,"记录编号重复",IF(OR(B743="",E743=""),"缺组合/功能",IF(COUNTIFS(Equipment[组合编号],B743)&lt;&gt;1,"组合编号无效",IF(COUNTIFS(FunctionMatrix[编号],E743)=0,"功能编号无效",IF(H743="不适用",IF(J743="已实测","适用性冲突",IF(I743="","待补不适用依据","不适用（非实测）")),IF(J743="阻塞",IF(I743="","待补阻塞原因","阻塞（非实测）"),IF(J743&lt;&gt;"已实测",IF(F743="","待展开路径","未实测"),IF(H743&lt;&gt;"适用","待确认适用性",IF(INDEX(Equipment[登记状态（自动）],MATCH(B743,Equipment[组合编号],0))&lt;&gt;"已登记","待补设备组合",IF(AND(F743&lt;&gt;"",G743&lt;&gt;"",K743&lt;&gt;"",L743&lt;&gt;"",M743&lt;&gt;"",N743&lt;&gt;"",ISNUMBER(O743),O743&gt;0,P743&lt;&gt;""),"记录齐全","待补实测记录")))))))))))</x:f>
        <x:v>待展开路径</x:v>
      </x:c>
    </x:row>
    <x:row r="744" ht="43.5" customHeight="1">
      <x:c r="A744" s="20" t="str">
        <x:v>REC-00735</x:v>
      </x:c>
      <x:c r="B744" s="20" t="str">
        <x:v>P2-B2-01</x:v>
      </x:c>
      <x:c r="C744" s="30" t="str">
        <x:f>IF(B744="","",IF(COUNTIFS(Equipment[组合编号],B744)&lt;&gt;1,"组合编号无效",INDEX(Equipment[PLC组],MATCH(B744,Equipment[组合编号],0))))</x:f>
        <x:v>汇川中大型</x:v>
      </x:c>
      <x:c r="D744" s="30" t="str">
        <x:f>IF(B744="","",IF(COUNTIFS(Equipment[组合编号],B744)&lt;&gt;1,"组合编号无效",INDEX(Equipment[驱动品牌],MATCH(B744,Equipment[组合编号],0))))</x:f>
        <x:v>台达</x:v>
      </x:c>
      <x:c r="E744" s="20" t="str">
        <x:v>R01</x:v>
      </x:c>
      <x:c r="F744" s="20"/>
      <x:c r="G744" s="20"/>
      <x:c r="H744" s="20" t="str">
        <x:v>待判定</x:v>
      </x:c>
      <x:c r="I744" s="20"/>
      <x:c r="J744" s="20" t="str">
        <x:v>未测试</x:v>
      </x:c>
      <x:c r="K744" s="20"/>
      <x:c r="L744" s="20"/>
      <x:c r="M744" s="20"/>
      <x:c r="N744" s="20"/>
      <x:c r="O744" s="31"/>
      <x:c r="P744" s="20"/>
      <x:c r="Q744" s="20"/>
      <x:c r="R744" s="20" t="str">
        <x:v>待展开</x:v>
      </x:c>
      <x:c r="S744" s="20"/>
      <x:c r="T744" s="31"/>
      <x:c r="U744" s="30" t="str">
        <x:f>IF(A744="","缺记录编号",IF(COUNTIFS(PathRecords[记录编号],A744)&lt;&gt;1,"记录编号重复",IF(OR(B744="",E744=""),"缺组合/功能",IF(COUNTIFS(Equipment[组合编号],B744)&lt;&gt;1,"组合编号无效",IF(COUNTIFS(FunctionMatrix[编号],E744)=0,"功能编号无效",IF(H744="不适用",IF(J744="已实测","适用性冲突",IF(I744="","待补不适用依据","不适用（非实测）")),IF(J744="阻塞",IF(I744="","待补阻塞原因","阻塞（非实测）"),IF(J744&lt;&gt;"已实测",IF(F744="","待展开路径","未实测"),IF(H744&lt;&gt;"适用","待确认适用性",IF(INDEX(Equipment[登记状态（自动）],MATCH(B744,Equipment[组合编号],0))&lt;&gt;"已登记","待补设备组合",IF(AND(F744&lt;&gt;"",G744&lt;&gt;"",K744&lt;&gt;"",L744&lt;&gt;"",M744&lt;&gt;"",N744&lt;&gt;"",ISNUMBER(O744),O744&gt;0,P744&lt;&gt;""),"记录齐全","待补实测记录")))))))))))</x:f>
        <x:v>待展开路径</x:v>
      </x:c>
    </x:row>
    <x:row r="745" ht="43.5" customHeight="1">
      <x:c r="A745" s="20" t="str">
        <x:v>REC-00736</x:v>
      </x:c>
      <x:c r="B745" s="20" t="str">
        <x:v>P2-B2-01</x:v>
      </x:c>
      <x:c r="C745" s="30" t="str">
        <x:f>IF(B745="","",IF(COUNTIFS(Equipment[组合编号],B745)&lt;&gt;1,"组合编号无效",INDEX(Equipment[PLC组],MATCH(B745,Equipment[组合编号],0))))</x:f>
        <x:v>汇川中大型</x:v>
      </x:c>
      <x:c r="D745" s="30" t="str">
        <x:f>IF(B745="","",IF(COUNTIFS(Equipment[组合编号],B745)&lt;&gt;1,"组合编号无效",INDEX(Equipment[驱动品牌],MATCH(B745,Equipment[组合编号],0))))</x:f>
        <x:v>台达</x:v>
      </x:c>
      <x:c r="E745" s="20" t="str">
        <x:v>R02</x:v>
      </x:c>
      <x:c r="F745" s="20"/>
      <x:c r="G745" s="20"/>
      <x:c r="H745" s="20" t="str">
        <x:v>待判定</x:v>
      </x:c>
      <x:c r="I745" s="20"/>
      <x:c r="J745" s="20" t="str">
        <x:v>未测试</x:v>
      </x:c>
      <x:c r="K745" s="20"/>
      <x:c r="L745" s="20"/>
      <x:c r="M745" s="20"/>
      <x:c r="N745" s="20"/>
      <x:c r="O745" s="31"/>
      <x:c r="P745" s="20"/>
      <x:c r="Q745" s="20"/>
      <x:c r="R745" s="20" t="str">
        <x:v>待展开</x:v>
      </x:c>
      <x:c r="S745" s="20"/>
      <x:c r="T745" s="31"/>
      <x:c r="U745" s="30" t="str">
        <x:f>IF(A745="","缺记录编号",IF(COUNTIFS(PathRecords[记录编号],A745)&lt;&gt;1,"记录编号重复",IF(OR(B745="",E745=""),"缺组合/功能",IF(COUNTIFS(Equipment[组合编号],B745)&lt;&gt;1,"组合编号无效",IF(COUNTIFS(FunctionMatrix[编号],E745)=0,"功能编号无效",IF(H745="不适用",IF(J745="已实测","适用性冲突",IF(I745="","待补不适用依据","不适用（非实测）")),IF(J745="阻塞",IF(I745="","待补阻塞原因","阻塞（非实测）"),IF(J745&lt;&gt;"已实测",IF(F745="","待展开路径","未实测"),IF(H745&lt;&gt;"适用","待确认适用性",IF(INDEX(Equipment[登记状态（自动）],MATCH(B745,Equipment[组合编号],0))&lt;&gt;"已登记","待补设备组合",IF(AND(F745&lt;&gt;"",G745&lt;&gt;"",K745&lt;&gt;"",L745&lt;&gt;"",M745&lt;&gt;"",N745&lt;&gt;"",ISNUMBER(O745),O745&gt;0,P745&lt;&gt;""),"记录齐全","待补实测记录")))))))))))</x:f>
        <x:v>待展开路径</x:v>
      </x:c>
    </x:row>
    <x:row r="746" ht="43.5" customHeight="1">
      <x:c r="A746" s="20" t="str">
        <x:v>REC-00737</x:v>
      </x:c>
      <x:c r="B746" s="20" t="str">
        <x:v>P2-B2-01</x:v>
      </x:c>
      <x:c r="C746" s="30" t="str">
        <x:f>IF(B746="","",IF(COUNTIFS(Equipment[组合编号],B746)&lt;&gt;1,"组合编号无效",INDEX(Equipment[PLC组],MATCH(B746,Equipment[组合编号],0))))</x:f>
        <x:v>汇川中大型</x:v>
      </x:c>
      <x:c r="D746" s="30" t="str">
        <x:f>IF(B746="","",IF(COUNTIFS(Equipment[组合编号],B746)&lt;&gt;1,"组合编号无效",INDEX(Equipment[驱动品牌],MATCH(B746,Equipment[组合编号],0))))</x:f>
        <x:v>台达</x:v>
      </x:c>
      <x:c r="E746" s="20" t="str">
        <x:v>R03</x:v>
      </x:c>
      <x:c r="F746" s="20"/>
      <x:c r="G746" s="20"/>
      <x:c r="H746" s="20" t="str">
        <x:v>待判定</x:v>
      </x:c>
      <x:c r="I746" s="20"/>
      <x:c r="J746" s="20" t="str">
        <x:v>未测试</x:v>
      </x:c>
      <x:c r="K746" s="20"/>
      <x:c r="L746" s="20"/>
      <x:c r="M746" s="20"/>
      <x:c r="N746" s="20"/>
      <x:c r="O746" s="31"/>
      <x:c r="P746" s="20"/>
      <x:c r="Q746" s="20"/>
      <x:c r="R746" s="20" t="str">
        <x:v>待展开</x:v>
      </x:c>
      <x:c r="S746" s="20"/>
      <x:c r="T746" s="31"/>
      <x:c r="U746" s="30" t="str">
        <x:f>IF(A746="","缺记录编号",IF(COUNTIFS(PathRecords[记录编号],A746)&lt;&gt;1,"记录编号重复",IF(OR(B746="",E746=""),"缺组合/功能",IF(COUNTIFS(Equipment[组合编号],B746)&lt;&gt;1,"组合编号无效",IF(COUNTIFS(FunctionMatrix[编号],E746)=0,"功能编号无效",IF(H746="不适用",IF(J746="已实测","适用性冲突",IF(I746="","待补不适用依据","不适用（非实测）")),IF(J746="阻塞",IF(I746="","待补阻塞原因","阻塞（非实测）"),IF(J746&lt;&gt;"已实测",IF(F746="","待展开路径","未实测"),IF(H746&lt;&gt;"适用","待确认适用性",IF(INDEX(Equipment[登记状态（自动）],MATCH(B746,Equipment[组合编号],0))&lt;&gt;"已登记","待补设备组合",IF(AND(F746&lt;&gt;"",G746&lt;&gt;"",K746&lt;&gt;"",L746&lt;&gt;"",M746&lt;&gt;"",N746&lt;&gt;"",ISNUMBER(O746),O746&gt;0,P746&lt;&gt;""),"记录齐全","待补实测记录")))))))))))</x:f>
        <x:v>待展开路径</x:v>
      </x:c>
    </x:row>
    <x:row r="747" ht="43.5" customHeight="1">
      <x:c r="A747" s="20" t="str">
        <x:v>REC-00738</x:v>
      </x:c>
      <x:c r="B747" s="20" t="str">
        <x:v>P2-B2-01</x:v>
      </x:c>
      <x:c r="C747" s="30" t="str">
        <x:f>IF(B747="","",IF(COUNTIFS(Equipment[组合编号],B747)&lt;&gt;1,"组合编号无效",INDEX(Equipment[PLC组],MATCH(B747,Equipment[组合编号],0))))</x:f>
        <x:v>汇川中大型</x:v>
      </x:c>
      <x:c r="D747" s="30" t="str">
        <x:f>IF(B747="","",IF(COUNTIFS(Equipment[组合编号],B747)&lt;&gt;1,"组合编号无效",INDEX(Equipment[驱动品牌],MATCH(B747,Equipment[组合编号],0))))</x:f>
        <x:v>台达</x:v>
      </x:c>
      <x:c r="E747" s="20" t="str">
        <x:v>R04</x:v>
      </x:c>
      <x:c r="F747" s="20"/>
      <x:c r="G747" s="20"/>
      <x:c r="H747" s="20" t="str">
        <x:v>待判定</x:v>
      </x:c>
      <x:c r="I747" s="20"/>
      <x:c r="J747" s="20" t="str">
        <x:v>未测试</x:v>
      </x:c>
      <x:c r="K747" s="20"/>
      <x:c r="L747" s="20"/>
      <x:c r="M747" s="20"/>
      <x:c r="N747" s="20"/>
      <x:c r="O747" s="31"/>
      <x:c r="P747" s="20"/>
      <x:c r="Q747" s="20"/>
      <x:c r="R747" s="20" t="str">
        <x:v>待展开</x:v>
      </x:c>
      <x:c r="S747" s="20"/>
      <x:c r="T747" s="31"/>
      <x:c r="U747" s="30" t="str">
        <x:f>IF(A747="","缺记录编号",IF(COUNTIFS(PathRecords[记录编号],A747)&lt;&gt;1,"记录编号重复",IF(OR(B747="",E747=""),"缺组合/功能",IF(COUNTIFS(Equipment[组合编号],B747)&lt;&gt;1,"组合编号无效",IF(COUNTIFS(FunctionMatrix[编号],E747)=0,"功能编号无效",IF(H747="不适用",IF(J747="已实测","适用性冲突",IF(I747="","待补不适用依据","不适用（非实测）")),IF(J747="阻塞",IF(I747="","待补阻塞原因","阻塞（非实测）"),IF(J747&lt;&gt;"已实测",IF(F747="","待展开路径","未实测"),IF(H747&lt;&gt;"适用","待确认适用性",IF(INDEX(Equipment[登记状态（自动）],MATCH(B747,Equipment[组合编号],0))&lt;&gt;"已登记","待补设备组合",IF(AND(F747&lt;&gt;"",G747&lt;&gt;"",K747&lt;&gt;"",L747&lt;&gt;"",M747&lt;&gt;"",N747&lt;&gt;"",ISNUMBER(O747),O747&gt;0,P747&lt;&gt;""),"记录齐全","待补实测记录")))))))))))</x:f>
        <x:v>待展开路径</x:v>
      </x:c>
    </x:row>
    <x:row r="748" ht="43.5" customHeight="1">
      <x:c r="A748" s="20" t="str">
        <x:v>REC-00739</x:v>
      </x:c>
      <x:c r="B748" s="20" t="str">
        <x:v>P2-B2-01</x:v>
      </x:c>
      <x:c r="C748" s="30" t="str">
        <x:f>IF(B748="","",IF(COUNTIFS(Equipment[组合编号],B748)&lt;&gt;1,"组合编号无效",INDEX(Equipment[PLC组],MATCH(B748,Equipment[组合编号],0))))</x:f>
        <x:v>汇川中大型</x:v>
      </x:c>
      <x:c r="D748" s="30" t="str">
        <x:f>IF(B748="","",IF(COUNTIFS(Equipment[组合编号],B748)&lt;&gt;1,"组合编号无效",INDEX(Equipment[驱动品牌],MATCH(B748,Equipment[组合编号],0))))</x:f>
        <x:v>台达</x:v>
      </x:c>
      <x:c r="E748" s="20" t="str">
        <x:v>R05</x:v>
      </x:c>
      <x:c r="F748" s="20"/>
      <x:c r="G748" s="20"/>
      <x:c r="H748" s="20" t="str">
        <x:v>待判定</x:v>
      </x:c>
      <x:c r="I748" s="20"/>
      <x:c r="J748" s="20" t="str">
        <x:v>未测试</x:v>
      </x:c>
      <x:c r="K748" s="20"/>
      <x:c r="L748" s="20"/>
      <x:c r="M748" s="20"/>
      <x:c r="N748" s="20"/>
      <x:c r="O748" s="31"/>
      <x:c r="P748" s="20"/>
      <x:c r="Q748" s="20"/>
      <x:c r="R748" s="20" t="str">
        <x:v>待展开</x:v>
      </x:c>
      <x:c r="S748" s="20"/>
      <x:c r="T748" s="31"/>
      <x:c r="U748" s="30" t="str">
        <x:f>IF(A748="","缺记录编号",IF(COUNTIFS(PathRecords[记录编号],A748)&lt;&gt;1,"记录编号重复",IF(OR(B748="",E748=""),"缺组合/功能",IF(COUNTIFS(Equipment[组合编号],B748)&lt;&gt;1,"组合编号无效",IF(COUNTIFS(FunctionMatrix[编号],E748)=0,"功能编号无效",IF(H748="不适用",IF(J748="已实测","适用性冲突",IF(I748="","待补不适用依据","不适用（非实测）")),IF(J748="阻塞",IF(I748="","待补阻塞原因","阻塞（非实测）"),IF(J748&lt;&gt;"已实测",IF(F748="","待展开路径","未实测"),IF(H748&lt;&gt;"适用","待确认适用性",IF(INDEX(Equipment[登记状态（自动）],MATCH(B748,Equipment[组合编号],0))&lt;&gt;"已登记","待补设备组合",IF(AND(F748&lt;&gt;"",G748&lt;&gt;"",K748&lt;&gt;"",L748&lt;&gt;"",M748&lt;&gt;"",N748&lt;&gt;"",ISNUMBER(O748),O748&gt;0,P748&lt;&gt;""),"记录齐全","待补实测记录")))))))))))</x:f>
        <x:v>待展开路径</x:v>
      </x:c>
    </x:row>
    <x:row r="749" ht="43.5" customHeight="1">
      <x:c r="A749" s="20" t="str">
        <x:v>REC-00740</x:v>
      </x:c>
      <x:c r="B749" s="20" t="str">
        <x:v>P2-B2-01</x:v>
      </x:c>
      <x:c r="C749" s="30" t="str">
        <x:f>IF(B749="","",IF(COUNTIFS(Equipment[组合编号],B749)&lt;&gt;1,"组合编号无效",INDEX(Equipment[PLC组],MATCH(B749,Equipment[组合编号],0))))</x:f>
        <x:v>汇川中大型</x:v>
      </x:c>
      <x:c r="D749" s="30" t="str">
        <x:f>IF(B749="","",IF(COUNTIFS(Equipment[组合编号],B749)&lt;&gt;1,"组合编号无效",INDEX(Equipment[驱动品牌],MATCH(B749,Equipment[组合编号],0))))</x:f>
        <x:v>台达</x:v>
      </x:c>
      <x:c r="E749" s="20" t="str">
        <x:v>R06</x:v>
      </x:c>
      <x:c r="F749" s="20"/>
      <x:c r="G749" s="20"/>
      <x:c r="H749" s="20" t="str">
        <x:v>待判定</x:v>
      </x:c>
      <x:c r="I749" s="20"/>
      <x:c r="J749" s="20" t="str">
        <x:v>未测试</x:v>
      </x:c>
      <x:c r="K749" s="20"/>
      <x:c r="L749" s="20"/>
      <x:c r="M749" s="20"/>
      <x:c r="N749" s="20"/>
      <x:c r="O749" s="31"/>
      <x:c r="P749" s="20"/>
      <x:c r="Q749" s="20"/>
      <x:c r="R749" s="20" t="str">
        <x:v>待展开</x:v>
      </x:c>
      <x:c r="S749" s="20"/>
      <x:c r="T749" s="31"/>
      <x:c r="U749" s="30" t="str">
        <x:f>IF(A749="","缺记录编号",IF(COUNTIFS(PathRecords[记录编号],A749)&lt;&gt;1,"记录编号重复",IF(OR(B749="",E749=""),"缺组合/功能",IF(COUNTIFS(Equipment[组合编号],B749)&lt;&gt;1,"组合编号无效",IF(COUNTIFS(FunctionMatrix[编号],E749)=0,"功能编号无效",IF(H749="不适用",IF(J749="已实测","适用性冲突",IF(I749="","待补不适用依据","不适用（非实测）")),IF(J749="阻塞",IF(I749="","待补阻塞原因","阻塞（非实测）"),IF(J749&lt;&gt;"已实测",IF(F749="","待展开路径","未实测"),IF(H749&lt;&gt;"适用","待确认适用性",IF(INDEX(Equipment[登记状态（自动）],MATCH(B749,Equipment[组合编号],0))&lt;&gt;"已登记","待补设备组合",IF(AND(F749&lt;&gt;"",G749&lt;&gt;"",K749&lt;&gt;"",L749&lt;&gt;"",M749&lt;&gt;"",N749&lt;&gt;"",ISNUMBER(O749),O749&gt;0,P749&lt;&gt;""),"记录齐全","待补实测记录")))))))))))</x:f>
        <x:v>待展开路径</x:v>
      </x:c>
    </x:row>
    <x:row r="750" ht="43.5" customHeight="1">
      <x:c r="A750" s="20" t="str">
        <x:v>REC-00741</x:v>
      </x:c>
      <x:c r="B750" s="20" t="str">
        <x:v>P2-B2-01</x:v>
      </x:c>
      <x:c r="C750" s="30" t="str">
        <x:f>IF(B750="","",IF(COUNTIFS(Equipment[组合编号],B750)&lt;&gt;1,"组合编号无效",INDEX(Equipment[PLC组],MATCH(B750,Equipment[组合编号],0))))</x:f>
        <x:v>汇川中大型</x:v>
      </x:c>
      <x:c r="D750" s="30" t="str">
        <x:f>IF(B750="","",IF(COUNTIFS(Equipment[组合编号],B750)&lt;&gt;1,"组合编号无效",INDEX(Equipment[驱动品牌],MATCH(B750,Equipment[组合编号],0))))</x:f>
        <x:v>台达</x:v>
      </x:c>
      <x:c r="E750" s="20" t="str">
        <x:v>R07</x:v>
      </x:c>
      <x:c r="F750" s="20"/>
      <x:c r="G750" s="20"/>
      <x:c r="H750" s="20" t="str">
        <x:v>待判定</x:v>
      </x:c>
      <x:c r="I750" s="20"/>
      <x:c r="J750" s="20" t="str">
        <x:v>未测试</x:v>
      </x:c>
      <x:c r="K750" s="20"/>
      <x:c r="L750" s="20"/>
      <x:c r="M750" s="20"/>
      <x:c r="N750" s="20"/>
      <x:c r="O750" s="31"/>
      <x:c r="P750" s="20"/>
      <x:c r="Q750" s="20"/>
      <x:c r="R750" s="20" t="str">
        <x:v>待展开</x:v>
      </x:c>
      <x:c r="S750" s="20"/>
      <x:c r="T750" s="31"/>
      <x:c r="U750" s="30" t="str">
        <x:f>IF(A750="","缺记录编号",IF(COUNTIFS(PathRecords[记录编号],A750)&lt;&gt;1,"记录编号重复",IF(OR(B750="",E750=""),"缺组合/功能",IF(COUNTIFS(Equipment[组合编号],B750)&lt;&gt;1,"组合编号无效",IF(COUNTIFS(FunctionMatrix[编号],E750)=0,"功能编号无效",IF(H750="不适用",IF(J750="已实测","适用性冲突",IF(I750="","待补不适用依据","不适用（非实测）")),IF(J750="阻塞",IF(I750="","待补阻塞原因","阻塞（非实测）"),IF(J750&lt;&gt;"已实测",IF(F750="","待展开路径","未实测"),IF(H750&lt;&gt;"适用","待确认适用性",IF(INDEX(Equipment[登记状态（自动）],MATCH(B750,Equipment[组合编号],0))&lt;&gt;"已登记","待补设备组合",IF(AND(F750&lt;&gt;"",G750&lt;&gt;"",K750&lt;&gt;"",L750&lt;&gt;"",M750&lt;&gt;"",N750&lt;&gt;"",ISNUMBER(O750),O750&gt;0,P750&lt;&gt;""),"记录齐全","待补实测记录")))))))))))</x:f>
        <x:v>待展开路径</x:v>
      </x:c>
    </x:row>
    <x:row r="751" ht="43.5" customHeight="1">
      <x:c r="A751" s="20" t="str">
        <x:v>REC-00742</x:v>
      </x:c>
      <x:c r="B751" s="20" t="str">
        <x:v>P2-B2-01</x:v>
      </x:c>
      <x:c r="C751" s="30" t="str">
        <x:f>IF(B751="","",IF(COUNTIFS(Equipment[组合编号],B751)&lt;&gt;1,"组合编号无效",INDEX(Equipment[PLC组],MATCH(B751,Equipment[组合编号],0))))</x:f>
        <x:v>汇川中大型</x:v>
      </x:c>
      <x:c r="D751" s="30" t="str">
        <x:f>IF(B751="","",IF(COUNTIFS(Equipment[组合编号],B751)&lt;&gt;1,"组合编号无效",INDEX(Equipment[驱动品牌],MATCH(B751,Equipment[组合编号],0))))</x:f>
        <x:v>台达</x:v>
      </x:c>
      <x:c r="E751" s="20" t="str">
        <x:v>R08</x:v>
      </x:c>
      <x:c r="F751" s="20"/>
      <x:c r="G751" s="20"/>
      <x:c r="H751" s="20" t="str">
        <x:v>待判定</x:v>
      </x:c>
      <x:c r="I751" s="20"/>
      <x:c r="J751" s="20" t="str">
        <x:v>未测试</x:v>
      </x:c>
      <x:c r="K751" s="20"/>
      <x:c r="L751" s="20"/>
      <x:c r="M751" s="20"/>
      <x:c r="N751" s="20"/>
      <x:c r="O751" s="31"/>
      <x:c r="P751" s="20"/>
      <x:c r="Q751" s="20"/>
      <x:c r="R751" s="20" t="str">
        <x:v>待展开</x:v>
      </x:c>
      <x:c r="S751" s="20"/>
      <x:c r="T751" s="31"/>
      <x:c r="U751" s="30" t="str">
        <x:f>IF(A751="","缺记录编号",IF(COUNTIFS(PathRecords[记录编号],A751)&lt;&gt;1,"记录编号重复",IF(OR(B751="",E751=""),"缺组合/功能",IF(COUNTIFS(Equipment[组合编号],B751)&lt;&gt;1,"组合编号无效",IF(COUNTIFS(FunctionMatrix[编号],E751)=0,"功能编号无效",IF(H751="不适用",IF(J751="已实测","适用性冲突",IF(I751="","待补不适用依据","不适用（非实测）")),IF(J751="阻塞",IF(I751="","待补阻塞原因","阻塞（非实测）"),IF(J751&lt;&gt;"已实测",IF(F751="","待展开路径","未实测"),IF(H751&lt;&gt;"适用","待确认适用性",IF(INDEX(Equipment[登记状态（自动）],MATCH(B751,Equipment[组合编号],0))&lt;&gt;"已登记","待补设备组合",IF(AND(F751&lt;&gt;"",G751&lt;&gt;"",K751&lt;&gt;"",L751&lt;&gt;"",M751&lt;&gt;"",N751&lt;&gt;"",ISNUMBER(O751),O751&gt;0,P751&lt;&gt;""),"记录齐全","待补实测记录")))))))))))</x:f>
        <x:v>待展开路径</x:v>
      </x:c>
    </x:row>
    <x:row r="752" ht="43.5" customHeight="1">
      <x:c r="A752" s="20" t="str">
        <x:v>REC-00743</x:v>
      </x:c>
      <x:c r="B752" s="20" t="str">
        <x:v>P2-B3-01</x:v>
      </x:c>
      <x:c r="C752" s="30" t="str">
        <x:f>IF(B752="","",IF(COUNTIFS(Equipment[组合编号],B752)&lt;&gt;1,"组合编号无效",INDEX(Equipment[PLC组],MATCH(B752,Equipment[组合编号],0))))</x:f>
        <x:v>汇川中大型</x:v>
      </x:c>
      <x:c r="D752" s="30" t="str">
        <x:f>IF(B752="","",IF(COUNTIFS(Equipment[组合编号],B752)&lt;&gt;1,"组合编号无效",INDEX(Equipment[驱动品牌],MATCH(B752,Equipment[组合编号],0))))</x:f>
        <x:v>繁易</x:v>
      </x:c>
      <x:c r="E752" s="20" t="str">
        <x:v>M01</x:v>
      </x:c>
      <x:c r="F752" s="20"/>
      <x:c r="G752" s="20"/>
      <x:c r="H752" s="20" t="str">
        <x:v>待判定</x:v>
      </x:c>
      <x:c r="I752" s="20"/>
      <x:c r="J752" s="20" t="str">
        <x:v>未测试</x:v>
      </x:c>
      <x:c r="K752" s="20"/>
      <x:c r="L752" s="20"/>
      <x:c r="M752" s="20"/>
      <x:c r="N752" s="20"/>
      <x:c r="O752" s="31"/>
      <x:c r="P752" s="20"/>
      <x:c r="Q752" s="20"/>
      <x:c r="R752" s="20" t="str">
        <x:v>待展开</x:v>
      </x:c>
      <x:c r="S752" s="20"/>
      <x:c r="T752" s="31"/>
      <x:c r="U752" s="30" t="str">
        <x:f>IF(A752="","缺记录编号",IF(COUNTIFS(PathRecords[记录编号],A752)&lt;&gt;1,"记录编号重复",IF(OR(B752="",E752=""),"缺组合/功能",IF(COUNTIFS(Equipment[组合编号],B752)&lt;&gt;1,"组合编号无效",IF(COUNTIFS(FunctionMatrix[编号],E752)=0,"功能编号无效",IF(H752="不适用",IF(J752="已实测","适用性冲突",IF(I752="","待补不适用依据","不适用（非实测）")),IF(J752="阻塞",IF(I752="","待补阻塞原因","阻塞（非实测）"),IF(J752&lt;&gt;"已实测",IF(F752="","待展开路径","未实测"),IF(H752&lt;&gt;"适用","待确认适用性",IF(INDEX(Equipment[登记状态（自动）],MATCH(B752,Equipment[组合编号],0))&lt;&gt;"已登记","待补设备组合",IF(AND(F752&lt;&gt;"",G752&lt;&gt;"",K752&lt;&gt;"",L752&lt;&gt;"",M752&lt;&gt;"",N752&lt;&gt;"",ISNUMBER(O752),O752&gt;0,P752&lt;&gt;""),"记录齐全","待补实测记录")))))))))))</x:f>
        <x:v>待展开路径</x:v>
      </x:c>
    </x:row>
    <x:row r="753" ht="43.5" customHeight="1">
      <x:c r="A753" s="20" t="str">
        <x:v>REC-00744</x:v>
      </x:c>
      <x:c r="B753" s="20" t="str">
        <x:v>P2-B3-01</x:v>
      </x:c>
      <x:c r="C753" s="30" t="str">
        <x:f>IF(B753="","",IF(COUNTIFS(Equipment[组合编号],B753)&lt;&gt;1,"组合编号无效",INDEX(Equipment[PLC组],MATCH(B753,Equipment[组合编号],0))))</x:f>
        <x:v>汇川中大型</x:v>
      </x:c>
      <x:c r="D753" s="30" t="str">
        <x:f>IF(B753="","",IF(COUNTIFS(Equipment[组合编号],B753)&lt;&gt;1,"组合编号无效",INDEX(Equipment[驱动品牌],MATCH(B753,Equipment[组合编号],0))))</x:f>
        <x:v>繁易</x:v>
      </x:c>
      <x:c r="E753" s="20" t="str">
        <x:v>M02</x:v>
      </x:c>
      <x:c r="F753" s="20"/>
      <x:c r="G753" s="20"/>
      <x:c r="H753" s="20" t="str">
        <x:v>待判定</x:v>
      </x:c>
      <x:c r="I753" s="20"/>
      <x:c r="J753" s="20" t="str">
        <x:v>未测试</x:v>
      </x:c>
      <x:c r="K753" s="20"/>
      <x:c r="L753" s="20"/>
      <x:c r="M753" s="20"/>
      <x:c r="N753" s="20"/>
      <x:c r="O753" s="31"/>
      <x:c r="P753" s="20"/>
      <x:c r="Q753" s="20"/>
      <x:c r="R753" s="20" t="str">
        <x:v>待展开</x:v>
      </x:c>
      <x:c r="S753" s="20"/>
      <x:c r="T753" s="31"/>
      <x:c r="U753" s="30" t="str">
        <x:f>IF(A753="","缺记录编号",IF(COUNTIFS(PathRecords[记录编号],A753)&lt;&gt;1,"记录编号重复",IF(OR(B753="",E753=""),"缺组合/功能",IF(COUNTIFS(Equipment[组合编号],B753)&lt;&gt;1,"组合编号无效",IF(COUNTIFS(FunctionMatrix[编号],E753)=0,"功能编号无效",IF(H753="不适用",IF(J753="已实测","适用性冲突",IF(I753="","待补不适用依据","不适用（非实测）")),IF(J753="阻塞",IF(I753="","待补阻塞原因","阻塞（非实测）"),IF(J753&lt;&gt;"已实测",IF(F753="","待展开路径","未实测"),IF(H753&lt;&gt;"适用","待确认适用性",IF(INDEX(Equipment[登记状态（自动）],MATCH(B753,Equipment[组合编号],0))&lt;&gt;"已登记","待补设备组合",IF(AND(F753&lt;&gt;"",G753&lt;&gt;"",K753&lt;&gt;"",L753&lt;&gt;"",M753&lt;&gt;"",N753&lt;&gt;"",ISNUMBER(O753),O753&gt;0,P753&lt;&gt;""),"记录齐全","待补实测记录")))))))))))</x:f>
        <x:v>待展开路径</x:v>
      </x:c>
    </x:row>
    <x:row r="754" ht="43.5" customHeight="1">
      <x:c r="A754" s="20" t="str">
        <x:v>REC-00745</x:v>
      </x:c>
      <x:c r="B754" s="20" t="str">
        <x:v>P2-B3-01</x:v>
      </x:c>
      <x:c r="C754" s="30" t="str">
        <x:f>IF(B754="","",IF(COUNTIFS(Equipment[组合编号],B754)&lt;&gt;1,"组合编号无效",INDEX(Equipment[PLC组],MATCH(B754,Equipment[组合编号],0))))</x:f>
        <x:v>汇川中大型</x:v>
      </x:c>
      <x:c r="D754" s="30" t="str">
        <x:f>IF(B754="","",IF(COUNTIFS(Equipment[组合编号],B754)&lt;&gt;1,"组合编号无效",INDEX(Equipment[驱动品牌],MATCH(B754,Equipment[组合编号],0))))</x:f>
        <x:v>繁易</x:v>
      </x:c>
      <x:c r="E754" s="20" t="str">
        <x:v>M03</x:v>
      </x:c>
      <x:c r="F754" s="20"/>
      <x:c r="G754" s="20"/>
      <x:c r="H754" s="20" t="str">
        <x:v>待判定</x:v>
      </x:c>
      <x:c r="I754" s="20"/>
      <x:c r="J754" s="20" t="str">
        <x:v>未测试</x:v>
      </x:c>
      <x:c r="K754" s="20"/>
      <x:c r="L754" s="20"/>
      <x:c r="M754" s="20"/>
      <x:c r="N754" s="20"/>
      <x:c r="O754" s="31"/>
      <x:c r="P754" s="20"/>
      <x:c r="Q754" s="20"/>
      <x:c r="R754" s="20" t="str">
        <x:v>待展开</x:v>
      </x:c>
      <x:c r="S754" s="20"/>
      <x:c r="T754" s="31"/>
      <x:c r="U754" s="30" t="str">
        <x:f>IF(A754="","缺记录编号",IF(COUNTIFS(PathRecords[记录编号],A754)&lt;&gt;1,"记录编号重复",IF(OR(B754="",E754=""),"缺组合/功能",IF(COUNTIFS(Equipment[组合编号],B754)&lt;&gt;1,"组合编号无效",IF(COUNTIFS(FunctionMatrix[编号],E754)=0,"功能编号无效",IF(H754="不适用",IF(J754="已实测","适用性冲突",IF(I754="","待补不适用依据","不适用（非实测）")),IF(J754="阻塞",IF(I754="","待补阻塞原因","阻塞（非实测）"),IF(J754&lt;&gt;"已实测",IF(F754="","待展开路径","未实测"),IF(H754&lt;&gt;"适用","待确认适用性",IF(INDEX(Equipment[登记状态（自动）],MATCH(B754,Equipment[组合编号],0))&lt;&gt;"已登记","待补设备组合",IF(AND(F754&lt;&gt;"",G754&lt;&gt;"",K754&lt;&gt;"",L754&lt;&gt;"",M754&lt;&gt;"",N754&lt;&gt;"",ISNUMBER(O754),O754&gt;0,P754&lt;&gt;""),"记录齐全","待补实测记录")))))))))))</x:f>
        <x:v>待展开路径</x:v>
      </x:c>
    </x:row>
    <x:row r="755" ht="43.5" customHeight="1">
      <x:c r="A755" s="20" t="str">
        <x:v>REC-00746</x:v>
      </x:c>
      <x:c r="B755" s="20" t="str">
        <x:v>P2-B3-01</x:v>
      </x:c>
      <x:c r="C755" s="30" t="str">
        <x:f>IF(B755="","",IF(COUNTIFS(Equipment[组合编号],B755)&lt;&gt;1,"组合编号无效",INDEX(Equipment[PLC组],MATCH(B755,Equipment[组合编号],0))))</x:f>
        <x:v>汇川中大型</x:v>
      </x:c>
      <x:c r="D755" s="30" t="str">
        <x:f>IF(B755="","",IF(COUNTIFS(Equipment[组合编号],B755)&lt;&gt;1,"组合编号无效",INDEX(Equipment[驱动品牌],MATCH(B755,Equipment[组合编号],0))))</x:f>
        <x:v>繁易</x:v>
      </x:c>
      <x:c r="E755" s="20" t="str">
        <x:v>M04</x:v>
      </x:c>
      <x:c r="F755" s="20"/>
      <x:c r="G755" s="20"/>
      <x:c r="H755" s="20" t="str">
        <x:v>待判定</x:v>
      </x:c>
      <x:c r="I755" s="20"/>
      <x:c r="J755" s="20" t="str">
        <x:v>未测试</x:v>
      </x:c>
      <x:c r="K755" s="20"/>
      <x:c r="L755" s="20"/>
      <x:c r="M755" s="20"/>
      <x:c r="N755" s="20"/>
      <x:c r="O755" s="31"/>
      <x:c r="P755" s="20"/>
      <x:c r="Q755" s="20"/>
      <x:c r="R755" s="20" t="str">
        <x:v>待展开</x:v>
      </x:c>
      <x:c r="S755" s="20"/>
      <x:c r="T755" s="31"/>
      <x:c r="U755" s="30" t="str">
        <x:f>IF(A755="","缺记录编号",IF(COUNTIFS(PathRecords[记录编号],A755)&lt;&gt;1,"记录编号重复",IF(OR(B755="",E755=""),"缺组合/功能",IF(COUNTIFS(Equipment[组合编号],B755)&lt;&gt;1,"组合编号无效",IF(COUNTIFS(FunctionMatrix[编号],E755)=0,"功能编号无效",IF(H755="不适用",IF(J755="已实测","适用性冲突",IF(I755="","待补不适用依据","不适用（非实测）")),IF(J755="阻塞",IF(I755="","待补阻塞原因","阻塞（非实测）"),IF(J755&lt;&gt;"已实测",IF(F755="","待展开路径","未实测"),IF(H755&lt;&gt;"适用","待确认适用性",IF(INDEX(Equipment[登记状态（自动）],MATCH(B755,Equipment[组合编号],0))&lt;&gt;"已登记","待补设备组合",IF(AND(F755&lt;&gt;"",G755&lt;&gt;"",K755&lt;&gt;"",L755&lt;&gt;"",M755&lt;&gt;"",N755&lt;&gt;"",ISNUMBER(O755),O755&gt;0,P755&lt;&gt;""),"记录齐全","待补实测记录")))))))))))</x:f>
        <x:v>待展开路径</x:v>
      </x:c>
    </x:row>
    <x:row r="756" ht="43.5" customHeight="1">
      <x:c r="A756" s="20" t="str">
        <x:v>REC-00747</x:v>
      </x:c>
      <x:c r="B756" s="20" t="str">
        <x:v>P2-B3-01</x:v>
      </x:c>
      <x:c r="C756" s="30" t="str">
        <x:f>IF(B756="","",IF(COUNTIFS(Equipment[组合编号],B756)&lt;&gt;1,"组合编号无效",INDEX(Equipment[PLC组],MATCH(B756,Equipment[组合编号],0))))</x:f>
        <x:v>汇川中大型</x:v>
      </x:c>
      <x:c r="D756" s="30" t="str">
        <x:f>IF(B756="","",IF(COUNTIFS(Equipment[组合编号],B756)&lt;&gt;1,"组合编号无效",INDEX(Equipment[驱动品牌],MATCH(B756,Equipment[组合编号],0))))</x:f>
        <x:v>繁易</x:v>
      </x:c>
      <x:c r="E756" s="20" t="str">
        <x:v>M05</x:v>
      </x:c>
      <x:c r="F756" s="20"/>
      <x:c r="G756" s="20"/>
      <x:c r="H756" s="20" t="str">
        <x:v>待判定</x:v>
      </x:c>
      <x:c r="I756" s="20"/>
      <x:c r="J756" s="20" t="str">
        <x:v>未测试</x:v>
      </x:c>
      <x:c r="K756" s="20"/>
      <x:c r="L756" s="20"/>
      <x:c r="M756" s="20"/>
      <x:c r="N756" s="20"/>
      <x:c r="O756" s="31"/>
      <x:c r="P756" s="20"/>
      <x:c r="Q756" s="20"/>
      <x:c r="R756" s="20" t="str">
        <x:v>待展开</x:v>
      </x:c>
      <x:c r="S756" s="20"/>
      <x:c r="T756" s="31"/>
      <x:c r="U756" s="30" t="str">
        <x:f>IF(A756="","缺记录编号",IF(COUNTIFS(PathRecords[记录编号],A756)&lt;&gt;1,"记录编号重复",IF(OR(B756="",E756=""),"缺组合/功能",IF(COUNTIFS(Equipment[组合编号],B756)&lt;&gt;1,"组合编号无效",IF(COUNTIFS(FunctionMatrix[编号],E756)=0,"功能编号无效",IF(H756="不适用",IF(J756="已实测","适用性冲突",IF(I756="","待补不适用依据","不适用（非实测）")),IF(J756="阻塞",IF(I756="","待补阻塞原因","阻塞（非实测）"),IF(J756&lt;&gt;"已实测",IF(F756="","待展开路径","未实测"),IF(H756&lt;&gt;"适用","待确认适用性",IF(INDEX(Equipment[登记状态（自动）],MATCH(B756,Equipment[组合编号],0))&lt;&gt;"已登记","待补设备组合",IF(AND(F756&lt;&gt;"",G756&lt;&gt;"",K756&lt;&gt;"",L756&lt;&gt;"",M756&lt;&gt;"",N756&lt;&gt;"",ISNUMBER(O756),O756&gt;0,P756&lt;&gt;""),"记录齐全","待补实测记录")))))))))))</x:f>
        <x:v>待展开路径</x:v>
      </x:c>
    </x:row>
    <x:row r="757" ht="43.5" customHeight="1">
      <x:c r="A757" s="20" t="str">
        <x:v>REC-00748</x:v>
      </x:c>
      <x:c r="B757" s="20" t="str">
        <x:v>P2-B3-01</x:v>
      </x:c>
      <x:c r="C757" s="30" t="str">
        <x:f>IF(B757="","",IF(COUNTIFS(Equipment[组合编号],B757)&lt;&gt;1,"组合编号无效",INDEX(Equipment[PLC组],MATCH(B757,Equipment[组合编号],0))))</x:f>
        <x:v>汇川中大型</x:v>
      </x:c>
      <x:c r="D757" s="30" t="str">
        <x:f>IF(B757="","",IF(COUNTIFS(Equipment[组合编号],B757)&lt;&gt;1,"组合编号无效",INDEX(Equipment[驱动品牌],MATCH(B757,Equipment[组合编号],0))))</x:f>
        <x:v>繁易</x:v>
      </x:c>
      <x:c r="E757" s="20" t="str">
        <x:v>M06</x:v>
      </x:c>
      <x:c r="F757" s="20"/>
      <x:c r="G757" s="20"/>
      <x:c r="H757" s="20" t="str">
        <x:v>待判定</x:v>
      </x:c>
      <x:c r="I757" s="20"/>
      <x:c r="J757" s="20" t="str">
        <x:v>未测试</x:v>
      </x:c>
      <x:c r="K757" s="20"/>
      <x:c r="L757" s="20"/>
      <x:c r="M757" s="20"/>
      <x:c r="N757" s="20"/>
      <x:c r="O757" s="31"/>
      <x:c r="P757" s="20"/>
      <x:c r="Q757" s="20"/>
      <x:c r="R757" s="20" t="str">
        <x:v>待展开</x:v>
      </x:c>
      <x:c r="S757" s="20"/>
      <x:c r="T757" s="31"/>
      <x:c r="U757" s="30" t="str">
        <x:f>IF(A757="","缺记录编号",IF(COUNTIFS(PathRecords[记录编号],A757)&lt;&gt;1,"记录编号重复",IF(OR(B757="",E757=""),"缺组合/功能",IF(COUNTIFS(Equipment[组合编号],B757)&lt;&gt;1,"组合编号无效",IF(COUNTIFS(FunctionMatrix[编号],E757)=0,"功能编号无效",IF(H757="不适用",IF(J757="已实测","适用性冲突",IF(I757="","待补不适用依据","不适用（非实测）")),IF(J757="阻塞",IF(I757="","待补阻塞原因","阻塞（非实测）"),IF(J757&lt;&gt;"已实测",IF(F757="","待展开路径","未实测"),IF(H757&lt;&gt;"适用","待确认适用性",IF(INDEX(Equipment[登记状态（自动）],MATCH(B757,Equipment[组合编号],0))&lt;&gt;"已登记","待补设备组合",IF(AND(F757&lt;&gt;"",G757&lt;&gt;"",K757&lt;&gt;"",L757&lt;&gt;"",M757&lt;&gt;"",N757&lt;&gt;"",ISNUMBER(O757),O757&gt;0,P757&lt;&gt;""),"记录齐全","待补实测记录")))))))))))</x:f>
        <x:v>待展开路径</x:v>
      </x:c>
    </x:row>
    <x:row r="758" ht="43.5" customHeight="1">
      <x:c r="A758" s="20" t="str">
        <x:v>REC-00749</x:v>
      </x:c>
      <x:c r="B758" s="20" t="str">
        <x:v>P2-B3-01</x:v>
      </x:c>
      <x:c r="C758" s="30" t="str">
        <x:f>IF(B758="","",IF(COUNTIFS(Equipment[组合编号],B758)&lt;&gt;1,"组合编号无效",INDEX(Equipment[PLC组],MATCH(B758,Equipment[组合编号],0))))</x:f>
        <x:v>汇川中大型</x:v>
      </x:c>
      <x:c r="D758" s="30" t="str">
        <x:f>IF(B758="","",IF(COUNTIFS(Equipment[组合编号],B758)&lt;&gt;1,"组合编号无效",INDEX(Equipment[驱动品牌],MATCH(B758,Equipment[组合编号],0))))</x:f>
        <x:v>繁易</x:v>
      </x:c>
      <x:c r="E758" s="20" t="str">
        <x:v>M07</x:v>
      </x:c>
      <x:c r="F758" s="20"/>
      <x:c r="G758" s="20"/>
      <x:c r="H758" s="20" t="str">
        <x:v>待判定</x:v>
      </x:c>
      <x:c r="I758" s="20"/>
      <x:c r="J758" s="20" t="str">
        <x:v>未测试</x:v>
      </x:c>
      <x:c r="K758" s="20"/>
      <x:c r="L758" s="20"/>
      <x:c r="M758" s="20"/>
      <x:c r="N758" s="20"/>
      <x:c r="O758" s="31"/>
      <x:c r="P758" s="20"/>
      <x:c r="Q758" s="20"/>
      <x:c r="R758" s="20" t="str">
        <x:v>待展开</x:v>
      </x:c>
      <x:c r="S758" s="20"/>
      <x:c r="T758" s="31"/>
      <x:c r="U758" s="30" t="str">
        <x:f>IF(A758="","缺记录编号",IF(COUNTIFS(PathRecords[记录编号],A758)&lt;&gt;1,"记录编号重复",IF(OR(B758="",E758=""),"缺组合/功能",IF(COUNTIFS(Equipment[组合编号],B758)&lt;&gt;1,"组合编号无效",IF(COUNTIFS(FunctionMatrix[编号],E758)=0,"功能编号无效",IF(H758="不适用",IF(J758="已实测","适用性冲突",IF(I758="","待补不适用依据","不适用（非实测）")),IF(J758="阻塞",IF(I758="","待补阻塞原因","阻塞（非实测）"),IF(J758&lt;&gt;"已实测",IF(F758="","待展开路径","未实测"),IF(H758&lt;&gt;"适用","待确认适用性",IF(INDEX(Equipment[登记状态（自动）],MATCH(B758,Equipment[组合编号],0))&lt;&gt;"已登记","待补设备组合",IF(AND(F758&lt;&gt;"",G758&lt;&gt;"",K758&lt;&gt;"",L758&lt;&gt;"",M758&lt;&gt;"",N758&lt;&gt;"",ISNUMBER(O758),O758&gt;0,P758&lt;&gt;""),"记录齐全","待补实测记录")))))))))))</x:f>
        <x:v>待展开路径</x:v>
      </x:c>
    </x:row>
    <x:row r="759" ht="43.5" customHeight="1">
      <x:c r="A759" s="20" t="str">
        <x:v>REC-00750</x:v>
      </x:c>
      <x:c r="B759" s="20" t="str">
        <x:v>P2-B3-01</x:v>
      </x:c>
      <x:c r="C759" s="30" t="str">
        <x:f>IF(B759="","",IF(COUNTIFS(Equipment[组合编号],B759)&lt;&gt;1,"组合编号无效",INDEX(Equipment[PLC组],MATCH(B759,Equipment[组合编号],0))))</x:f>
        <x:v>汇川中大型</x:v>
      </x:c>
      <x:c r="D759" s="30" t="str">
        <x:f>IF(B759="","",IF(COUNTIFS(Equipment[组合编号],B759)&lt;&gt;1,"组合编号无效",INDEX(Equipment[驱动品牌],MATCH(B759,Equipment[组合编号],0))))</x:f>
        <x:v>繁易</x:v>
      </x:c>
      <x:c r="E759" s="20" t="str">
        <x:v>M09</x:v>
      </x:c>
      <x:c r="F759" s="20"/>
      <x:c r="G759" s="20"/>
      <x:c r="H759" s="20" t="str">
        <x:v>待判定</x:v>
      </x:c>
      <x:c r="I759" s="20"/>
      <x:c r="J759" s="20" t="str">
        <x:v>未测试</x:v>
      </x:c>
      <x:c r="K759" s="20"/>
      <x:c r="L759" s="20"/>
      <x:c r="M759" s="20"/>
      <x:c r="N759" s="20"/>
      <x:c r="O759" s="31"/>
      <x:c r="P759" s="20"/>
      <x:c r="Q759" s="20"/>
      <x:c r="R759" s="20" t="str">
        <x:v>待展开</x:v>
      </x:c>
      <x:c r="S759" s="20"/>
      <x:c r="T759" s="31"/>
      <x:c r="U759" s="30" t="str">
        <x:f>IF(A759="","缺记录编号",IF(COUNTIFS(PathRecords[记录编号],A759)&lt;&gt;1,"记录编号重复",IF(OR(B759="",E759=""),"缺组合/功能",IF(COUNTIFS(Equipment[组合编号],B759)&lt;&gt;1,"组合编号无效",IF(COUNTIFS(FunctionMatrix[编号],E759)=0,"功能编号无效",IF(H759="不适用",IF(J759="已实测","适用性冲突",IF(I759="","待补不适用依据","不适用（非实测）")),IF(J759="阻塞",IF(I759="","待补阻塞原因","阻塞（非实测）"),IF(J759&lt;&gt;"已实测",IF(F759="","待展开路径","未实测"),IF(H759&lt;&gt;"适用","待确认适用性",IF(INDEX(Equipment[登记状态（自动）],MATCH(B759,Equipment[组合编号],0))&lt;&gt;"已登记","待补设备组合",IF(AND(F759&lt;&gt;"",G759&lt;&gt;"",K759&lt;&gt;"",L759&lt;&gt;"",M759&lt;&gt;"",N759&lt;&gt;"",ISNUMBER(O759),O759&gt;0,P759&lt;&gt;""),"记录齐全","待补实测记录")))))))))))</x:f>
        <x:v>待展开路径</x:v>
      </x:c>
    </x:row>
    <x:row r="760" ht="43.5" customHeight="1">
      <x:c r="A760" s="20" t="str">
        <x:v>REC-00751</x:v>
      </x:c>
      <x:c r="B760" s="20" t="str">
        <x:v>P2-B3-01</x:v>
      </x:c>
      <x:c r="C760" s="30" t="str">
        <x:f>IF(B760="","",IF(COUNTIFS(Equipment[组合编号],B760)&lt;&gt;1,"组合编号无效",INDEX(Equipment[PLC组],MATCH(B760,Equipment[组合编号],0))))</x:f>
        <x:v>汇川中大型</x:v>
      </x:c>
      <x:c r="D760" s="30" t="str">
        <x:f>IF(B760="","",IF(COUNTIFS(Equipment[组合编号],B760)&lt;&gt;1,"组合编号无效",INDEX(Equipment[驱动品牌],MATCH(B760,Equipment[组合编号],0))))</x:f>
        <x:v>繁易</x:v>
      </x:c>
      <x:c r="E760" s="20" t="str">
        <x:v>M10</x:v>
      </x:c>
      <x:c r="F760" s="20"/>
      <x:c r="G760" s="20"/>
      <x:c r="H760" s="20" t="str">
        <x:v>待判定</x:v>
      </x:c>
      <x:c r="I760" s="20"/>
      <x:c r="J760" s="20" t="str">
        <x:v>未测试</x:v>
      </x:c>
      <x:c r="K760" s="20"/>
      <x:c r="L760" s="20"/>
      <x:c r="M760" s="20"/>
      <x:c r="N760" s="20"/>
      <x:c r="O760" s="31"/>
      <x:c r="P760" s="20"/>
      <x:c r="Q760" s="20"/>
      <x:c r="R760" s="20" t="str">
        <x:v>待展开</x:v>
      </x:c>
      <x:c r="S760" s="20"/>
      <x:c r="T760" s="31"/>
      <x:c r="U760" s="30" t="str">
        <x:f>IF(A760="","缺记录编号",IF(COUNTIFS(PathRecords[记录编号],A760)&lt;&gt;1,"记录编号重复",IF(OR(B760="",E760=""),"缺组合/功能",IF(COUNTIFS(Equipment[组合编号],B760)&lt;&gt;1,"组合编号无效",IF(COUNTIFS(FunctionMatrix[编号],E760)=0,"功能编号无效",IF(H760="不适用",IF(J760="已实测","适用性冲突",IF(I760="","待补不适用依据","不适用（非实测）")),IF(J760="阻塞",IF(I760="","待补阻塞原因","阻塞（非实测）"),IF(J760&lt;&gt;"已实测",IF(F760="","待展开路径","未实测"),IF(H760&lt;&gt;"适用","待确认适用性",IF(INDEX(Equipment[登记状态（自动）],MATCH(B760,Equipment[组合编号],0))&lt;&gt;"已登记","待补设备组合",IF(AND(F760&lt;&gt;"",G760&lt;&gt;"",K760&lt;&gt;"",L760&lt;&gt;"",M760&lt;&gt;"",N760&lt;&gt;"",ISNUMBER(O760),O760&gt;0,P760&lt;&gt;""),"记录齐全","待补实测记录")))))))))))</x:f>
        <x:v>待展开路径</x:v>
      </x:c>
    </x:row>
    <x:row r="761" ht="43.5" customHeight="1">
      <x:c r="A761" s="20" t="str">
        <x:v>REC-00752</x:v>
      </x:c>
      <x:c r="B761" s="20" t="str">
        <x:v>P2-B3-01</x:v>
      </x:c>
      <x:c r="C761" s="30" t="str">
        <x:f>IF(B761="","",IF(COUNTIFS(Equipment[组合编号],B761)&lt;&gt;1,"组合编号无效",INDEX(Equipment[PLC组],MATCH(B761,Equipment[组合编号],0))))</x:f>
        <x:v>汇川中大型</x:v>
      </x:c>
      <x:c r="D761" s="30" t="str">
        <x:f>IF(B761="","",IF(COUNTIFS(Equipment[组合编号],B761)&lt;&gt;1,"组合编号无效",INDEX(Equipment[驱动品牌],MATCH(B761,Equipment[组合编号],0))))</x:f>
        <x:v>繁易</x:v>
      </x:c>
      <x:c r="E761" s="20" t="str">
        <x:v>D01</x:v>
      </x:c>
      <x:c r="F761" s="20"/>
      <x:c r="G761" s="20"/>
      <x:c r="H761" s="20" t="str">
        <x:v>待判定</x:v>
      </x:c>
      <x:c r="I761" s="20"/>
      <x:c r="J761" s="20" t="str">
        <x:v>未测试</x:v>
      </x:c>
      <x:c r="K761" s="20"/>
      <x:c r="L761" s="20"/>
      <x:c r="M761" s="20"/>
      <x:c r="N761" s="20"/>
      <x:c r="O761" s="31"/>
      <x:c r="P761" s="20"/>
      <x:c r="Q761" s="20"/>
      <x:c r="R761" s="20" t="str">
        <x:v>待展开</x:v>
      </x:c>
      <x:c r="S761" s="20"/>
      <x:c r="T761" s="31"/>
      <x:c r="U761" s="30" t="str">
        <x:f>IF(A761="","缺记录编号",IF(COUNTIFS(PathRecords[记录编号],A761)&lt;&gt;1,"记录编号重复",IF(OR(B761="",E761=""),"缺组合/功能",IF(COUNTIFS(Equipment[组合编号],B761)&lt;&gt;1,"组合编号无效",IF(COUNTIFS(FunctionMatrix[编号],E761)=0,"功能编号无效",IF(H761="不适用",IF(J761="已实测","适用性冲突",IF(I761="","待补不适用依据","不适用（非实测）")),IF(J761="阻塞",IF(I761="","待补阻塞原因","阻塞（非实测）"),IF(J761&lt;&gt;"已实测",IF(F761="","待展开路径","未实测"),IF(H761&lt;&gt;"适用","待确认适用性",IF(INDEX(Equipment[登记状态（自动）],MATCH(B761,Equipment[组合编号],0))&lt;&gt;"已登记","待补设备组合",IF(AND(F761&lt;&gt;"",G761&lt;&gt;"",K761&lt;&gt;"",L761&lt;&gt;"",M761&lt;&gt;"",N761&lt;&gt;"",ISNUMBER(O761),O761&gt;0,P761&lt;&gt;""),"记录齐全","待补实测记录")))))))))))</x:f>
        <x:v>待展开路径</x:v>
      </x:c>
    </x:row>
    <x:row r="762" ht="43.5" customHeight="1">
      <x:c r="A762" s="20" t="str">
        <x:v>REC-00753</x:v>
      </x:c>
      <x:c r="B762" s="20" t="str">
        <x:v>P2-B3-01</x:v>
      </x:c>
      <x:c r="C762" s="30" t="str">
        <x:f>IF(B762="","",IF(COUNTIFS(Equipment[组合编号],B762)&lt;&gt;1,"组合编号无效",INDEX(Equipment[PLC组],MATCH(B762,Equipment[组合编号],0))))</x:f>
        <x:v>汇川中大型</x:v>
      </x:c>
      <x:c r="D762" s="30" t="str">
        <x:f>IF(B762="","",IF(COUNTIFS(Equipment[组合编号],B762)&lt;&gt;1,"组合编号无效",INDEX(Equipment[驱动品牌],MATCH(B762,Equipment[组合编号],0))))</x:f>
        <x:v>繁易</x:v>
      </x:c>
      <x:c r="E762" s="20" t="str">
        <x:v>D02</x:v>
      </x:c>
      <x:c r="F762" s="20"/>
      <x:c r="G762" s="20"/>
      <x:c r="H762" s="20" t="str">
        <x:v>待判定</x:v>
      </x:c>
      <x:c r="I762" s="20"/>
      <x:c r="J762" s="20" t="str">
        <x:v>未测试</x:v>
      </x:c>
      <x:c r="K762" s="20"/>
      <x:c r="L762" s="20"/>
      <x:c r="M762" s="20"/>
      <x:c r="N762" s="20"/>
      <x:c r="O762" s="31"/>
      <x:c r="P762" s="20"/>
      <x:c r="Q762" s="20"/>
      <x:c r="R762" s="20" t="str">
        <x:v>待展开</x:v>
      </x:c>
      <x:c r="S762" s="20"/>
      <x:c r="T762" s="31"/>
      <x:c r="U762" s="30" t="str">
        <x:f>IF(A762="","缺记录编号",IF(COUNTIFS(PathRecords[记录编号],A762)&lt;&gt;1,"记录编号重复",IF(OR(B762="",E762=""),"缺组合/功能",IF(COUNTIFS(Equipment[组合编号],B762)&lt;&gt;1,"组合编号无效",IF(COUNTIFS(FunctionMatrix[编号],E762)=0,"功能编号无效",IF(H762="不适用",IF(J762="已实测","适用性冲突",IF(I762="","待补不适用依据","不适用（非实测）")),IF(J762="阻塞",IF(I762="","待补阻塞原因","阻塞（非实测）"),IF(J762&lt;&gt;"已实测",IF(F762="","待展开路径","未实测"),IF(H762&lt;&gt;"适用","待确认适用性",IF(INDEX(Equipment[登记状态（自动）],MATCH(B762,Equipment[组合编号],0))&lt;&gt;"已登记","待补设备组合",IF(AND(F762&lt;&gt;"",G762&lt;&gt;"",K762&lt;&gt;"",L762&lt;&gt;"",M762&lt;&gt;"",N762&lt;&gt;"",ISNUMBER(O762),O762&gt;0,P762&lt;&gt;""),"记录齐全","待补实测记录")))))))))))</x:f>
        <x:v>待展开路径</x:v>
      </x:c>
    </x:row>
    <x:row r="763" ht="43.5" customHeight="1">
      <x:c r="A763" s="20" t="str">
        <x:v>REC-00754</x:v>
      </x:c>
      <x:c r="B763" s="20" t="str">
        <x:v>P2-B3-01</x:v>
      </x:c>
      <x:c r="C763" s="30" t="str">
        <x:f>IF(B763="","",IF(COUNTIFS(Equipment[组合编号],B763)&lt;&gt;1,"组合编号无效",INDEX(Equipment[PLC组],MATCH(B763,Equipment[组合编号],0))))</x:f>
        <x:v>汇川中大型</x:v>
      </x:c>
      <x:c r="D763" s="30" t="str">
        <x:f>IF(B763="","",IF(COUNTIFS(Equipment[组合编号],B763)&lt;&gt;1,"组合编号无效",INDEX(Equipment[驱动品牌],MATCH(B763,Equipment[组合编号],0))))</x:f>
        <x:v>繁易</x:v>
      </x:c>
      <x:c r="E763" s="20" t="str">
        <x:v>D03</x:v>
      </x:c>
      <x:c r="F763" s="20"/>
      <x:c r="G763" s="20"/>
      <x:c r="H763" s="20" t="str">
        <x:v>待判定</x:v>
      </x:c>
      <x:c r="I763" s="20"/>
      <x:c r="J763" s="20" t="str">
        <x:v>未测试</x:v>
      </x:c>
      <x:c r="K763" s="20"/>
      <x:c r="L763" s="20"/>
      <x:c r="M763" s="20"/>
      <x:c r="N763" s="20"/>
      <x:c r="O763" s="31"/>
      <x:c r="P763" s="20"/>
      <x:c r="Q763" s="20"/>
      <x:c r="R763" s="20" t="str">
        <x:v>待展开</x:v>
      </x:c>
      <x:c r="S763" s="20"/>
      <x:c r="T763" s="31"/>
      <x:c r="U763" s="30" t="str">
        <x:f>IF(A763="","缺记录编号",IF(COUNTIFS(PathRecords[记录编号],A763)&lt;&gt;1,"记录编号重复",IF(OR(B763="",E763=""),"缺组合/功能",IF(COUNTIFS(Equipment[组合编号],B763)&lt;&gt;1,"组合编号无效",IF(COUNTIFS(FunctionMatrix[编号],E763)=0,"功能编号无效",IF(H763="不适用",IF(J763="已实测","适用性冲突",IF(I763="","待补不适用依据","不适用（非实测）")),IF(J763="阻塞",IF(I763="","待补阻塞原因","阻塞（非实测）"),IF(J763&lt;&gt;"已实测",IF(F763="","待展开路径","未实测"),IF(H763&lt;&gt;"适用","待确认适用性",IF(INDEX(Equipment[登记状态（自动）],MATCH(B763,Equipment[组合编号],0))&lt;&gt;"已登记","待补设备组合",IF(AND(F763&lt;&gt;"",G763&lt;&gt;"",K763&lt;&gt;"",L763&lt;&gt;"",M763&lt;&gt;"",N763&lt;&gt;"",ISNUMBER(O763),O763&gt;0,P763&lt;&gt;""),"记录齐全","待补实测记录")))))))))))</x:f>
        <x:v>待展开路径</x:v>
      </x:c>
    </x:row>
    <x:row r="764" ht="43.5" customHeight="1">
      <x:c r="A764" s="20" t="str">
        <x:v>REC-00755</x:v>
      </x:c>
      <x:c r="B764" s="20" t="str">
        <x:v>P2-B3-01</x:v>
      </x:c>
      <x:c r="C764" s="30" t="str">
        <x:f>IF(B764="","",IF(COUNTIFS(Equipment[组合编号],B764)&lt;&gt;1,"组合编号无效",INDEX(Equipment[PLC组],MATCH(B764,Equipment[组合编号],0))))</x:f>
        <x:v>汇川中大型</x:v>
      </x:c>
      <x:c r="D764" s="30" t="str">
        <x:f>IF(B764="","",IF(COUNTIFS(Equipment[组合编号],B764)&lt;&gt;1,"组合编号无效",INDEX(Equipment[驱动品牌],MATCH(B764,Equipment[组合编号],0))))</x:f>
        <x:v>繁易</x:v>
      </x:c>
      <x:c r="E764" s="20" t="str">
        <x:v>D04</x:v>
      </x:c>
      <x:c r="F764" s="20"/>
      <x:c r="G764" s="20"/>
      <x:c r="H764" s="20" t="str">
        <x:v>待判定</x:v>
      </x:c>
      <x:c r="I764" s="20"/>
      <x:c r="J764" s="20" t="str">
        <x:v>未测试</x:v>
      </x:c>
      <x:c r="K764" s="20"/>
      <x:c r="L764" s="20"/>
      <x:c r="M764" s="20"/>
      <x:c r="N764" s="20"/>
      <x:c r="O764" s="31"/>
      <x:c r="P764" s="20"/>
      <x:c r="Q764" s="20"/>
      <x:c r="R764" s="20" t="str">
        <x:v>待展开</x:v>
      </x:c>
      <x:c r="S764" s="20"/>
      <x:c r="T764" s="31"/>
      <x:c r="U764" s="30" t="str">
        <x:f>IF(A764="","缺记录编号",IF(COUNTIFS(PathRecords[记录编号],A764)&lt;&gt;1,"记录编号重复",IF(OR(B764="",E764=""),"缺组合/功能",IF(COUNTIFS(Equipment[组合编号],B764)&lt;&gt;1,"组合编号无效",IF(COUNTIFS(FunctionMatrix[编号],E764)=0,"功能编号无效",IF(H764="不适用",IF(J764="已实测","适用性冲突",IF(I764="","待补不适用依据","不适用（非实测）")),IF(J764="阻塞",IF(I764="","待补阻塞原因","阻塞（非实测）"),IF(J764&lt;&gt;"已实测",IF(F764="","待展开路径","未实测"),IF(H764&lt;&gt;"适用","待确认适用性",IF(INDEX(Equipment[登记状态（自动）],MATCH(B764,Equipment[组合编号],0))&lt;&gt;"已登记","待补设备组合",IF(AND(F764&lt;&gt;"",G764&lt;&gt;"",K764&lt;&gt;"",L764&lt;&gt;"",M764&lt;&gt;"",N764&lt;&gt;"",ISNUMBER(O764),O764&gt;0,P764&lt;&gt;""),"记录齐全","待补实测记录")))))))))))</x:f>
        <x:v>待展开路径</x:v>
      </x:c>
    </x:row>
    <x:row r="765" ht="43.5" customHeight="1">
      <x:c r="A765" s="20" t="str">
        <x:v>REC-00756</x:v>
      </x:c>
      <x:c r="B765" s="20" t="str">
        <x:v>P2-B3-01</x:v>
      </x:c>
      <x:c r="C765" s="30" t="str">
        <x:f>IF(B765="","",IF(COUNTIFS(Equipment[组合编号],B765)&lt;&gt;1,"组合编号无效",INDEX(Equipment[PLC组],MATCH(B765,Equipment[组合编号],0))))</x:f>
        <x:v>汇川中大型</x:v>
      </x:c>
      <x:c r="D765" s="30" t="str">
        <x:f>IF(B765="","",IF(COUNTIFS(Equipment[组合编号],B765)&lt;&gt;1,"组合编号无效",INDEX(Equipment[驱动品牌],MATCH(B765,Equipment[组合编号],0))))</x:f>
        <x:v>繁易</x:v>
      </x:c>
      <x:c r="E765" s="20" t="str">
        <x:v>D05</x:v>
      </x:c>
      <x:c r="F765" s="20"/>
      <x:c r="G765" s="20"/>
      <x:c r="H765" s="20" t="str">
        <x:v>待判定</x:v>
      </x:c>
      <x:c r="I765" s="20"/>
      <x:c r="J765" s="20" t="str">
        <x:v>未测试</x:v>
      </x:c>
      <x:c r="K765" s="20"/>
      <x:c r="L765" s="20"/>
      <x:c r="M765" s="20"/>
      <x:c r="N765" s="20"/>
      <x:c r="O765" s="31"/>
      <x:c r="P765" s="20"/>
      <x:c r="Q765" s="20"/>
      <x:c r="R765" s="20" t="str">
        <x:v>待展开</x:v>
      </x:c>
      <x:c r="S765" s="20"/>
      <x:c r="T765" s="31"/>
      <x:c r="U765" s="30" t="str">
        <x:f>IF(A765="","缺记录编号",IF(COUNTIFS(PathRecords[记录编号],A765)&lt;&gt;1,"记录编号重复",IF(OR(B765="",E765=""),"缺组合/功能",IF(COUNTIFS(Equipment[组合编号],B765)&lt;&gt;1,"组合编号无效",IF(COUNTIFS(FunctionMatrix[编号],E765)=0,"功能编号无效",IF(H765="不适用",IF(J765="已实测","适用性冲突",IF(I765="","待补不适用依据","不适用（非实测）")),IF(J765="阻塞",IF(I765="","待补阻塞原因","阻塞（非实测）"),IF(J765&lt;&gt;"已实测",IF(F765="","待展开路径","未实测"),IF(H765&lt;&gt;"适用","待确认适用性",IF(INDEX(Equipment[登记状态（自动）],MATCH(B765,Equipment[组合编号],0))&lt;&gt;"已登记","待补设备组合",IF(AND(F765&lt;&gt;"",G765&lt;&gt;"",K765&lt;&gt;"",L765&lt;&gt;"",M765&lt;&gt;"",N765&lt;&gt;"",ISNUMBER(O765),O765&gt;0,P765&lt;&gt;""),"记录齐全","待补实测记录")))))))))))</x:f>
        <x:v>待展开路径</x:v>
      </x:c>
    </x:row>
    <x:row r="766" ht="43.5" customHeight="1">
      <x:c r="A766" s="20" t="str">
        <x:v>REC-00757</x:v>
      </x:c>
      <x:c r="B766" s="20" t="str">
        <x:v>P2-B3-01</x:v>
      </x:c>
      <x:c r="C766" s="30" t="str">
        <x:f>IF(B766="","",IF(COUNTIFS(Equipment[组合编号],B766)&lt;&gt;1,"组合编号无效",INDEX(Equipment[PLC组],MATCH(B766,Equipment[组合编号],0))))</x:f>
        <x:v>汇川中大型</x:v>
      </x:c>
      <x:c r="D766" s="30" t="str">
        <x:f>IF(B766="","",IF(COUNTIFS(Equipment[组合编号],B766)&lt;&gt;1,"组合编号无效",INDEX(Equipment[驱动品牌],MATCH(B766,Equipment[组合编号],0))))</x:f>
        <x:v>繁易</x:v>
      </x:c>
      <x:c r="E766" s="20" t="str">
        <x:v>D06</x:v>
      </x:c>
      <x:c r="F766" s="20"/>
      <x:c r="G766" s="20"/>
      <x:c r="H766" s="20" t="str">
        <x:v>待判定</x:v>
      </x:c>
      <x:c r="I766" s="20"/>
      <x:c r="J766" s="20" t="str">
        <x:v>未测试</x:v>
      </x:c>
      <x:c r="K766" s="20"/>
      <x:c r="L766" s="20"/>
      <x:c r="M766" s="20"/>
      <x:c r="N766" s="20"/>
      <x:c r="O766" s="31"/>
      <x:c r="P766" s="20"/>
      <x:c r="Q766" s="20"/>
      <x:c r="R766" s="20" t="str">
        <x:v>待展开</x:v>
      </x:c>
      <x:c r="S766" s="20"/>
      <x:c r="T766" s="31"/>
      <x:c r="U766" s="30" t="str">
        <x:f>IF(A766="","缺记录编号",IF(COUNTIFS(PathRecords[记录编号],A766)&lt;&gt;1,"记录编号重复",IF(OR(B766="",E766=""),"缺组合/功能",IF(COUNTIFS(Equipment[组合编号],B766)&lt;&gt;1,"组合编号无效",IF(COUNTIFS(FunctionMatrix[编号],E766)=0,"功能编号无效",IF(H766="不适用",IF(J766="已实测","适用性冲突",IF(I766="","待补不适用依据","不适用（非实测）")),IF(J766="阻塞",IF(I766="","待补阻塞原因","阻塞（非实测）"),IF(J766&lt;&gt;"已实测",IF(F766="","待展开路径","未实测"),IF(H766&lt;&gt;"适用","待确认适用性",IF(INDEX(Equipment[登记状态（自动）],MATCH(B766,Equipment[组合编号],0))&lt;&gt;"已登记","待补设备组合",IF(AND(F766&lt;&gt;"",G766&lt;&gt;"",K766&lt;&gt;"",L766&lt;&gt;"",M766&lt;&gt;"",N766&lt;&gt;"",ISNUMBER(O766),O766&gt;0,P766&lt;&gt;""),"记录齐全","待补实测记录")))))))))))</x:f>
        <x:v>待展开路径</x:v>
      </x:c>
    </x:row>
    <x:row r="767" ht="43.5" customHeight="1">
      <x:c r="A767" s="20" t="str">
        <x:v>REC-00758</x:v>
      </x:c>
      <x:c r="B767" s="20" t="str">
        <x:v>P2-B3-01</x:v>
      </x:c>
      <x:c r="C767" s="30" t="str">
        <x:f>IF(B767="","",IF(COUNTIFS(Equipment[组合编号],B767)&lt;&gt;1,"组合编号无效",INDEX(Equipment[PLC组],MATCH(B767,Equipment[组合编号],0))))</x:f>
        <x:v>汇川中大型</x:v>
      </x:c>
      <x:c r="D767" s="30" t="str">
        <x:f>IF(B767="","",IF(COUNTIFS(Equipment[组合编号],B767)&lt;&gt;1,"组合编号无效",INDEX(Equipment[驱动品牌],MATCH(B767,Equipment[组合编号],0))))</x:f>
        <x:v>繁易</x:v>
      </x:c>
      <x:c r="E767" s="20" t="str">
        <x:v>D07</x:v>
      </x:c>
      <x:c r="F767" s="20"/>
      <x:c r="G767" s="20"/>
      <x:c r="H767" s="20" t="str">
        <x:v>待判定</x:v>
      </x:c>
      <x:c r="I767" s="20"/>
      <x:c r="J767" s="20" t="str">
        <x:v>未测试</x:v>
      </x:c>
      <x:c r="K767" s="20"/>
      <x:c r="L767" s="20"/>
      <x:c r="M767" s="20"/>
      <x:c r="N767" s="20"/>
      <x:c r="O767" s="31"/>
      <x:c r="P767" s="20"/>
      <x:c r="Q767" s="20"/>
      <x:c r="R767" s="20" t="str">
        <x:v>待展开</x:v>
      </x:c>
      <x:c r="S767" s="20"/>
      <x:c r="T767" s="31"/>
      <x:c r="U767" s="30" t="str">
        <x:f>IF(A767="","缺记录编号",IF(COUNTIFS(PathRecords[记录编号],A767)&lt;&gt;1,"记录编号重复",IF(OR(B767="",E767=""),"缺组合/功能",IF(COUNTIFS(Equipment[组合编号],B767)&lt;&gt;1,"组合编号无效",IF(COUNTIFS(FunctionMatrix[编号],E767)=0,"功能编号无效",IF(H767="不适用",IF(J767="已实测","适用性冲突",IF(I767="","待补不适用依据","不适用（非实测）")),IF(J767="阻塞",IF(I767="","待补阻塞原因","阻塞（非实测）"),IF(J767&lt;&gt;"已实测",IF(F767="","待展开路径","未实测"),IF(H767&lt;&gt;"适用","待确认适用性",IF(INDEX(Equipment[登记状态（自动）],MATCH(B767,Equipment[组合编号],0))&lt;&gt;"已登记","待补设备组合",IF(AND(F767&lt;&gt;"",G767&lt;&gt;"",K767&lt;&gt;"",L767&lt;&gt;"",M767&lt;&gt;"",N767&lt;&gt;"",ISNUMBER(O767),O767&gt;0,P767&lt;&gt;""),"记录齐全","待补实测记录")))))))))))</x:f>
        <x:v>待展开路径</x:v>
      </x:c>
    </x:row>
    <x:row r="768" ht="43.5" customHeight="1">
      <x:c r="A768" s="20" t="str">
        <x:v>REC-00759</x:v>
      </x:c>
      <x:c r="B768" s="20" t="str">
        <x:v>P2-B3-01</x:v>
      </x:c>
      <x:c r="C768" s="30" t="str">
        <x:f>IF(B768="","",IF(COUNTIFS(Equipment[组合编号],B768)&lt;&gt;1,"组合编号无效",INDEX(Equipment[PLC组],MATCH(B768,Equipment[组合编号],0))))</x:f>
        <x:v>汇川中大型</x:v>
      </x:c>
      <x:c r="D768" s="30" t="str">
        <x:f>IF(B768="","",IF(COUNTIFS(Equipment[组合编号],B768)&lt;&gt;1,"组合编号无效",INDEX(Equipment[驱动品牌],MATCH(B768,Equipment[组合编号],0))))</x:f>
        <x:v>繁易</x:v>
      </x:c>
      <x:c r="E768" s="20" t="str">
        <x:v>D08</x:v>
      </x:c>
      <x:c r="F768" s="20"/>
      <x:c r="G768" s="20"/>
      <x:c r="H768" s="20" t="str">
        <x:v>待判定</x:v>
      </x:c>
      <x:c r="I768" s="20"/>
      <x:c r="J768" s="20" t="str">
        <x:v>未测试</x:v>
      </x:c>
      <x:c r="K768" s="20"/>
      <x:c r="L768" s="20"/>
      <x:c r="M768" s="20"/>
      <x:c r="N768" s="20"/>
      <x:c r="O768" s="31"/>
      <x:c r="P768" s="20"/>
      <x:c r="Q768" s="20"/>
      <x:c r="R768" s="20" t="str">
        <x:v>待展开</x:v>
      </x:c>
      <x:c r="S768" s="20"/>
      <x:c r="T768" s="31"/>
      <x:c r="U768" s="30" t="str">
        <x:f>IF(A768="","缺记录编号",IF(COUNTIFS(PathRecords[记录编号],A768)&lt;&gt;1,"记录编号重复",IF(OR(B768="",E768=""),"缺组合/功能",IF(COUNTIFS(Equipment[组合编号],B768)&lt;&gt;1,"组合编号无效",IF(COUNTIFS(FunctionMatrix[编号],E768)=0,"功能编号无效",IF(H768="不适用",IF(J768="已实测","适用性冲突",IF(I768="","待补不适用依据","不适用（非实测）")),IF(J768="阻塞",IF(I768="","待补阻塞原因","阻塞（非实测）"),IF(J768&lt;&gt;"已实测",IF(F768="","待展开路径","未实测"),IF(H768&lt;&gt;"适用","待确认适用性",IF(INDEX(Equipment[登记状态（自动）],MATCH(B768,Equipment[组合编号],0))&lt;&gt;"已登记","待补设备组合",IF(AND(F768&lt;&gt;"",G768&lt;&gt;"",K768&lt;&gt;"",L768&lt;&gt;"",M768&lt;&gt;"",N768&lt;&gt;"",ISNUMBER(O768),O768&gt;0,P768&lt;&gt;""),"记录齐全","待补实测记录")))))))))))</x:f>
        <x:v>待展开路径</x:v>
      </x:c>
    </x:row>
    <x:row r="769" ht="43.5" customHeight="1">
      <x:c r="A769" s="20" t="str">
        <x:v>REC-00760</x:v>
      </x:c>
      <x:c r="B769" s="20" t="str">
        <x:v>P2-B3-01</x:v>
      </x:c>
      <x:c r="C769" s="30" t="str">
        <x:f>IF(B769="","",IF(COUNTIFS(Equipment[组合编号],B769)&lt;&gt;1,"组合编号无效",INDEX(Equipment[PLC组],MATCH(B769,Equipment[组合编号],0))))</x:f>
        <x:v>汇川中大型</x:v>
      </x:c>
      <x:c r="D769" s="30" t="str">
        <x:f>IF(B769="","",IF(COUNTIFS(Equipment[组合编号],B769)&lt;&gt;1,"组合编号无效",INDEX(Equipment[驱动品牌],MATCH(B769,Equipment[组合编号],0))))</x:f>
        <x:v>繁易</x:v>
      </x:c>
      <x:c r="E769" s="20" t="str">
        <x:v>D09</x:v>
      </x:c>
      <x:c r="F769" s="20"/>
      <x:c r="G769" s="20"/>
      <x:c r="H769" s="20" t="str">
        <x:v>待判定</x:v>
      </x:c>
      <x:c r="I769" s="20"/>
      <x:c r="J769" s="20" t="str">
        <x:v>未测试</x:v>
      </x:c>
      <x:c r="K769" s="20"/>
      <x:c r="L769" s="20"/>
      <x:c r="M769" s="20"/>
      <x:c r="N769" s="20"/>
      <x:c r="O769" s="31"/>
      <x:c r="P769" s="20"/>
      <x:c r="Q769" s="20"/>
      <x:c r="R769" s="20" t="str">
        <x:v>待展开</x:v>
      </x:c>
      <x:c r="S769" s="20"/>
      <x:c r="T769" s="31"/>
      <x:c r="U769" s="30" t="str">
        <x:f>IF(A769="","缺记录编号",IF(COUNTIFS(PathRecords[记录编号],A769)&lt;&gt;1,"记录编号重复",IF(OR(B769="",E769=""),"缺组合/功能",IF(COUNTIFS(Equipment[组合编号],B769)&lt;&gt;1,"组合编号无效",IF(COUNTIFS(FunctionMatrix[编号],E769)=0,"功能编号无效",IF(H769="不适用",IF(J769="已实测","适用性冲突",IF(I769="","待补不适用依据","不适用（非实测）")),IF(J769="阻塞",IF(I769="","待补阻塞原因","阻塞（非实测）"),IF(J769&lt;&gt;"已实测",IF(F769="","待展开路径","未实测"),IF(H769&lt;&gt;"适用","待确认适用性",IF(INDEX(Equipment[登记状态（自动）],MATCH(B769,Equipment[组合编号],0))&lt;&gt;"已登记","待补设备组合",IF(AND(F769&lt;&gt;"",G769&lt;&gt;"",K769&lt;&gt;"",L769&lt;&gt;"",M769&lt;&gt;"",N769&lt;&gt;"",ISNUMBER(O769),O769&gt;0,P769&lt;&gt;""),"记录齐全","待补实测记录")))))))))))</x:f>
        <x:v>待展开路径</x:v>
      </x:c>
    </x:row>
    <x:row r="770" ht="43.5" customHeight="1">
      <x:c r="A770" s="20" t="str">
        <x:v>REC-00761</x:v>
      </x:c>
      <x:c r="B770" s="20" t="str">
        <x:v>P2-B3-01</x:v>
      </x:c>
      <x:c r="C770" s="30" t="str">
        <x:f>IF(B770="","",IF(COUNTIFS(Equipment[组合编号],B770)&lt;&gt;1,"组合编号无效",INDEX(Equipment[PLC组],MATCH(B770,Equipment[组合编号],0))))</x:f>
        <x:v>汇川中大型</x:v>
      </x:c>
      <x:c r="D770" s="30" t="str">
        <x:f>IF(B770="","",IF(COUNTIFS(Equipment[组合编号],B770)&lt;&gt;1,"组合编号无效",INDEX(Equipment[驱动品牌],MATCH(B770,Equipment[组合编号],0))))</x:f>
        <x:v>繁易</x:v>
      </x:c>
      <x:c r="E770" s="20" t="str">
        <x:v>S01</x:v>
      </x:c>
      <x:c r="F770" s="20"/>
      <x:c r="G770" s="20"/>
      <x:c r="H770" s="20" t="str">
        <x:v>待判定</x:v>
      </x:c>
      <x:c r="I770" s="20"/>
      <x:c r="J770" s="20" t="str">
        <x:v>未测试</x:v>
      </x:c>
      <x:c r="K770" s="20"/>
      <x:c r="L770" s="20"/>
      <x:c r="M770" s="20"/>
      <x:c r="N770" s="20"/>
      <x:c r="O770" s="31"/>
      <x:c r="P770" s="20"/>
      <x:c r="Q770" s="20"/>
      <x:c r="R770" s="20" t="str">
        <x:v>待展开</x:v>
      </x:c>
      <x:c r="S770" s="20"/>
      <x:c r="T770" s="31"/>
      <x:c r="U770" s="30" t="str">
        <x:f>IF(A770="","缺记录编号",IF(COUNTIFS(PathRecords[记录编号],A770)&lt;&gt;1,"记录编号重复",IF(OR(B770="",E770=""),"缺组合/功能",IF(COUNTIFS(Equipment[组合编号],B770)&lt;&gt;1,"组合编号无效",IF(COUNTIFS(FunctionMatrix[编号],E770)=0,"功能编号无效",IF(H770="不适用",IF(J770="已实测","适用性冲突",IF(I770="","待补不适用依据","不适用（非实测）")),IF(J770="阻塞",IF(I770="","待补阻塞原因","阻塞（非实测）"),IF(J770&lt;&gt;"已实测",IF(F770="","待展开路径","未实测"),IF(H770&lt;&gt;"适用","待确认适用性",IF(INDEX(Equipment[登记状态（自动）],MATCH(B770,Equipment[组合编号],0))&lt;&gt;"已登记","待补设备组合",IF(AND(F770&lt;&gt;"",G770&lt;&gt;"",K770&lt;&gt;"",L770&lt;&gt;"",M770&lt;&gt;"",N770&lt;&gt;"",ISNUMBER(O770),O770&gt;0,P770&lt;&gt;""),"记录齐全","待补实测记录")))))))))))</x:f>
        <x:v>待展开路径</x:v>
      </x:c>
    </x:row>
    <x:row r="771" ht="43.5" customHeight="1">
      <x:c r="A771" s="20" t="str">
        <x:v>REC-00762</x:v>
      </x:c>
      <x:c r="B771" s="20" t="str">
        <x:v>P2-B3-01</x:v>
      </x:c>
      <x:c r="C771" s="30" t="str">
        <x:f>IF(B771="","",IF(COUNTIFS(Equipment[组合编号],B771)&lt;&gt;1,"组合编号无效",INDEX(Equipment[PLC组],MATCH(B771,Equipment[组合编号],0))))</x:f>
        <x:v>汇川中大型</x:v>
      </x:c>
      <x:c r="D771" s="30" t="str">
        <x:f>IF(B771="","",IF(COUNTIFS(Equipment[组合编号],B771)&lt;&gt;1,"组合编号无效",INDEX(Equipment[驱动品牌],MATCH(B771,Equipment[组合编号],0))))</x:f>
        <x:v>繁易</x:v>
      </x:c>
      <x:c r="E771" s="20" t="str">
        <x:v>S02</x:v>
      </x:c>
      <x:c r="F771" s="20"/>
      <x:c r="G771" s="20"/>
      <x:c r="H771" s="20" t="str">
        <x:v>待判定</x:v>
      </x:c>
      <x:c r="I771" s="20"/>
      <x:c r="J771" s="20" t="str">
        <x:v>未测试</x:v>
      </x:c>
      <x:c r="K771" s="20"/>
      <x:c r="L771" s="20"/>
      <x:c r="M771" s="20"/>
      <x:c r="N771" s="20"/>
      <x:c r="O771" s="31"/>
      <x:c r="P771" s="20"/>
      <x:c r="Q771" s="20"/>
      <x:c r="R771" s="20" t="str">
        <x:v>待展开</x:v>
      </x:c>
      <x:c r="S771" s="20"/>
      <x:c r="T771" s="31"/>
      <x:c r="U771" s="30" t="str">
        <x:f>IF(A771="","缺记录编号",IF(COUNTIFS(PathRecords[记录编号],A771)&lt;&gt;1,"记录编号重复",IF(OR(B771="",E771=""),"缺组合/功能",IF(COUNTIFS(Equipment[组合编号],B771)&lt;&gt;1,"组合编号无效",IF(COUNTIFS(FunctionMatrix[编号],E771)=0,"功能编号无效",IF(H771="不适用",IF(J771="已实测","适用性冲突",IF(I771="","待补不适用依据","不适用（非实测）")),IF(J771="阻塞",IF(I771="","待补阻塞原因","阻塞（非实测）"),IF(J771&lt;&gt;"已实测",IF(F771="","待展开路径","未实测"),IF(H771&lt;&gt;"适用","待确认适用性",IF(INDEX(Equipment[登记状态（自动）],MATCH(B771,Equipment[组合编号],0))&lt;&gt;"已登记","待补设备组合",IF(AND(F771&lt;&gt;"",G771&lt;&gt;"",K771&lt;&gt;"",L771&lt;&gt;"",M771&lt;&gt;"",N771&lt;&gt;"",ISNUMBER(O771),O771&gt;0,P771&lt;&gt;""),"记录齐全","待补实测记录")))))))))))</x:f>
        <x:v>待展开路径</x:v>
      </x:c>
    </x:row>
    <x:row r="772" ht="43.5" customHeight="1">
      <x:c r="A772" s="20" t="str">
        <x:v>REC-00763</x:v>
      </x:c>
      <x:c r="B772" s="20" t="str">
        <x:v>P2-B3-01</x:v>
      </x:c>
      <x:c r="C772" s="30" t="str">
        <x:f>IF(B772="","",IF(COUNTIFS(Equipment[组合编号],B772)&lt;&gt;1,"组合编号无效",INDEX(Equipment[PLC组],MATCH(B772,Equipment[组合编号],0))))</x:f>
        <x:v>汇川中大型</x:v>
      </x:c>
      <x:c r="D772" s="30" t="str">
        <x:f>IF(B772="","",IF(COUNTIFS(Equipment[组合编号],B772)&lt;&gt;1,"组合编号无效",INDEX(Equipment[驱动品牌],MATCH(B772,Equipment[组合编号],0))))</x:f>
        <x:v>繁易</x:v>
      </x:c>
      <x:c r="E772" s="20" t="str">
        <x:v>S03</x:v>
      </x:c>
      <x:c r="F772" s="20"/>
      <x:c r="G772" s="20"/>
      <x:c r="H772" s="20" t="str">
        <x:v>待判定</x:v>
      </x:c>
      <x:c r="I772" s="20"/>
      <x:c r="J772" s="20" t="str">
        <x:v>未测试</x:v>
      </x:c>
      <x:c r="K772" s="20"/>
      <x:c r="L772" s="20"/>
      <x:c r="M772" s="20"/>
      <x:c r="N772" s="20"/>
      <x:c r="O772" s="31"/>
      <x:c r="P772" s="20"/>
      <x:c r="Q772" s="20"/>
      <x:c r="R772" s="20" t="str">
        <x:v>待展开</x:v>
      </x:c>
      <x:c r="S772" s="20"/>
      <x:c r="T772" s="31"/>
      <x:c r="U772" s="30" t="str">
        <x:f>IF(A772="","缺记录编号",IF(COUNTIFS(PathRecords[记录编号],A772)&lt;&gt;1,"记录编号重复",IF(OR(B772="",E772=""),"缺组合/功能",IF(COUNTIFS(Equipment[组合编号],B772)&lt;&gt;1,"组合编号无效",IF(COUNTIFS(FunctionMatrix[编号],E772)=0,"功能编号无效",IF(H772="不适用",IF(J772="已实测","适用性冲突",IF(I772="","待补不适用依据","不适用（非实测）")),IF(J772="阻塞",IF(I772="","待补阻塞原因","阻塞（非实测）"),IF(J772&lt;&gt;"已实测",IF(F772="","待展开路径","未实测"),IF(H772&lt;&gt;"适用","待确认适用性",IF(INDEX(Equipment[登记状态（自动）],MATCH(B772,Equipment[组合编号],0))&lt;&gt;"已登记","待补设备组合",IF(AND(F772&lt;&gt;"",G772&lt;&gt;"",K772&lt;&gt;"",L772&lt;&gt;"",M772&lt;&gt;"",N772&lt;&gt;"",ISNUMBER(O772),O772&gt;0,P772&lt;&gt;""),"记录齐全","待补实测记录")))))))))))</x:f>
        <x:v>待展开路径</x:v>
      </x:c>
    </x:row>
    <x:row r="773" ht="43.5" customHeight="1">
      <x:c r="A773" s="20" t="str">
        <x:v>REC-00764</x:v>
      </x:c>
      <x:c r="B773" s="20" t="str">
        <x:v>P2-B3-01</x:v>
      </x:c>
      <x:c r="C773" s="30" t="str">
        <x:f>IF(B773="","",IF(COUNTIFS(Equipment[组合编号],B773)&lt;&gt;1,"组合编号无效",INDEX(Equipment[PLC组],MATCH(B773,Equipment[组合编号],0))))</x:f>
        <x:v>汇川中大型</x:v>
      </x:c>
      <x:c r="D773" s="30" t="str">
        <x:f>IF(B773="","",IF(COUNTIFS(Equipment[组合编号],B773)&lt;&gt;1,"组合编号无效",INDEX(Equipment[驱动品牌],MATCH(B773,Equipment[组合编号],0))))</x:f>
        <x:v>繁易</x:v>
      </x:c>
      <x:c r="E773" s="20" t="str">
        <x:v>S04</x:v>
      </x:c>
      <x:c r="F773" s="20"/>
      <x:c r="G773" s="20"/>
      <x:c r="H773" s="20" t="str">
        <x:v>待判定</x:v>
      </x:c>
      <x:c r="I773" s="20"/>
      <x:c r="J773" s="20" t="str">
        <x:v>未测试</x:v>
      </x:c>
      <x:c r="K773" s="20"/>
      <x:c r="L773" s="20"/>
      <x:c r="M773" s="20"/>
      <x:c r="N773" s="20"/>
      <x:c r="O773" s="31"/>
      <x:c r="P773" s="20"/>
      <x:c r="Q773" s="20"/>
      <x:c r="R773" s="20" t="str">
        <x:v>待展开</x:v>
      </x:c>
      <x:c r="S773" s="20"/>
      <x:c r="T773" s="31"/>
      <x:c r="U773" s="30" t="str">
        <x:f>IF(A773="","缺记录编号",IF(COUNTIFS(PathRecords[记录编号],A773)&lt;&gt;1,"记录编号重复",IF(OR(B773="",E773=""),"缺组合/功能",IF(COUNTIFS(Equipment[组合编号],B773)&lt;&gt;1,"组合编号无效",IF(COUNTIFS(FunctionMatrix[编号],E773)=0,"功能编号无效",IF(H773="不适用",IF(J773="已实测","适用性冲突",IF(I773="","待补不适用依据","不适用（非实测）")),IF(J773="阻塞",IF(I773="","待补阻塞原因","阻塞（非实测）"),IF(J773&lt;&gt;"已实测",IF(F773="","待展开路径","未实测"),IF(H773&lt;&gt;"适用","待确认适用性",IF(INDEX(Equipment[登记状态（自动）],MATCH(B773,Equipment[组合编号],0))&lt;&gt;"已登记","待补设备组合",IF(AND(F773&lt;&gt;"",G773&lt;&gt;"",K773&lt;&gt;"",L773&lt;&gt;"",M773&lt;&gt;"",N773&lt;&gt;"",ISNUMBER(O773),O773&gt;0,P773&lt;&gt;""),"记录齐全","待补实测记录")))))))))))</x:f>
        <x:v>待展开路径</x:v>
      </x:c>
    </x:row>
    <x:row r="774" ht="43.5" customHeight="1">
      <x:c r="A774" s="20" t="str">
        <x:v>REC-00765</x:v>
      </x:c>
      <x:c r="B774" s="20" t="str">
        <x:v>P2-B3-01</x:v>
      </x:c>
      <x:c r="C774" s="30" t="str">
        <x:f>IF(B774="","",IF(COUNTIFS(Equipment[组合编号],B774)&lt;&gt;1,"组合编号无效",INDEX(Equipment[PLC组],MATCH(B774,Equipment[组合编号],0))))</x:f>
        <x:v>汇川中大型</x:v>
      </x:c>
      <x:c r="D774" s="30" t="str">
        <x:f>IF(B774="","",IF(COUNTIFS(Equipment[组合编号],B774)&lt;&gt;1,"组合编号无效",INDEX(Equipment[驱动品牌],MATCH(B774,Equipment[组合编号],0))))</x:f>
        <x:v>繁易</x:v>
      </x:c>
      <x:c r="E774" s="20" t="str">
        <x:v>S05</x:v>
      </x:c>
      <x:c r="F774" s="20"/>
      <x:c r="G774" s="20"/>
      <x:c r="H774" s="20" t="str">
        <x:v>待判定</x:v>
      </x:c>
      <x:c r="I774" s="20"/>
      <x:c r="J774" s="20" t="str">
        <x:v>未测试</x:v>
      </x:c>
      <x:c r="K774" s="20"/>
      <x:c r="L774" s="20"/>
      <x:c r="M774" s="20"/>
      <x:c r="N774" s="20"/>
      <x:c r="O774" s="31"/>
      <x:c r="P774" s="20"/>
      <x:c r="Q774" s="20"/>
      <x:c r="R774" s="20" t="str">
        <x:v>待展开</x:v>
      </x:c>
      <x:c r="S774" s="20"/>
      <x:c r="T774" s="31"/>
      <x:c r="U774" s="30" t="str">
        <x:f>IF(A774="","缺记录编号",IF(COUNTIFS(PathRecords[记录编号],A774)&lt;&gt;1,"记录编号重复",IF(OR(B774="",E774=""),"缺组合/功能",IF(COUNTIFS(Equipment[组合编号],B774)&lt;&gt;1,"组合编号无效",IF(COUNTIFS(FunctionMatrix[编号],E774)=0,"功能编号无效",IF(H774="不适用",IF(J774="已实测","适用性冲突",IF(I774="","待补不适用依据","不适用（非实测）")),IF(J774="阻塞",IF(I774="","待补阻塞原因","阻塞（非实测）"),IF(J774&lt;&gt;"已实测",IF(F774="","待展开路径","未实测"),IF(H774&lt;&gt;"适用","待确认适用性",IF(INDEX(Equipment[登记状态（自动）],MATCH(B774,Equipment[组合编号],0))&lt;&gt;"已登记","待补设备组合",IF(AND(F774&lt;&gt;"",G774&lt;&gt;"",K774&lt;&gt;"",L774&lt;&gt;"",M774&lt;&gt;"",N774&lt;&gt;"",ISNUMBER(O774),O774&gt;0,P774&lt;&gt;""),"记录齐全","待补实测记录")))))))))))</x:f>
        <x:v>待展开路径</x:v>
      </x:c>
    </x:row>
    <x:row r="775" ht="43.5" customHeight="1">
      <x:c r="A775" s="20" t="str">
        <x:v>REC-00766</x:v>
      </x:c>
      <x:c r="B775" s="20" t="str">
        <x:v>P2-B3-01</x:v>
      </x:c>
      <x:c r="C775" s="30" t="str">
        <x:f>IF(B775="","",IF(COUNTIFS(Equipment[组合编号],B775)&lt;&gt;1,"组合编号无效",INDEX(Equipment[PLC组],MATCH(B775,Equipment[组合编号],0))))</x:f>
        <x:v>汇川中大型</x:v>
      </x:c>
      <x:c r="D775" s="30" t="str">
        <x:f>IF(B775="","",IF(COUNTIFS(Equipment[组合编号],B775)&lt;&gt;1,"组合编号无效",INDEX(Equipment[驱动品牌],MATCH(B775,Equipment[组合编号],0))))</x:f>
        <x:v>繁易</x:v>
      </x:c>
      <x:c r="E775" s="20" t="str">
        <x:v>S06</x:v>
      </x:c>
      <x:c r="F775" s="20"/>
      <x:c r="G775" s="20"/>
      <x:c r="H775" s="20" t="str">
        <x:v>待判定</x:v>
      </x:c>
      <x:c r="I775" s="20"/>
      <x:c r="J775" s="20" t="str">
        <x:v>未测试</x:v>
      </x:c>
      <x:c r="K775" s="20"/>
      <x:c r="L775" s="20"/>
      <x:c r="M775" s="20"/>
      <x:c r="N775" s="20"/>
      <x:c r="O775" s="31"/>
      <x:c r="P775" s="20"/>
      <x:c r="Q775" s="20"/>
      <x:c r="R775" s="20" t="str">
        <x:v>待展开</x:v>
      </x:c>
      <x:c r="S775" s="20"/>
      <x:c r="T775" s="31"/>
      <x:c r="U775" s="30" t="str">
        <x:f>IF(A775="","缺记录编号",IF(COUNTIFS(PathRecords[记录编号],A775)&lt;&gt;1,"记录编号重复",IF(OR(B775="",E775=""),"缺组合/功能",IF(COUNTIFS(Equipment[组合编号],B775)&lt;&gt;1,"组合编号无效",IF(COUNTIFS(FunctionMatrix[编号],E775)=0,"功能编号无效",IF(H775="不适用",IF(J775="已实测","适用性冲突",IF(I775="","待补不适用依据","不适用（非实测）")),IF(J775="阻塞",IF(I775="","待补阻塞原因","阻塞（非实测）"),IF(J775&lt;&gt;"已实测",IF(F775="","待展开路径","未实测"),IF(H775&lt;&gt;"适用","待确认适用性",IF(INDEX(Equipment[登记状态（自动）],MATCH(B775,Equipment[组合编号],0))&lt;&gt;"已登记","待补设备组合",IF(AND(F775&lt;&gt;"",G775&lt;&gt;"",K775&lt;&gt;"",L775&lt;&gt;"",M775&lt;&gt;"",N775&lt;&gt;"",ISNUMBER(O775),O775&gt;0,P775&lt;&gt;""),"记录齐全","待补实测记录")))))))))))</x:f>
        <x:v>待展开路径</x:v>
      </x:c>
    </x:row>
    <x:row r="776" ht="43.5" customHeight="1">
      <x:c r="A776" s="20" t="str">
        <x:v>REC-00767</x:v>
      </x:c>
      <x:c r="B776" s="20" t="str">
        <x:v>P2-B3-01</x:v>
      </x:c>
      <x:c r="C776" s="30" t="str">
        <x:f>IF(B776="","",IF(COUNTIFS(Equipment[组合编号],B776)&lt;&gt;1,"组合编号无效",INDEX(Equipment[PLC组],MATCH(B776,Equipment[组合编号],0))))</x:f>
        <x:v>汇川中大型</x:v>
      </x:c>
      <x:c r="D776" s="30" t="str">
        <x:f>IF(B776="","",IF(COUNTIFS(Equipment[组合编号],B776)&lt;&gt;1,"组合编号无效",INDEX(Equipment[驱动品牌],MATCH(B776,Equipment[组合编号],0))))</x:f>
        <x:v>繁易</x:v>
      </x:c>
      <x:c r="E776" s="20" t="str">
        <x:v>S07</x:v>
      </x:c>
      <x:c r="F776" s="20"/>
      <x:c r="G776" s="20"/>
      <x:c r="H776" s="20" t="str">
        <x:v>待判定</x:v>
      </x:c>
      <x:c r="I776" s="20"/>
      <x:c r="J776" s="20" t="str">
        <x:v>未测试</x:v>
      </x:c>
      <x:c r="K776" s="20"/>
      <x:c r="L776" s="20"/>
      <x:c r="M776" s="20"/>
      <x:c r="N776" s="20"/>
      <x:c r="O776" s="31"/>
      <x:c r="P776" s="20"/>
      <x:c r="Q776" s="20"/>
      <x:c r="R776" s="20" t="str">
        <x:v>待展开</x:v>
      </x:c>
      <x:c r="S776" s="20"/>
      <x:c r="T776" s="31"/>
      <x:c r="U776" s="30" t="str">
        <x:f>IF(A776="","缺记录编号",IF(COUNTIFS(PathRecords[记录编号],A776)&lt;&gt;1,"记录编号重复",IF(OR(B776="",E776=""),"缺组合/功能",IF(COUNTIFS(Equipment[组合编号],B776)&lt;&gt;1,"组合编号无效",IF(COUNTIFS(FunctionMatrix[编号],E776)=0,"功能编号无效",IF(H776="不适用",IF(J776="已实测","适用性冲突",IF(I776="","待补不适用依据","不适用（非实测）")),IF(J776="阻塞",IF(I776="","待补阻塞原因","阻塞（非实测）"),IF(J776&lt;&gt;"已实测",IF(F776="","待展开路径","未实测"),IF(H776&lt;&gt;"适用","待确认适用性",IF(INDEX(Equipment[登记状态（自动）],MATCH(B776,Equipment[组合编号],0))&lt;&gt;"已登记","待补设备组合",IF(AND(F776&lt;&gt;"",G776&lt;&gt;"",K776&lt;&gt;"",L776&lt;&gt;"",M776&lt;&gt;"",N776&lt;&gt;"",ISNUMBER(O776),O776&gt;0,P776&lt;&gt;""),"记录齐全","待补实测记录")))))))))))</x:f>
        <x:v>待展开路径</x:v>
      </x:c>
    </x:row>
    <x:row r="777" ht="43.5" customHeight="1">
      <x:c r="A777" s="20" t="str">
        <x:v>REC-00768</x:v>
      </x:c>
      <x:c r="B777" s="20" t="str">
        <x:v>P2-B3-01</x:v>
      </x:c>
      <x:c r="C777" s="30" t="str">
        <x:f>IF(B777="","",IF(COUNTIFS(Equipment[组合编号],B777)&lt;&gt;1,"组合编号无效",INDEX(Equipment[PLC组],MATCH(B777,Equipment[组合编号],0))))</x:f>
        <x:v>汇川中大型</x:v>
      </x:c>
      <x:c r="D777" s="30" t="str">
        <x:f>IF(B777="","",IF(COUNTIFS(Equipment[组合编号],B777)&lt;&gt;1,"组合编号无效",INDEX(Equipment[驱动品牌],MATCH(B777,Equipment[组合编号],0))))</x:f>
        <x:v>繁易</x:v>
      </x:c>
      <x:c r="E777" s="20" t="str">
        <x:v>S08</x:v>
      </x:c>
      <x:c r="F777" s="20"/>
      <x:c r="G777" s="20"/>
      <x:c r="H777" s="20" t="str">
        <x:v>待判定</x:v>
      </x:c>
      <x:c r="I777" s="20"/>
      <x:c r="J777" s="20" t="str">
        <x:v>未测试</x:v>
      </x:c>
      <x:c r="K777" s="20"/>
      <x:c r="L777" s="20"/>
      <x:c r="M777" s="20"/>
      <x:c r="N777" s="20"/>
      <x:c r="O777" s="31"/>
      <x:c r="P777" s="20"/>
      <x:c r="Q777" s="20"/>
      <x:c r="R777" s="20" t="str">
        <x:v>待展开</x:v>
      </x:c>
      <x:c r="S777" s="20"/>
      <x:c r="T777" s="31"/>
      <x:c r="U777" s="30" t="str">
        <x:f>IF(A777="","缺记录编号",IF(COUNTIFS(PathRecords[记录编号],A777)&lt;&gt;1,"记录编号重复",IF(OR(B777="",E777=""),"缺组合/功能",IF(COUNTIFS(Equipment[组合编号],B777)&lt;&gt;1,"组合编号无效",IF(COUNTIFS(FunctionMatrix[编号],E777)=0,"功能编号无效",IF(H777="不适用",IF(J777="已实测","适用性冲突",IF(I777="","待补不适用依据","不适用（非实测）")),IF(J777="阻塞",IF(I777="","待补阻塞原因","阻塞（非实测）"),IF(J777&lt;&gt;"已实测",IF(F777="","待展开路径","未实测"),IF(H777&lt;&gt;"适用","待确认适用性",IF(INDEX(Equipment[登记状态（自动）],MATCH(B777,Equipment[组合编号],0))&lt;&gt;"已登记","待补设备组合",IF(AND(F777&lt;&gt;"",G777&lt;&gt;"",K777&lt;&gt;"",L777&lt;&gt;"",M777&lt;&gt;"",N777&lt;&gt;"",ISNUMBER(O777),O777&gt;0,P777&lt;&gt;""),"记录齐全","待补实测记录")))))))))))</x:f>
        <x:v>待展开路径</x:v>
      </x:c>
    </x:row>
    <x:row r="778" ht="43.5" customHeight="1">
      <x:c r="A778" s="20" t="str">
        <x:v>REC-00769</x:v>
      </x:c>
      <x:c r="B778" s="20" t="str">
        <x:v>P2-B3-01</x:v>
      </x:c>
      <x:c r="C778" s="30" t="str">
        <x:f>IF(B778="","",IF(COUNTIFS(Equipment[组合编号],B778)&lt;&gt;1,"组合编号无效",INDEX(Equipment[PLC组],MATCH(B778,Equipment[组合编号],0))))</x:f>
        <x:v>汇川中大型</x:v>
      </x:c>
      <x:c r="D778" s="30" t="str">
        <x:f>IF(B778="","",IF(COUNTIFS(Equipment[组合编号],B778)&lt;&gt;1,"组合编号无效",INDEX(Equipment[驱动品牌],MATCH(B778,Equipment[组合编号],0))))</x:f>
        <x:v>繁易</x:v>
      </x:c>
      <x:c r="E778" s="20" t="str">
        <x:v>S09</x:v>
      </x:c>
      <x:c r="F778" s="20"/>
      <x:c r="G778" s="20"/>
      <x:c r="H778" s="20" t="str">
        <x:v>待判定</x:v>
      </x:c>
      <x:c r="I778" s="20"/>
      <x:c r="J778" s="20" t="str">
        <x:v>未测试</x:v>
      </x:c>
      <x:c r="K778" s="20"/>
      <x:c r="L778" s="20"/>
      <x:c r="M778" s="20"/>
      <x:c r="N778" s="20"/>
      <x:c r="O778" s="31"/>
      <x:c r="P778" s="20"/>
      <x:c r="Q778" s="20"/>
      <x:c r="R778" s="20" t="str">
        <x:v>待展开</x:v>
      </x:c>
      <x:c r="S778" s="20"/>
      <x:c r="T778" s="31"/>
      <x:c r="U778" s="30" t="str">
        <x:f>IF(A778="","缺记录编号",IF(COUNTIFS(PathRecords[记录编号],A778)&lt;&gt;1,"记录编号重复",IF(OR(B778="",E778=""),"缺组合/功能",IF(COUNTIFS(Equipment[组合编号],B778)&lt;&gt;1,"组合编号无效",IF(COUNTIFS(FunctionMatrix[编号],E778)=0,"功能编号无效",IF(H778="不适用",IF(J778="已实测","适用性冲突",IF(I778="","待补不适用依据","不适用（非实测）")),IF(J778="阻塞",IF(I778="","待补阻塞原因","阻塞（非实测）"),IF(J778&lt;&gt;"已实测",IF(F778="","待展开路径","未实测"),IF(H778&lt;&gt;"适用","待确认适用性",IF(INDEX(Equipment[登记状态（自动）],MATCH(B778,Equipment[组合编号],0))&lt;&gt;"已登记","待补设备组合",IF(AND(F778&lt;&gt;"",G778&lt;&gt;"",K778&lt;&gt;"",L778&lt;&gt;"",M778&lt;&gt;"",N778&lt;&gt;"",ISNUMBER(O778),O778&gt;0,P778&lt;&gt;""),"记录齐全","待补实测记录")))))))))))</x:f>
        <x:v>待展开路径</x:v>
      </x:c>
    </x:row>
    <x:row r="779" ht="43.5" customHeight="1">
      <x:c r="A779" s="20" t="str">
        <x:v>REC-00770</x:v>
      </x:c>
      <x:c r="B779" s="20" t="str">
        <x:v>P2-B3-01</x:v>
      </x:c>
      <x:c r="C779" s="30" t="str">
        <x:f>IF(B779="","",IF(COUNTIFS(Equipment[组合编号],B779)&lt;&gt;1,"组合编号无效",INDEX(Equipment[PLC组],MATCH(B779,Equipment[组合编号],0))))</x:f>
        <x:v>汇川中大型</x:v>
      </x:c>
      <x:c r="D779" s="30" t="str">
        <x:f>IF(B779="","",IF(COUNTIFS(Equipment[组合编号],B779)&lt;&gt;1,"组合编号无效",INDEX(Equipment[驱动品牌],MATCH(B779,Equipment[组合编号],0))))</x:f>
        <x:v>繁易</x:v>
      </x:c>
      <x:c r="E779" s="20" t="str">
        <x:v>U01</x:v>
      </x:c>
      <x:c r="F779" s="20"/>
      <x:c r="G779" s="20"/>
      <x:c r="H779" s="20" t="str">
        <x:v>待判定</x:v>
      </x:c>
      <x:c r="I779" s="20"/>
      <x:c r="J779" s="20" t="str">
        <x:v>未测试</x:v>
      </x:c>
      <x:c r="K779" s="20"/>
      <x:c r="L779" s="20"/>
      <x:c r="M779" s="20"/>
      <x:c r="N779" s="20"/>
      <x:c r="O779" s="31"/>
      <x:c r="P779" s="20"/>
      <x:c r="Q779" s="20"/>
      <x:c r="R779" s="20" t="str">
        <x:v>待展开</x:v>
      </x:c>
      <x:c r="S779" s="20"/>
      <x:c r="T779" s="31"/>
      <x:c r="U779" s="30" t="str">
        <x:f>IF(A779="","缺记录编号",IF(COUNTIFS(PathRecords[记录编号],A779)&lt;&gt;1,"记录编号重复",IF(OR(B779="",E779=""),"缺组合/功能",IF(COUNTIFS(Equipment[组合编号],B779)&lt;&gt;1,"组合编号无效",IF(COUNTIFS(FunctionMatrix[编号],E779)=0,"功能编号无效",IF(H779="不适用",IF(J779="已实测","适用性冲突",IF(I779="","待补不适用依据","不适用（非实测）")),IF(J779="阻塞",IF(I779="","待补阻塞原因","阻塞（非实测）"),IF(J779&lt;&gt;"已实测",IF(F779="","待展开路径","未实测"),IF(H779&lt;&gt;"适用","待确认适用性",IF(INDEX(Equipment[登记状态（自动）],MATCH(B779,Equipment[组合编号],0))&lt;&gt;"已登记","待补设备组合",IF(AND(F779&lt;&gt;"",G779&lt;&gt;"",K779&lt;&gt;"",L779&lt;&gt;"",M779&lt;&gt;"",N779&lt;&gt;"",ISNUMBER(O779),O779&gt;0,P779&lt;&gt;""),"记录齐全","待补实测记录")))))))))))</x:f>
        <x:v>待展开路径</x:v>
      </x:c>
    </x:row>
    <x:row r="780" ht="43.5" customHeight="1">
      <x:c r="A780" s="20" t="str">
        <x:v>REC-00771</x:v>
      </x:c>
      <x:c r="B780" s="20" t="str">
        <x:v>P2-B3-01</x:v>
      </x:c>
      <x:c r="C780" s="30" t="str">
        <x:f>IF(B780="","",IF(COUNTIFS(Equipment[组合编号],B780)&lt;&gt;1,"组合编号无效",INDEX(Equipment[PLC组],MATCH(B780,Equipment[组合编号],0))))</x:f>
        <x:v>汇川中大型</x:v>
      </x:c>
      <x:c r="D780" s="30" t="str">
        <x:f>IF(B780="","",IF(COUNTIFS(Equipment[组合编号],B780)&lt;&gt;1,"组合编号无效",INDEX(Equipment[驱动品牌],MATCH(B780,Equipment[组合编号],0))))</x:f>
        <x:v>繁易</x:v>
      </x:c>
      <x:c r="E780" s="20" t="str">
        <x:v>U02</x:v>
      </x:c>
      <x:c r="F780" s="20"/>
      <x:c r="G780" s="20"/>
      <x:c r="H780" s="20" t="str">
        <x:v>待判定</x:v>
      </x:c>
      <x:c r="I780" s="20"/>
      <x:c r="J780" s="20" t="str">
        <x:v>未测试</x:v>
      </x:c>
      <x:c r="K780" s="20"/>
      <x:c r="L780" s="20"/>
      <x:c r="M780" s="20"/>
      <x:c r="N780" s="20"/>
      <x:c r="O780" s="31"/>
      <x:c r="P780" s="20"/>
      <x:c r="Q780" s="20"/>
      <x:c r="R780" s="20" t="str">
        <x:v>待展开</x:v>
      </x:c>
      <x:c r="S780" s="20"/>
      <x:c r="T780" s="31"/>
      <x:c r="U780" s="30" t="str">
        <x:f>IF(A780="","缺记录编号",IF(COUNTIFS(PathRecords[记录编号],A780)&lt;&gt;1,"记录编号重复",IF(OR(B780="",E780=""),"缺组合/功能",IF(COUNTIFS(Equipment[组合编号],B780)&lt;&gt;1,"组合编号无效",IF(COUNTIFS(FunctionMatrix[编号],E780)=0,"功能编号无效",IF(H780="不适用",IF(J780="已实测","适用性冲突",IF(I780="","待补不适用依据","不适用（非实测）")),IF(J780="阻塞",IF(I780="","待补阻塞原因","阻塞（非实测）"),IF(J780&lt;&gt;"已实测",IF(F780="","待展开路径","未实测"),IF(H780&lt;&gt;"适用","待确认适用性",IF(INDEX(Equipment[登记状态（自动）],MATCH(B780,Equipment[组合编号],0))&lt;&gt;"已登记","待补设备组合",IF(AND(F780&lt;&gt;"",G780&lt;&gt;"",K780&lt;&gt;"",L780&lt;&gt;"",M780&lt;&gt;"",N780&lt;&gt;"",ISNUMBER(O780),O780&gt;0,P780&lt;&gt;""),"记录齐全","待补实测记录")))))))))))</x:f>
        <x:v>待展开路径</x:v>
      </x:c>
    </x:row>
    <x:row r="781" ht="43.5" customHeight="1">
      <x:c r="A781" s="20" t="str">
        <x:v>REC-00772</x:v>
      </x:c>
      <x:c r="B781" s="20" t="str">
        <x:v>P2-B3-01</x:v>
      </x:c>
      <x:c r="C781" s="30" t="str">
        <x:f>IF(B781="","",IF(COUNTIFS(Equipment[组合编号],B781)&lt;&gt;1,"组合编号无效",INDEX(Equipment[PLC组],MATCH(B781,Equipment[组合编号],0))))</x:f>
        <x:v>汇川中大型</x:v>
      </x:c>
      <x:c r="D781" s="30" t="str">
        <x:f>IF(B781="","",IF(COUNTIFS(Equipment[组合编号],B781)&lt;&gt;1,"组合编号无效",INDEX(Equipment[驱动品牌],MATCH(B781,Equipment[组合编号],0))))</x:f>
        <x:v>繁易</x:v>
      </x:c>
      <x:c r="E781" s="20" t="str">
        <x:v>U03</x:v>
      </x:c>
      <x:c r="F781" s="20"/>
      <x:c r="G781" s="20"/>
      <x:c r="H781" s="20" t="str">
        <x:v>待判定</x:v>
      </x:c>
      <x:c r="I781" s="20"/>
      <x:c r="J781" s="20" t="str">
        <x:v>未测试</x:v>
      </x:c>
      <x:c r="K781" s="20"/>
      <x:c r="L781" s="20"/>
      <x:c r="M781" s="20"/>
      <x:c r="N781" s="20"/>
      <x:c r="O781" s="31"/>
      <x:c r="P781" s="20"/>
      <x:c r="Q781" s="20"/>
      <x:c r="R781" s="20" t="str">
        <x:v>待展开</x:v>
      </x:c>
      <x:c r="S781" s="20"/>
      <x:c r="T781" s="31"/>
      <x:c r="U781" s="30" t="str">
        <x:f>IF(A781="","缺记录编号",IF(COUNTIFS(PathRecords[记录编号],A781)&lt;&gt;1,"记录编号重复",IF(OR(B781="",E781=""),"缺组合/功能",IF(COUNTIFS(Equipment[组合编号],B781)&lt;&gt;1,"组合编号无效",IF(COUNTIFS(FunctionMatrix[编号],E781)=0,"功能编号无效",IF(H781="不适用",IF(J781="已实测","适用性冲突",IF(I781="","待补不适用依据","不适用（非实测）")),IF(J781="阻塞",IF(I781="","待补阻塞原因","阻塞（非实测）"),IF(J781&lt;&gt;"已实测",IF(F781="","待展开路径","未实测"),IF(H781&lt;&gt;"适用","待确认适用性",IF(INDEX(Equipment[登记状态（自动）],MATCH(B781,Equipment[组合编号],0))&lt;&gt;"已登记","待补设备组合",IF(AND(F781&lt;&gt;"",G781&lt;&gt;"",K781&lt;&gt;"",L781&lt;&gt;"",M781&lt;&gt;"",N781&lt;&gt;"",ISNUMBER(O781),O781&gt;0,P781&lt;&gt;""),"记录齐全","待补实测记录")))))))))))</x:f>
        <x:v>待展开路径</x:v>
      </x:c>
    </x:row>
    <x:row r="782" ht="43.5" customHeight="1">
      <x:c r="A782" s="20" t="str">
        <x:v>REC-00773</x:v>
      </x:c>
      <x:c r="B782" s="20" t="str">
        <x:v>P2-B3-01</x:v>
      </x:c>
      <x:c r="C782" s="30" t="str">
        <x:f>IF(B782="","",IF(COUNTIFS(Equipment[组合编号],B782)&lt;&gt;1,"组合编号无效",INDEX(Equipment[PLC组],MATCH(B782,Equipment[组合编号],0))))</x:f>
        <x:v>汇川中大型</x:v>
      </x:c>
      <x:c r="D782" s="30" t="str">
        <x:f>IF(B782="","",IF(COUNTIFS(Equipment[组合编号],B782)&lt;&gt;1,"组合编号无效",INDEX(Equipment[驱动品牌],MATCH(B782,Equipment[组合编号],0))))</x:f>
        <x:v>繁易</x:v>
      </x:c>
      <x:c r="E782" s="20" t="str">
        <x:v>U04</x:v>
      </x:c>
      <x:c r="F782" s="20"/>
      <x:c r="G782" s="20"/>
      <x:c r="H782" s="20" t="str">
        <x:v>待判定</x:v>
      </x:c>
      <x:c r="I782" s="20"/>
      <x:c r="J782" s="20" t="str">
        <x:v>未测试</x:v>
      </x:c>
      <x:c r="K782" s="20"/>
      <x:c r="L782" s="20"/>
      <x:c r="M782" s="20"/>
      <x:c r="N782" s="20"/>
      <x:c r="O782" s="31"/>
      <x:c r="P782" s="20"/>
      <x:c r="Q782" s="20"/>
      <x:c r="R782" s="20" t="str">
        <x:v>待展开</x:v>
      </x:c>
      <x:c r="S782" s="20"/>
      <x:c r="T782" s="31"/>
      <x:c r="U782" s="30" t="str">
        <x:f>IF(A782="","缺记录编号",IF(COUNTIFS(PathRecords[记录编号],A782)&lt;&gt;1,"记录编号重复",IF(OR(B782="",E782=""),"缺组合/功能",IF(COUNTIFS(Equipment[组合编号],B782)&lt;&gt;1,"组合编号无效",IF(COUNTIFS(FunctionMatrix[编号],E782)=0,"功能编号无效",IF(H782="不适用",IF(J782="已实测","适用性冲突",IF(I782="","待补不适用依据","不适用（非实测）")),IF(J782="阻塞",IF(I782="","待补阻塞原因","阻塞（非实测）"),IF(J782&lt;&gt;"已实测",IF(F782="","待展开路径","未实测"),IF(H782&lt;&gt;"适用","待确认适用性",IF(INDEX(Equipment[登记状态（自动）],MATCH(B782,Equipment[组合编号],0))&lt;&gt;"已登记","待补设备组合",IF(AND(F782&lt;&gt;"",G782&lt;&gt;"",K782&lt;&gt;"",L782&lt;&gt;"",M782&lt;&gt;"",N782&lt;&gt;"",ISNUMBER(O782),O782&gt;0,P782&lt;&gt;""),"记录齐全","待补实测记录")))))))))))</x:f>
        <x:v>待展开路径</x:v>
      </x:c>
    </x:row>
    <x:row r="783" ht="43.5" customHeight="1">
      <x:c r="A783" s="20" t="str">
        <x:v>REC-00774</x:v>
      </x:c>
      <x:c r="B783" s="20" t="str">
        <x:v>P2-B3-01</x:v>
      </x:c>
      <x:c r="C783" s="30" t="str">
        <x:f>IF(B783="","",IF(COUNTIFS(Equipment[组合编号],B783)&lt;&gt;1,"组合编号无效",INDEX(Equipment[PLC组],MATCH(B783,Equipment[组合编号],0))))</x:f>
        <x:v>汇川中大型</x:v>
      </x:c>
      <x:c r="D783" s="30" t="str">
        <x:f>IF(B783="","",IF(COUNTIFS(Equipment[组合编号],B783)&lt;&gt;1,"组合编号无效",INDEX(Equipment[驱动品牌],MATCH(B783,Equipment[组合编号],0))))</x:f>
        <x:v>繁易</x:v>
      </x:c>
      <x:c r="E783" s="20" t="str">
        <x:v>U05</x:v>
      </x:c>
      <x:c r="F783" s="20"/>
      <x:c r="G783" s="20"/>
      <x:c r="H783" s="20" t="str">
        <x:v>待判定</x:v>
      </x:c>
      <x:c r="I783" s="20"/>
      <x:c r="J783" s="20" t="str">
        <x:v>未测试</x:v>
      </x:c>
      <x:c r="K783" s="20"/>
      <x:c r="L783" s="20"/>
      <x:c r="M783" s="20"/>
      <x:c r="N783" s="20"/>
      <x:c r="O783" s="31"/>
      <x:c r="P783" s="20"/>
      <x:c r="Q783" s="20"/>
      <x:c r="R783" s="20" t="str">
        <x:v>待展开</x:v>
      </x:c>
      <x:c r="S783" s="20"/>
      <x:c r="T783" s="31"/>
      <x:c r="U783" s="30" t="str">
        <x:f>IF(A783="","缺记录编号",IF(COUNTIFS(PathRecords[记录编号],A783)&lt;&gt;1,"记录编号重复",IF(OR(B783="",E783=""),"缺组合/功能",IF(COUNTIFS(Equipment[组合编号],B783)&lt;&gt;1,"组合编号无效",IF(COUNTIFS(FunctionMatrix[编号],E783)=0,"功能编号无效",IF(H783="不适用",IF(J783="已实测","适用性冲突",IF(I783="","待补不适用依据","不适用（非实测）")),IF(J783="阻塞",IF(I783="","待补阻塞原因","阻塞（非实测）"),IF(J783&lt;&gt;"已实测",IF(F783="","待展开路径","未实测"),IF(H783&lt;&gt;"适用","待确认适用性",IF(INDEX(Equipment[登记状态（自动）],MATCH(B783,Equipment[组合编号],0))&lt;&gt;"已登记","待补设备组合",IF(AND(F783&lt;&gt;"",G783&lt;&gt;"",K783&lt;&gt;"",L783&lt;&gt;"",M783&lt;&gt;"",N783&lt;&gt;"",ISNUMBER(O783),O783&gt;0,P783&lt;&gt;""),"记录齐全","待补实测记录")))))))))))</x:f>
        <x:v>待展开路径</x:v>
      </x:c>
    </x:row>
    <x:row r="784" ht="43.5" customHeight="1">
      <x:c r="A784" s="20" t="str">
        <x:v>REC-00775</x:v>
      </x:c>
      <x:c r="B784" s="20" t="str">
        <x:v>P2-B3-01</x:v>
      </x:c>
      <x:c r="C784" s="30" t="str">
        <x:f>IF(B784="","",IF(COUNTIFS(Equipment[组合编号],B784)&lt;&gt;1,"组合编号无效",INDEX(Equipment[PLC组],MATCH(B784,Equipment[组合编号],0))))</x:f>
        <x:v>汇川中大型</x:v>
      </x:c>
      <x:c r="D784" s="30" t="str">
        <x:f>IF(B784="","",IF(COUNTIFS(Equipment[组合编号],B784)&lt;&gt;1,"组合编号无效",INDEX(Equipment[驱动品牌],MATCH(B784,Equipment[组合编号],0))))</x:f>
        <x:v>繁易</x:v>
      </x:c>
      <x:c r="E784" s="20" t="str">
        <x:v>U06</x:v>
      </x:c>
      <x:c r="F784" s="20"/>
      <x:c r="G784" s="20"/>
      <x:c r="H784" s="20" t="str">
        <x:v>待判定</x:v>
      </x:c>
      <x:c r="I784" s="20"/>
      <x:c r="J784" s="20" t="str">
        <x:v>未测试</x:v>
      </x:c>
      <x:c r="K784" s="20"/>
      <x:c r="L784" s="20"/>
      <x:c r="M784" s="20"/>
      <x:c r="N784" s="20"/>
      <x:c r="O784" s="31"/>
      <x:c r="P784" s="20"/>
      <x:c r="Q784" s="20"/>
      <x:c r="R784" s="20" t="str">
        <x:v>待展开</x:v>
      </x:c>
      <x:c r="S784" s="20"/>
      <x:c r="T784" s="31"/>
      <x:c r="U784" s="30" t="str">
        <x:f>IF(A784="","缺记录编号",IF(COUNTIFS(PathRecords[记录编号],A784)&lt;&gt;1,"记录编号重复",IF(OR(B784="",E784=""),"缺组合/功能",IF(COUNTIFS(Equipment[组合编号],B784)&lt;&gt;1,"组合编号无效",IF(COUNTIFS(FunctionMatrix[编号],E784)=0,"功能编号无效",IF(H784="不适用",IF(J784="已实测","适用性冲突",IF(I784="","待补不适用依据","不适用（非实测）")),IF(J784="阻塞",IF(I784="","待补阻塞原因","阻塞（非实测）"),IF(J784&lt;&gt;"已实测",IF(F784="","待展开路径","未实测"),IF(H784&lt;&gt;"适用","待确认适用性",IF(INDEX(Equipment[登记状态（自动）],MATCH(B784,Equipment[组合编号],0))&lt;&gt;"已登记","待补设备组合",IF(AND(F784&lt;&gt;"",G784&lt;&gt;"",K784&lt;&gt;"",L784&lt;&gt;"",M784&lt;&gt;"",N784&lt;&gt;"",ISNUMBER(O784),O784&gt;0,P784&lt;&gt;""),"记录齐全","待补实测记录")))))))))))</x:f>
        <x:v>待展开路径</x:v>
      </x:c>
    </x:row>
    <x:row r="785" ht="43.5" customHeight="1">
      <x:c r="A785" s="20" t="str">
        <x:v>REC-00776</x:v>
      </x:c>
      <x:c r="B785" s="20" t="str">
        <x:v>P2-B3-01</x:v>
      </x:c>
      <x:c r="C785" s="30" t="str">
        <x:f>IF(B785="","",IF(COUNTIFS(Equipment[组合编号],B785)&lt;&gt;1,"组合编号无效",INDEX(Equipment[PLC组],MATCH(B785,Equipment[组合编号],0))))</x:f>
        <x:v>汇川中大型</x:v>
      </x:c>
      <x:c r="D785" s="30" t="str">
        <x:f>IF(B785="","",IF(COUNTIFS(Equipment[组合编号],B785)&lt;&gt;1,"组合编号无效",INDEX(Equipment[驱动品牌],MATCH(B785,Equipment[组合编号],0))))</x:f>
        <x:v>繁易</x:v>
      </x:c>
      <x:c r="E785" s="20" t="str">
        <x:v>U07</x:v>
      </x:c>
      <x:c r="F785" s="20"/>
      <x:c r="G785" s="20"/>
      <x:c r="H785" s="20" t="str">
        <x:v>待判定</x:v>
      </x:c>
      <x:c r="I785" s="20"/>
      <x:c r="J785" s="20" t="str">
        <x:v>未测试</x:v>
      </x:c>
      <x:c r="K785" s="20"/>
      <x:c r="L785" s="20"/>
      <x:c r="M785" s="20"/>
      <x:c r="N785" s="20"/>
      <x:c r="O785" s="31"/>
      <x:c r="P785" s="20"/>
      <x:c r="Q785" s="20"/>
      <x:c r="R785" s="20" t="str">
        <x:v>待展开</x:v>
      </x:c>
      <x:c r="S785" s="20"/>
      <x:c r="T785" s="31"/>
      <x:c r="U785" s="30" t="str">
        <x:f>IF(A785="","缺记录编号",IF(COUNTIFS(PathRecords[记录编号],A785)&lt;&gt;1,"记录编号重复",IF(OR(B785="",E785=""),"缺组合/功能",IF(COUNTIFS(Equipment[组合编号],B785)&lt;&gt;1,"组合编号无效",IF(COUNTIFS(FunctionMatrix[编号],E785)=0,"功能编号无效",IF(H785="不适用",IF(J785="已实测","适用性冲突",IF(I785="","待补不适用依据","不适用（非实测）")),IF(J785="阻塞",IF(I785="","待补阻塞原因","阻塞（非实测）"),IF(J785&lt;&gt;"已实测",IF(F785="","待展开路径","未实测"),IF(H785&lt;&gt;"适用","待确认适用性",IF(INDEX(Equipment[登记状态（自动）],MATCH(B785,Equipment[组合编号],0))&lt;&gt;"已登记","待补设备组合",IF(AND(F785&lt;&gt;"",G785&lt;&gt;"",K785&lt;&gt;"",L785&lt;&gt;"",M785&lt;&gt;"",N785&lt;&gt;"",ISNUMBER(O785),O785&gt;0,P785&lt;&gt;""),"记录齐全","待补实测记录")))))))))))</x:f>
        <x:v>待展开路径</x:v>
      </x:c>
    </x:row>
    <x:row r="786" ht="43.5" customHeight="1">
      <x:c r="A786" s="20" t="str">
        <x:v>REC-00777</x:v>
      </x:c>
      <x:c r="B786" s="20" t="str">
        <x:v>P2-B3-01</x:v>
      </x:c>
      <x:c r="C786" s="30" t="str">
        <x:f>IF(B786="","",IF(COUNTIFS(Equipment[组合编号],B786)&lt;&gt;1,"组合编号无效",INDEX(Equipment[PLC组],MATCH(B786,Equipment[组合编号],0))))</x:f>
        <x:v>汇川中大型</x:v>
      </x:c>
      <x:c r="D786" s="30" t="str">
        <x:f>IF(B786="","",IF(COUNTIFS(Equipment[组合编号],B786)&lt;&gt;1,"组合编号无效",INDEX(Equipment[驱动品牌],MATCH(B786,Equipment[组合编号],0))))</x:f>
        <x:v>繁易</x:v>
      </x:c>
      <x:c r="E786" s="20" t="str">
        <x:v>U08</x:v>
      </x:c>
      <x:c r="F786" s="20"/>
      <x:c r="G786" s="20"/>
      <x:c r="H786" s="20" t="str">
        <x:v>待判定</x:v>
      </x:c>
      <x:c r="I786" s="20"/>
      <x:c r="J786" s="20" t="str">
        <x:v>未测试</x:v>
      </x:c>
      <x:c r="K786" s="20"/>
      <x:c r="L786" s="20"/>
      <x:c r="M786" s="20"/>
      <x:c r="N786" s="20"/>
      <x:c r="O786" s="31"/>
      <x:c r="P786" s="20"/>
      <x:c r="Q786" s="20"/>
      <x:c r="R786" s="20" t="str">
        <x:v>待展开</x:v>
      </x:c>
      <x:c r="S786" s="20"/>
      <x:c r="T786" s="31"/>
      <x:c r="U786" s="30" t="str">
        <x:f>IF(A786="","缺记录编号",IF(COUNTIFS(PathRecords[记录编号],A786)&lt;&gt;1,"记录编号重复",IF(OR(B786="",E786=""),"缺组合/功能",IF(COUNTIFS(Equipment[组合编号],B786)&lt;&gt;1,"组合编号无效",IF(COUNTIFS(FunctionMatrix[编号],E786)=0,"功能编号无效",IF(H786="不适用",IF(J786="已实测","适用性冲突",IF(I786="","待补不适用依据","不适用（非实测）")),IF(J786="阻塞",IF(I786="","待补阻塞原因","阻塞（非实测）"),IF(J786&lt;&gt;"已实测",IF(F786="","待展开路径","未实测"),IF(H786&lt;&gt;"适用","待确认适用性",IF(INDEX(Equipment[登记状态（自动）],MATCH(B786,Equipment[组合编号],0))&lt;&gt;"已登记","待补设备组合",IF(AND(F786&lt;&gt;"",G786&lt;&gt;"",K786&lt;&gt;"",L786&lt;&gt;"",M786&lt;&gt;"",N786&lt;&gt;"",ISNUMBER(O786),O786&gt;0,P786&lt;&gt;""),"记录齐全","待补实测记录")))))))))))</x:f>
        <x:v>待展开路径</x:v>
      </x:c>
    </x:row>
    <x:row r="787" ht="43.5" customHeight="1">
      <x:c r="A787" s="20" t="str">
        <x:v>REC-00778</x:v>
      </x:c>
      <x:c r="B787" s="20" t="str">
        <x:v>P2-B3-01</x:v>
      </x:c>
      <x:c r="C787" s="30" t="str">
        <x:f>IF(B787="","",IF(COUNTIFS(Equipment[组合编号],B787)&lt;&gt;1,"组合编号无效",INDEX(Equipment[PLC组],MATCH(B787,Equipment[组合编号],0))))</x:f>
        <x:v>汇川中大型</x:v>
      </x:c>
      <x:c r="D787" s="30" t="str">
        <x:f>IF(B787="","",IF(COUNTIFS(Equipment[组合编号],B787)&lt;&gt;1,"组合编号无效",INDEX(Equipment[驱动品牌],MATCH(B787,Equipment[组合编号],0))))</x:f>
        <x:v>繁易</x:v>
      </x:c>
      <x:c r="E787" s="20" t="str">
        <x:v>U09</x:v>
      </x:c>
      <x:c r="F787" s="20"/>
      <x:c r="G787" s="20"/>
      <x:c r="H787" s="20" t="str">
        <x:v>待判定</x:v>
      </x:c>
      <x:c r="I787" s="20"/>
      <x:c r="J787" s="20" t="str">
        <x:v>未测试</x:v>
      </x:c>
      <x:c r="K787" s="20"/>
      <x:c r="L787" s="20"/>
      <x:c r="M787" s="20"/>
      <x:c r="N787" s="20"/>
      <x:c r="O787" s="31"/>
      <x:c r="P787" s="20"/>
      <x:c r="Q787" s="20"/>
      <x:c r="R787" s="20" t="str">
        <x:v>待展开</x:v>
      </x:c>
      <x:c r="S787" s="20"/>
      <x:c r="T787" s="31"/>
      <x:c r="U787" s="30" t="str">
        <x:f>IF(A787="","缺记录编号",IF(COUNTIFS(PathRecords[记录编号],A787)&lt;&gt;1,"记录编号重复",IF(OR(B787="",E787=""),"缺组合/功能",IF(COUNTIFS(Equipment[组合编号],B787)&lt;&gt;1,"组合编号无效",IF(COUNTIFS(FunctionMatrix[编号],E787)=0,"功能编号无效",IF(H787="不适用",IF(J787="已实测","适用性冲突",IF(I787="","待补不适用依据","不适用（非实测）")),IF(J787="阻塞",IF(I787="","待补阻塞原因","阻塞（非实测）"),IF(J787&lt;&gt;"已实测",IF(F787="","待展开路径","未实测"),IF(H787&lt;&gt;"适用","待确认适用性",IF(INDEX(Equipment[登记状态（自动）],MATCH(B787,Equipment[组合编号],0))&lt;&gt;"已登记","待补设备组合",IF(AND(F787&lt;&gt;"",G787&lt;&gt;"",K787&lt;&gt;"",L787&lt;&gt;"",M787&lt;&gt;"",N787&lt;&gt;"",ISNUMBER(O787),O787&gt;0,P787&lt;&gt;""),"记录齐全","待补实测记录")))))))))))</x:f>
        <x:v>待展开路径</x:v>
      </x:c>
    </x:row>
    <x:row r="788" ht="43.5" customHeight="1">
      <x:c r="A788" s="20" t="str">
        <x:v>REC-00779</x:v>
      </x:c>
      <x:c r="B788" s="20" t="str">
        <x:v>P2-B3-01</x:v>
      </x:c>
      <x:c r="C788" s="30" t="str">
        <x:f>IF(B788="","",IF(COUNTIFS(Equipment[组合编号],B788)&lt;&gt;1,"组合编号无效",INDEX(Equipment[PLC组],MATCH(B788,Equipment[组合编号],0))))</x:f>
        <x:v>汇川中大型</x:v>
      </x:c>
      <x:c r="D788" s="30" t="str">
        <x:f>IF(B788="","",IF(COUNTIFS(Equipment[组合编号],B788)&lt;&gt;1,"组合编号无效",INDEX(Equipment[驱动品牌],MATCH(B788,Equipment[组合编号],0))))</x:f>
        <x:v>繁易</x:v>
      </x:c>
      <x:c r="E788" s="20" t="str">
        <x:v>U10</x:v>
      </x:c>
      <x:c r="F788" s="20"/>
      <x:c r="G788" s="20"/>
      <x:c r="H788" s="20" t="str">
        <x:v>待判定</x:v>
      </x:c>
      <x:c r="I788" s="20"/>
      <x:c r="J788" s="20" t="str">
        <x:v>未测试</x:v>
      </x:c>
      <x:c r="K788" s="20"/>
      <x:c r="L788" s="20"/>
      <x:c r="M788" s="20"/>
      <x:c r="N788" s="20"/>
      <x:c r="O788" s="31"/>
      <x:c r="P788" s="20"/>
      <x:c r="Q788" s="20"/>
      <x:c r="R788" s="20" t="str">
        <x:v>待展开</x:v>
      </x:c>
      <x:c r="S788" s="20"/>
      <x:c r="T788" s="31"/>
      <x:c r="U788" s="30" t="str">
        <x:f>IF(A788="","缺记录编号",IF(COUNTIFS(PathRecords[记录编号],A788)&lt;&gt;1,"记录编号重复",IF(OR(B788="",E788=""),"缺组合/功能",IF(COUNTIFS(Equipment[组合编号],B788)&lt;&gt;1,"组合编号无效",IF(COUNTIFS(FunctionMatrix[编号],E788)=0,"功能编号无效",IF(H788="不适用",IF(J788="已实测","适用性冲突",IF(I788="","待补不适用依据","不适用（非实测）")),IF(J788="阻塞",IF(I788="","待补阻塞原因","阻塞（非实测）"),IF(J788&lt;&gt;"已实测",IF(F788="","待展开路径","未实测"),IF(H788&lt;&gt;"适用","待确认适用性",IF(INDEX(Equipment[登记状态（自动）],MATCH(B788,Equipment[组合编号],0))&lt;&gt;"已登记","待补设备组合",IF(AND(F788&lt;&gt;"",G788&lt;&gt;"",K788&lt;&gt;"",L788&lt;&gt;"",M788&lt;&gt;"",N788&lt;&gt;"",ISNUMBER(O788),O788&gt;0,P788&lt;&gt;""),"记录齐全","待补实测记录")))))))))))</x:f>
        <x:v>待展开路径</x:v>
      </x:c>
    </x:row>
    <x:row r="789" ht="43.5" customHeight="1">
      <x:c r="A789" s="20" t="str">
        <x:v>REC-00780</x:v>
      </x:c>
      <x:c r="B789" s="20" t="str">
        <x:v>P2-B3-01</x:v>
      </x:c>
      <x:c r="C789" s="30" t="str">
        <x:f>IF(B789="","",IF(COUNTIFS(Equipment[组合编号],B789)&lt;&gt;1,"组合编号无效",INDEX(Equipment[PLC组],MATCH(B789,Equipment[组合编号],0))))</x:f>
        <x:v>汇川中大型</x:v>
      </x:c>
      <x:c r="D789" s="30" t="str">
        <x:f>IF(B789="","",IF(COUNTIFS(Equipment[组合编号],B789)&lt;&gt;1,"组合编号无效",INDEX(Equipment[驱动品牌],MATCH(B789,Equipment[组合编号],0))))</x:f>
        <x:v>繁易</x:v>
      </x:c>
      <x:c r="E789" s="20" t="str">
        <x:v>H01</x:v>
      </x:c>
      <x:c r="F789" s="20"/>
      <x:c r="G789" s="20"/>
      <x:c r="H789" s="20" t="str">
        <x:v>待判定</x:v>
      </x:c>
      <x:c r="I789" s="20"/>
      <x:c r="J789" s="20" t="str">
        <x:v>未测试</x:v>
      </x:c>
      <x:c r="K789" s="20"/>
      <x:c r="L789" s="20"/>
      <x:c r="M789" s="20"/>
      <x:c r="N789" s="20"/>
      <x:c r="O789" s="31"/>
      <x:c r="P789" s="20"/>
      <x:c r="Q789" s="20"/>
      <x:c r="R789" s="20" t="str">
        <x:v>待展开</x:v>
      </x:c>
      <x:c r="S789" s="20"/>
      <x:c r="T789" s="31"/>
      <x:c r="U789" s="30" t="str">
        <x:f>IF(A789="","缺记录编号",IF(COUNTIFS(PathRecords[记录编号],A789)&lt;&gt;1,"记录编号重复",IF(OR(B789="",E789=""),"缺组合/功能",IF(COUNTIFS(Equipment[组合编号],B789)&lt;&gt;1,"组合编号无效",IF(COUNTIFS(FunctionMatrix[编号],E789)=0,"功能编号无效",IF(H789="不适用",IF(J789="已实测","适用性冲突",IF(I789="","待补不适用依据","不适用（非实测）")),IF(J789="阻塞",IF(I789="","待补阻塞原因","阻塞（非实测）"),IF(J789&lt;&gt;"已实测",IF(F789="","待展开路径","未实测"),IF(H789&lt;&gt;"适用","待确认适用性",IF(INDEX(Equipment[登记状态（自动）],MATCH(B789,Equipment[组合编号],0))&lt;&gt;"已登记","待补设备组合",IF(AND(F789&lt;&gt;"",G789&lt;&gt;"",K789&lt;&gt;"",L789&lt;&gt;"",M789&lt;&gt;"",N789&lt;&gt;"",ISNUMBER(O789),O789&gt;0,P789&lt;&gt;""),"记录齐全","待补实测记录")))))))))))</x:f>
        <x:v>待展开路径</x:v>
      </x:c>
    </x:row>
    <x:row r="790" ht="43.5" customHeight="1">
      <x:c r="A790" s="20" t="str">
        <x:v>REC-00781</x:v>
      </x:c>
      <x:c r="B790" s="20" t="str">
        <x:v>P2-B3-01</x:v>
      </x:c>
      <x:c r="C790" s="30" t="str">
        <x:f>IF(B790="","",IF(COUNTIFS(Equipment[组合编号],B790)&lt;&gt;1,"组合编号无效",INDEX(Equipment[PLC组],MATCH(B790,Equipment[组合编号],0))))</x:f>
        <x:v>汇川中大型</x:v>
      </x:c>
      <x:c r="D790" s="30" t="str">
        <x:f>IF(B790="","",IF(COUNTIFS(Equipment[组合编号],B790)&lt;&gt;1,"组合编号无效",INDEX(Equipment[驱动品牌],MATCH(B790,Equipment[组合编号],0))))</x:f>
        <x:v>繁易</x:v>
      </x:c>
      <x:c r="E790" s="20" t="str">
        <x:v>H02</x:v>
      </x:c>
      <x:c r="F790" s="20"/>
      <x:c r="G790" s="20"/>
      <x:c r="H790" s="20" t="str">
        <x:v>待判定</x:v>
      </x:c>
      <x:c r="I790" s="20"/>
      <x:c r="J790" s="20" t="str">
        <x:v>未测试</x:v>
      </x:c>
      <x:c r="K790" s="20"/>
      <x:c r="L790" s="20"/>
      <x:c r="M790" s="20"/>
      <x:c r="N790" s="20"/>
      <x:c r="O790" s="31"/>
      <x:c r="P790" s="20"/>
      <x:c r="Q790" s="20"/>
      <x:c r="R790" s="20" t="str">
        <x:v>待展开</x:v>
      </x:c>
      <x:c r="S790" s="20"/>
      <x:c r="T790" s="31"/>
      <x:c r="U790" s="30" t="str">
        <x:f>IF(A790="","缺记录编号",IF(COUNTIFS(PathRecords[记录编号],A790)&lt;&gt;1,"记录编号重复",IF(OR(B790="",E790=""),"缺组合/功能",IF(COUNTIFS(Equipment[组合编号],B790)&lt;&gt;1,"组合编号无效",IF(COUNTIFS(FunctionMatrix[编号],E790)=0,"功能编号无效",IF(H790="不适用",IF(J790="已实测","适用性冲突",IF(I790="","待补不适用依据","不适用（非实测）")),IF(J790="阻塞",IF(I790="","待补阻塞原因","阻塞（非实测）"),IF(J790&lt;&gt;"已实测",IF(F790="","待展开路径","未实测"),IF(H790&lt;&gt;"适用","待确认适用性",IF(INDEX(Equipment[登记状态（自动）],MATCH(B790,Equipment[组合编号],0))&lt;&gt;"已登记","待补设备组合",IF(AND(F790&lt;&gt;"",G790&lt;&gt;"",K790&lt;&gt;"",L790&lt;&gt;"",M790&lt;&gt;"",N790&lt;&gt;"",ISNUMBER(O790),O790&gt;0,P790&lt;&gt;""),"记录齐全","待补实测记录")))))))))))</x:f>
        <x:v>待展开路径</x:v>
      </x:c>
    </x:row>
    <x:row r="791" ht="43.5" customHeight="1">
      <x:c r="A791" s="20" t="str">
        <x:v>REC-00782</x:v>
      </x:c>
      <x:c r="B791" s="20" t="str">
        <x:v>P2-B3-01</x:v>
      </x:c>
      <x:c r="C791" s="30" t="str">
        <x:f>IF(B791="","",IF(COUNTIFS(Equipment[组合编号],B791)&lt;&gt;1,"组合编号无效",INDEX(Equipment[PLC组],MATCH(B791,Equipment[组合编号],0))))</x:f>
        <x:v>汇川中大型</x:v>
      </x:c>
      <x:c r="D791" s="30" t="str">
        <x:f>IF(B791="","",IF(COUNTIFS(Equipment[组合编号],B791)&lt;&gt;1,"组合编号无效",INDEX(Equipment[驱动品牌],MATCH(B791,Equipment[组合编号],0))))</x:f>
        <x:v>繁易</x:v>
      </x:c>
      <x:c r="E791" s="20" t="str">
        <x:v>H03</x:v>
      </x:c>
      <x:c r="F791" s="20"/>
      <x:c r="G791" s="20"/>
      <x:c r="H791" s="20" t="str">
        <x:v>待判定</x:v>
      </x:c>
      <x:c r="I791" s="20"/>
      <x:c r="J791" s="20" t="str">
        <x:v>未测试</x:v>
      </x:c>
      <x:c r="K791" s="20"/>
      <x:c r="L791" s="20"/>
      <x:c r="M791" s="20"/>
      <x:c r="N791" s="20"/>
      <x:c r="O791" s="31"/>
      <x:c r="P791" s="20"/>
      <x:c r="Q791" s="20"/>
      <x:c r="R791" s="20" t="str">
        <x:v>待展开</x:v>
      </x:c>
      <x:c r="S791" s="20"/>
      <x:c r="T791" s="31"/>
      <x:c r="U791" s="30" t="str">
        <x:f>IF(A791="","缺记录编号",IF(COUNTIFS(PathRecords[记录编号],A791)&lt;&gt;1,"记录编号重复",IF(OR(B791="",E791=""),"缺组合/功能",IF(COUNTIFS(Equipment[组合编号],B791)&lt;&gt;1,"组合编号无效",IF(COUNTIFS(FunctionMatrix[编号],E791)=0,"功能编号无效",IF(H791="不适用",IF(J791="已实测","适用性冲突",IF(I791="","待补不适用依据","不适用（非实测）")),IF(J791="阻塞",IF(I791="","待补阻塞原因","阻塞（非实测）"),IF(J791&lt;&gt;"已实测",IF(F791="","待展开路径","未实测"),IF(H791&lt;&gt;"适用","待确认适用性",IF(INDEX(Equipment[登记状态（自动）],MATCH(B791,Equipment[组合编号],0))&lt;&gt;"已登记","待补设备组合",IF(AND(F791&lt;&gt;"",G791&lt;&gt;"",K791&lt;&gt;"",L791&lt;&gt;"",M791&lt;&gt;"",N791&lt;&gt;"",ISNUMBER(O791),O791&gt;0,P791&lt;&gt;""),"记录齐全","待补实测记录")))))))))))</x:f>
        <x:v>待展开路径</x:v>
      </x:c>
    </x:row>
    <x:row r="792" ht="43.5" customHeight="1">
      <x:c r="A792" s="20" t="str">
        <x:v>REC-00783</x:v>
      </x:c>
      <x:c r="B792" s="20" t="str">
        <x:v>P2-B3-01</x:v>
      </x:c>
      <x:c r="C792" s="30" t="str">
        <x:f>IF(B792="","",IF(COUNTIFS(Equipment[组合编号],B792)&lt;&gt;1,"组合编号无效",INDEX(Equipment[PLC组],MATCH(B792,Equipment[组合编号],0))))</x:f>
        <x:v>汇川中大型</x:v>
      </x:c>
      <x:c r="D792" s="30" t="str">
        <x:f>IF(B792="","",IF(COUNTIFS(Equipment[组合编号],B792)&lt;&gt;1,"组合编号无效",INDEX(Equipment[驱动品牌],MATCH(B792,Equipment[组合编号],0))))</x:f>
        <x:v>繁易</x:v>
      </x:c>
      <x:c r="E792" s="20" t="str">
        <x:v>H04</x:v>
      </x:c>
      <x:c r="F792" s="20"/>
      <x:c r="G792" s="20"/>
      <x:c r="H792" s="20" t="str">
        <x:v>待判定</x:v>
      </x:c>
      <x:c r="I792" s="20"/>
      <x:c r="J792" s="20" t="str">
        <x:v>未测试</x:v>
      </x:c>
      <x:c r="K792" s="20"/>
      <x:c r="L792" s="20"/>
      <x:c r="M792" s="20"/>
      <x:c r="N792" s="20"/>
      <x:c r="O792" s="31"/>
      <x:c r="P792" s="20"/>
      <x:c r="Q792" s="20"/>
      <x:c r="R792" s="20" t="str">
        <x:v>待展开</x:v>
      </x:c>
      <x:c r="S792" s="20"/>
      <x:c r="T792" s="31"/>
      <x:c r="U792" s="30" t="str">
        <x:f>IF(A792="","缺记录编号",IF(COUNTIFS(PathRecords[记录编号],A792)&lt;&gt;1,"记录编号重复",IF(OR(B792="",E792=""),"缺组合/功能",IF(COUNTIFS(Equipment[组合编号],B792)&lt;&gt;1,"组合编号无效",IF(COUNTIFS(FunctionMatrix[编号],E792)=0,"功能编号无效",IF(H792="不适用",IF(J792="已实测","适用性冲突",IF(I792="","待补不适用依据","不适用（非实测）")),IF(J792="阻塞",IF(I792="","待补阻塞原因","阻塞（非实测）"),IF(J792&lt;&gt;"已实测",IF(F792="","待展开路径","未实测"),IF(H792&lt;&gt;"适用","待确认适用性",IF(INDEX(Equipment[登记状态（自动）],MATCH(B792,Equipment[组合编号],0))&lt;&gt;"已登记","待补设备组合",IF(AND(F792&lt;&gt;"",G792&lt;&gt;"",K792&lt;&gt;"",L792&lt;&gt;"",M792&lt;&gt;"",N792&lt;&gt;"",ISNUMBER(O792),O792&gt;0,P792&lt;&gt;""),"记录齐全","待补实测记录")))))))))))</x:f>
        <x:v>待展开路径</x:v>
      </x:c>
    </x:row>
    <x:row r="793" ht="43.5" customHeight="1">
      <x:c r="A793" s="20" t="str">
        <x:v>REC-00784</x:v>
      </x:c>
      <x:c r="B793" s="20" t="str">
        <x:v>P2-B3-01</x:v>
      </x:c>
      <x:c r="C793" s="30" t="str">
        <x:f>IF(B793="","",IF(COUNTIFS(Equipment[组合编号],B793)&lt;&gt;1,"组合编号无效",INDEX(Equipment[PLC组],MATCH(B793,Equipment[组合编号],0))))</x:f>
        <x:v>汇川中大型</x:v>
      </x:c>
      <x:c r="D793" s="30" t="str">
        <x:f>IF(B793="","",IF(COUNTIFS(Equipment[组合编号],B793)&lt;&gt;1,"组合编号无效",INDEX(Equipment[驱动品牌],MATCH(B793,Equipment[组合编号],0))))</x:f>
        <x:v>繁易</x:v>
      </x:c>
      <x:c r="E793" s="20" t="str">
        <x:v>H05</x:v>
      </x:c>
      <x:c r="F793" s="20"/>
      <x:c r="G793" s="20"/>
      <x:c r="H793" s="20" t="str">
        <x:v>待判定</x:v>
      </x:c>
      <x:c r="I793" s="20"/>
      <x:c r="J793" s="20" t="str">
        <x:v>未测试</x:v>
      </x:c>
      <x:c r="K793" s="20"/>
      <x:c r="L793" s="20"/>
      <x:c r="M793" s="20"/>
      <x:c r="N793" s="20"/>
      <x:c r="O793" s="31"/>
      <x:c r="P793" s="20"/>
      <x:c r="Q793" s="20"/>
      <x:c r="R793" s="20" t="str">
        <x:v>待展开</x:v>
      </x:c>
      <x:c r="S793" s="20"/>
      <x:c r="T793" s="31"/>
      <x:c r="U793" s="30" t="str">
        <x:f>IF(A793="","缺记录编号",IF(COUNTIFS(PathRecords[记录编号],A793)&lt;&gt;1,"记录编号重复",IF(OR(B793="",E793=""),"缺组合/功能",IF(COUNTIFS(Equipment[组合编号],B793)&lt;&gt;1,"组合编号无效",IF(COUNTIFS(FunctionMatrix[编号],E793)=0,"功能编号无效",IF(H793="不适用",IF(J793="已实测","适用性冲突",IF(I793="","待补不适用依据","不适用（非实测）")),IF(J793="阻塞",IF(I793="","待补阻塞原因","阻塞（非实测）"),IF(J793&lt;&gt;"已实测",IF(F793="","待展开路径","未实测"),IF(H793&lt;&gt;"适用","待确认适用性",IF(INDEX(Equipment[登记状态（自动）],MATCH(B793,Equipment[组合编号],0))&lt;&gt;"已登记","待补设备组合",IF(AND(F793&lt;&gt;"",G793&lt;&gt;"",K793&lt;&gt;"",L793&lt;&gt;"",M793&lt;&gt;"",N793&lt;&gt;"",ISNUMBER(O793),O793&gt;0,P793&lt;&gt;""),"记录齐全","待补实测记录")))))))))))</x:f>
        <x:v>待展开路径</x:v>
      </x:c>
    </x:row>
    <x:row r="794" ht="43.5" customHeight="1">
      <x:c r="A794" s="20" t="str">
        <x:v>REC-00785</x:v>
      </x:c>
      <x:c r="B794" s="20" t="str">
        <x:v>P2-B3-01</x:v>
      </x:c>
      <x:c r="C794" s="30" t="str">
        <x:f>IF(B794="","",IF(COUNTIFS(Equipment[组合编号],B794)&lt;&gt;1,"组合编号无效",INDEX(Equipment[PLC组],MATCH(B794,Equipment[组合编号],0))))</x:f>
        <x:v>汇川中大型</x:v>
      </x:c>
      <x:c r="D794" s="30" t="str">
        <x:f>IF(B794="","",IF(COUNTIFS(Equipment[组合编号],B794)&lt;&gt;1,"组合编号无效",INDEX(Equipment[驱动品牌],MATCH(B794,Equipment[组合编号],0))))</x:f>
        <x:v>繁易</x:v>
      </x:c>
      <x:c r="E794" s="20" t="str">
        <x:v>H06</x:v>
      </x:c>
      <x:c r="F794" s="20"/>
      <x:c r="G794" s="20"/>
      <x:c r="H794" s="20" t="str">
        <x:v>待判定</x:v>
      </x:c>
      <x:c r="I794" s="20"/>
      <x:c r="J794" s="20" t="str">
        <x:v>未测试</x:v>
      </x:c>
      <x:c r="K794" s="20"/>
      <x:c r="L794" s="20"/>
      <x:c r="M794" s="20"/>
      <x:c r="N794" s="20"/>
      <x:c r="O794" s="31"/>
      <x:c r="P794" s="20"/>
      <x:c r="Q794" s="20"/>
      <x:c r="R794" s="20" t="str">
        <x:v>待展开</x:v>
      </x:c>
      <x:c r="S794" s="20"/>
      <x:c r="T794" s="31"/>
      <x:c r="U794" s="30" t="str">
        <x:f>IF(A794="","缺记录编号",IF(COUNTIFS(PathRecords[记录编号],A794)&lt;&gt;1,"记录编号重复",IF(OR(B794="",E794=""),"缺组合/功能",IF(COUNTIFS(Equipment[组合编号],B794)&lt;&gt;1,"组合编号无效",IF(COUNTIFS(FunctionMatrix[编号],E794)=0,"功能编号无效",IF(H794="不适用",IF(J794="已实测","适用性冲突",IF(I794="","待补不适用依据","不适用（非实测）")),IF(J794="阻塞",IF(I794="","待补阻塞原因","阻塞（非实测）"),IF(J794&lt;&gt;"已实测",IF(F794="","待展开路径","未实测"),IF(H794&lt;&gt;"适用","待确认适用性",IF(INDEX(Equipment[登记状态（自动）],MATCH(B794,Equipment[组合编号],0))&lt;&gt;"已登记","待补设备组合",IF(AND(F794&lt;&gt;"",G794&lt;&gt;"",K794&lt;&gt;"",L794&lt;&gt;"",M794&lt;&gt;"",N794&lt;&gt;"",ISNUMBER(O794),O794&gt;0,P794&lt;&gt;""),"记录齐全","待补实测记录")))))))))))</x:f>
        <x:v>待展开路径</x:v>
      </x:c>
    </x:row>
    <x:row r="795" ht="43.5" customHeight="1">
      <x:c r="A795" s="20" t="str">
        <x:v>REC-00786</x:v>
      </x:c>
      <x:c r="B795" s="20" t="str">
        <x:v>P2-B3-01</x:v>
      </x:c>
      <x:c r="C795" s="30" t="str">
        <x:f>IF(B795="","",IF(COUNTIFS(Equipment[组合编号],B795)&lt;&gt;1,"组合编号无效",INDEX(Equipment[PLC组],MATCH(B795,Equipment[组合编号],0))))</x:f>
        <x:v>汇川中大型</x:v>
      </x:c>
      <x:c r="D795" s="30" t="str">
        <x:f>IF(B795="","",IF(COUNTIFS(Equipment[组合编号],B795)&lt;&gt;1,"组合编号无效",INDEX(Equipment[驱动品牌],MATCH(B795,Equipment[组合编号],0))))</x:f>
        <x:v>繁易</x:v>
      </x:c>
      <x:c r="E795" s="20" t="str">
        <x:v>H07</x:v>
      </x:c>
      <x:c r="F795" s="20"/>
      <x:c r="G795" s="20"/>
      <x:c r="H795" s="20" t="str">
        <x:v>待判定</x:v>
      </x:c>
      <x:c r="I795" s="20"/>
      <x:c r="J795" s="20" t="str">
        <x:v>未测试</x:v>
      </x:c>
      <x:c r="K795" s="20"/>
      <x:c r="L795" s="20"/>
      <x:c r="M795" s="20"/>
      <x:c r="N795" s="20"/>
      <x:c r="O795" s="31"/>
      <x:c r="P795" s="20"/>
      <x:c r="Q795" s="20"/>
      <x:c r="R795" s="20" t="str">
        <x:v>待展开</x:v>
      </x:c>
      <x:c r="S795" s="20"/>
      <x:c r="T795" s="31"/>
      <x:c r="U795" s="30" t="str">
        <x:f>IF(A795="","缺记录编号",IF(COUNTIFS(PathRecords[记录编号],A795)&lt;&gt;1,"记录编号重复",IF(OR(B795="",E795=""),"缺组合/功能",IF(COUNTIFS(Equipment[组合编号],B795)&lt;&gt;1,"组合编号无效",IF(COUNTIFS(FunctionMatrix[编号],E795)=0,"功能编号无效",IF(H795="不适用",IF(J795="已实测","适用性冲突",IF(I795="","待补不适用依据","不适用（非实测）")),IF(J795="阻塞",IF(I795="","待补阻塞原因","阻塞（非实测）"),IF(J795&lt;&gt;"已实测",IF(F795="","待展开路径","未实测"),IF(H795&lt;&gt;"适用","待确认适用性",IF(INDEX(Equipment[登记状态（自动）],MATCH(B795,Equipment[组合编号],0))&lt;&gt;"已登记","待补设备组合",IF(AND(F795&lt;&gt;"",G795&lt;&gt;"",K795&lt;&gt;"",L795&lt;&gt;"",M795&lt;&gt;"",N795&lt;&gt;"",ISNUMBER(O795),O795&gt;0,P795&lt;&gt;""),"记录齐全","待补实测记录")))))))))))</x:f>
        <x:v>待展开路径</x:v>
      </x:c>
    </x:row>
    <x:row r="796" ht="43.5" customHeight="1">
      <x:c r="A796" s="20" t="str">
        <x:v>REC-00787</x:v>
      </x:c>
      <x:c r="B796" s="20" t="str">
        <x:v>P2-B3-01</x:v>
      </x:c>
      <x:c r="C796" s="30" t="str">
        <x:f>IF(B796="","",IF(COUNTIFS(Equipment[组合编号],B796)&lt;&gt;1,"组合编号无效",INDEX(Equipment[PLC组],MATCH(B796,Equipment[组合编号],0))))</x:f>
        <x:v>汇川中大型</x:v>
      </x:c>
      <x:c r="D796" s="30" t="str">
        <x:f>IF(B796="","",IF(COUNTIFS(Equipment[组合编号],B796)&lt;&gt;1,"组合编号无效",INDEX(Equipment[驱动品牌],MATCH(B796,Equipment[组合编号],0))))</x:f>
        <x:v>繁易</x:v>
      </x:c>
      <x:c r="E796" s="20" t="str">
        <x:v>H08</x:v>
      </x:c>
      <x:c r="F796" s="20"/>
      <x:c r="G796" s="20"/>
      <x:c r="H796" s="20" t="str">
        <x:v>待判定</x:v>
      </x:c>
      <x:c r="I796" s="20"/>
      <x:c r="J796" s="20" t="str">
        <x:v>未测试</x:v>
      </x:c>
      <x:c r="K796" s="20"/>
      <x:c r="L796" s="20"/>
      <x:c r="M796" s="20"/>
      <x:c r="N796" s="20"/>
      <x:c r="O796" s="31"/>
      <x:c r="P796" s="20"/>
      <x:c r="Q796" s="20"/>
      <x:c r="R796" s="20" t="str">
        <x:v>待展开</x:v>
      </x:c>
      <x:c r="S796" s="20"/>
      <x:c r="T796" s="31"/>
      <x:c r="U796" s="30" t="str">
        <x:f>IF(A796="","缺记录编号",IF(COUNTIFS(PathRecords[记录编号],A796)&lt;&gt;1,"记录编号重复",IF(OR(B796="",E796=""),"缺组合/功能",IF(COUNTIFS(Equipment[组合编号],B796)&lt;&gt;1,"组合编号无效",IF(COUNTIFS(FunctionMatrix[编号],E796)=0,"功能编号无效",IF(H796="不适用",IF(J796="已实测","适用性冲突",IF(I796="","待补不适用依据","不适用（非实测）")),IF(J796="阻塞",IF(I796="","待补阻塞原因","阻塞（非实测）"),IF(J796&lt;&gt;"已实测",IF(F796="","待展开路径","未实测"),IF(H796&lt;&gt;"适用","待确认适用性",IF(INDEX(Equipment[登记状态（自动）],MATCH(B796,Equipment[组合编号],0))&lt;&gt;"已登记","待补设备组合",IF(AND(F796&lt;&gt;"",G796&lt;&gt;"",K796&lt;&gt;"",L796&lt;&gt;"",M796&lt;&gt;"",N796&lt;&gt;"",ISNUMBER(O796),O796&gt;0,P796&lt;&gt;""),"记录齐全","待补实测记录")))))))))))</x:f>
        <x:v>待展开路径</x:v>
      </x:c>
    </x:row>
    <x:row r="797" ht="43.5" customHeight="1">
      <x:c r="A797" s="20" t="str">
        <x:v>REC-00788</x:v>
      </x:c>
      <x:c r="B797" s="20" t="str">
        <x:v>P2-B3-01</x:v>
      </x:c>
      <x:c r="C797" s="30" t="str">
        <x:f>IF(B797="","",IF(COUNTIFS(Equipment[组合编号],B797)&lt;&gt;1,"组合编号无效",INDEX(Equipment[PLC组],MATCH(B797,Equipment[组合编号],0))))</x:f>
        <x:v>汇川中大型</x:v>
      </x:c>
      <x:c r="D797" s="30" t="str">
        <x:f>IF(B797="","",IF(COUNTIFS(Equipment[组合编号],B797)&lt;&gt;1,"组合编号无效",INDEX(Equipment[驱动品牌],MATCH(B797,Equipment[组合编号],0))))</x:f>
        <x:v>繁易</x:v>
      </x:c>
      <x:c r="E797" s="20" t="str">
        <x:v>H09</x:v>
      </x:c>
      <x:c r="F797" s="20"/>
      <x:c r="G797" s="20"/>
      <x:c r="H797" s="20" t="str">
        <x:v>待判定</x:v>
      </x:c>
      <x:c r="I797" s="20"/>
      <x:c r="J797" s="20" t="str">
        <x:v>未测试</x:v>
      </x:c>
      <x:c r="K797" s="20"/>
      <x:c r="L797" s="20"/>
      <x:c r="M797" s="20"/>
      <x:c r="N797" s="20"/>
      <x:c r="O797" s="31"/>
      <x:c r="P797" s="20"/>
      <x:c r="Q797" s="20"/>
      <x:c r="R797" s="20" t="str">
        <x:v>待展开</x:v>
      </x:c>
      <x:c r="S797" s="20"/>
      <x:c r="T797" s="31"/>
      <x:c r="U797" s="30" t="str">
        <x:f>IF(A797="","缺记录编号",IF(COUNTIFS(PathRecords[记录编号],A797)&lt;&gt;1,"记录编号重复",IF(OR(B797="",E797=""),"缺组合/功能",IF(COUNTIFS(Equipment[组合编号],B797)&lt;&gt;1,"组合编号无效",IF(COUNTIFS(FunctionMatrix[编号],E797)=0,"功能编号无效",IF(H797="不适用",IF(J797="已实测","适用性冲突",IF(I797="","待补不适用依据","不适用（非实测）")),IF(J797="阻塞",IF(I797="","待补阻塞原因","阻塞（非实测）"),IF(J797&lt;&gt;"已实测",IF(F797="","待展开路径","未实测"),IF(H797&lt;&gt;"适用","待确认适用性",IF(INDEX(Equipment[登记状态（自动）],MATCH(B797,Equipment[组合编号],0))&lt;&gt;"已登记","待补设备组合",IF(AND(F797&lt;&gt;"",G797&lt;&gt;"",K797&lt;&gt;"",L797&lt;&gt;"",M797&lt;&gt;"",N797&lt;&gt;"",ISNUMBER(O797),O797&gt;0,P797&lt;&gt;""),"记录齐全","待补实测记录")))))))))))</x:f>
        <x:v>待展开路径</x:v>
      </x:c>
    </x:row>
    <x:row r="798" ht="43.5" customHeight="1">
      <x:c r="A798" s="20" t="str">
        <x:v>REC-00789</x:v>
      </x:c>
      <x:c r="B798" s="20" t="str">
        <x:v>P2-B3-01</x:v>
      </x:c>
      <x:c r="C798" s="30" t="str">
        <x:f>IF(B798="","",IF(COUNTIFS(Equipment[组合编号],B798)&lt;&gt;1,"组合编号无效",INDEX(Equipment[PLC组],MATCH(B798,Equipment[组合编号],0))))</x:f>
        <x:v>汇川中大型</x:v>
      </x:c>
      <x:c r="D798" s="30" t="str">
        <x:f>IF(B798="","",IF(COUNTIFS(Equipment[组合编号],B798)&lt;&gt;1,"组合编号无效",INDEX(Equipment[驱动品牌],MATCH(B798,Equipment[组合编号],0))))</x:f>
        <x:v>繁易</x:v>
      </x:c>
      <x:c r="E798" s="20" t="str">
        <x:v>H10</x:v>
      </x:c>
      <x:c r="F798" s="20"/>
      <x:c r="G798" s="20"/>
      <x:c r="H798" s="20" t="str">
        <x:v>待判定</x:v>
      </x:c>
      <x:c r="I798" s="20"/>
      <x:c r="J798" s="20" t="str">
        <x:v>未测试</x:v>
      </x:c>
      <x:c r="K798" s="20"/>
      <x:c r="L798" s="20"/>
      <x:c r="M798" s="20"/>
      <x:c r="N798" s="20"/>
      <x:c r="O798" s="31"/>
      <x:c r="P798" s="20"/>
      <x:c r="Q798" s="20"/>
      <x:c r="R798" s="20" t="str">
        <x:v>待展开</x:v>
      </x:c>
      <x:c r="S798" s="20"/>
      <x:c r="T798" s="31"/>
      <x:c r="U798" s="30" t="str">
        <x:f>IF(A798="","缺记录编号",IF(COUNTIFS(PathRecords[记录编号],A798)&lt;&gt;1,"记录编号重复",IF(OR(B798="",E798=""),"缺组合/功能",IF(COUNTIFS(Equipment[组合编号],B798)&lt;&gt;1,"组合编号无效",IF(COUNTIFS(FunctionMatrix[编号],E798)=0,"功能编号无效",IF(H798="不适用",IF(J798="已实测","适用性冲突",IF(I798="","待补不适用依据","不适用（非实测）")),IF(J798="阻塞",IF(I798="","待补阻塞原因","阻塞（非实测）"),IF(J798&lt;&gt;"已实测",IF(F798="","待展开路径","未实测"),IF(H798&lt;&gt;"适用","待确认适用性",IF(INDEX(Equipment[登记状态（自动）],MATCH(B798,Equipment[组合编号],0))&lt;&gt;"已登记","待补设备组合",IF(AND(F798&lt;&gt;"",G798&lt;&gt;"",K798&lt;&gt;"",L798&lt;&gt;"",M798&lt;&gt;"",N798&lt;&gt;"",ISNUMBER(O798),O798&gt;0,P798&lt;&gt;""),"记录齐全","待补实测记录")))))))))))</x:f>
        <x:v>待展开路径</x:v>
      </x:c>
    </x:row>
    <x:row r="799" ht="43.5" customHeight="1">
      <x:c r="A799" s="20" t="str">
        <x:v>REC-00790</x:v>
      </x:c>
      <x:c r="B799" s="20" t="str">
        <x:v>P2-B3-01</x:v>
      </x:c>
      <x:c r="C799" s="30" t="str">
        <x:f>IF(B799="","",IF(COUNTIFS(Equipment[组合编号],B799)&lt;&gt;1,"组合编号无效",INDEX(Equipment[PLC组],MATCH(B799,Equipment[组合编号],0))))</x:f>
        <x:v>汇川中大型</x:v>
      </x:c>
      <x:c r="D799" s="30" t="str">
        <x:f>IF(B799="","",IF(COUNTIFS(Equipment[组合编号],B799)&lt;&gt;1,"组合编号无效",INDEX(Equipment[驱动品牌],MATCH(B799,Equipment[组合编号],0))))</x:f>
        <x:v>繁易</x:v>
      </x:c>
      <x:c r="E799" s="20" t="str">
        <x:v>H11</x:v>
      </x:c>
      <x:c r="F799" s="20"/>
      <x:c r="G799" s="20"/>
      <x:c r="H799" s="20" t="str">
        <x:v>待判定</x:v>
      </x:c>
      <x:c r="I799" s="20"/>
      <x:c r="J799" s="20" t="str">
        <x:v>未测试</x:v>
      </x:c>
      <x:c r="K799" s="20"/>
      <x:c r="L799" s="20"/>
      <x:c r="M799" s="20"/>
      <x:c r="N799" s="20"/>
      <x:c r="O799" s="31"/>
      <x:c r="P799" s="20"/>
      <x:c r="Q799" s="20"/>
      <x:c r="R799" s="20" t="str">
        <x:v>待展开</x:v>
      </x:c>
      <x:c r="S799" s="20"/>
      <x:c r="T799" s="31"/>
      <x:c r="U799" s="30" t="str">
        <x:f>IF(A799="","缺记录编号",IF(COUNTIFS(PathRecords[记录编号],A799)&lt;&gt;1,"记录编号重复",IF(OR(B799="",E799=""),"缺组合/功能",IF(COUNTIFS(Equipment[组合编号],B799)&lt;&gt;1,"组合编号无效",IF(COUNTIFS(FunctionMatrix[编号],E799)=0,"功能编号无效",IF(H799="不适用",IF(J799="已实测","适用性冲突",IF(I799="","待补不适用依据","不适用（非实测）")),IF(J799="阻塞",IF(I799="","待补阻塞原因","阻塞（非实测）"),IF(J799&lt;&gt;"已实测",IF(F799="","待展开路径","未实测"),IF(H799&lt;&gt;"适用","待确认适用性",IF(INDEX(Equipment[登记状态（自动）],MATCH(B799,Equipment[组合编号],0))&lt;&gt;"已登记","待补设备组合",IF(AND(F799&lt;&gt;"",G799&lt;&gt;"",K799&lt;&gt;"",L799&lt;&gt;"",M799&lt;&gt;"",N799&lt;&gt;"",ISNUMBER(O799),O799&gt;0,P799&lt;&gt;""),"记录齐全","待补实测记录")))))))))))</x:f>
        <x:v>待展开路径</x:v>
      </x:c>
    </x:row>
    <x:row r="800" ht="43.5" customHeight="1">
      <x:c r="A800" s="20" t="str">
        <x:v>REC-00791</x:v>
      </x:c>
      <x:c r="B800" s="20" t="str">
        <x:v>P2-B3-01</x:v>
      </x:c>
      <x:c r="C800" s="30" t="str">
        <x:f>IF(B800="","",IF(COUNTIFS(Equipment[组合编号],B800)&lt;&gt;1,"组合编号无效",INDEX(Equipment[PLC组],MATCH(B800,Equipment[组合编号],0))))</x:f>
        <x:v>汇川中大型</x:v>
      </x:c>
      <x:c r="D800" s="30" t="str">
        <x:f>IF(B800="","",IF(COUNTIFS(Equipment[组合编号],B800)&lt;&gt;1,"组合编号无效",INDEX(Equipment[驱动品牌],MATCH(B800,Equipment[组合编号],0))))</x:f>
        <x:v>繁易</x:v>
      </x:c>
      <x:c r="E800" s="20" t="str">
        <x:v>N01</x:v>
      </x:c>
      <x:c r="F800" s="20"/>
      <x:c r="G800" s="20"/>
      <x:c r="H800" s="20" t="str">
        <x:v>待判定</x:v>
      </x:c>
      <x:c r="I800" s="20"/>
      <x:c r="J800" s="20" t="str">
        <x:v>未测试</x:v>
      </x:c>
      <x:c r="K800" s="20"/>
      <x:c r="L800" s="20"/>
      <x:c r="M800" s="20"/>
      <x:c r="N800" s="20"/>
      <x:c r="O800" s="31"/>
      <x:c r="P800" s="20"/>
      <x:c r="Q800" s="20"/>
      <x:c r="R800" s="20" t="str">
        <x:v>待展开</x:v>
      </x:c>
      <x:c r="S800" s="20"/>
      <x:c r="T800" s="31"/>
      <x:c r="U800" s="30" t="str">
        <x:f>IF(A800="","缺记录编号",IF(COUNTIFS(PathRecords[记录编号],A800)&lt;&gt;1,"记录编号重复",IF(OR(B800="",E800=""),"缺组合/功能",IF(COUNTIFS(Equipment[组合编号],B800)&lt;&gt;1,"组合编号无效",IF(COUNTIFS(FunctionMatrix[编号],E800)=0,"功能编号无效",IF(H800="不适用",IF(J800="已实测","适用性冲突",IF(I800="","待补不适用依据","不适用（非实测）")),IF(J800="阻塞",IF(I800="","待补阻塞原因","阻塞（非实测）"),IF(J800&lt;&gt;"已实测",IF(F800="","待展开路径","未实测"),IF(H800&lt;&gt;"适用","待确认适用性",IF(INDEX(Equipment[登记状态（自动）],MATCH(B800,Equipment[组合编号],0))&lt;&gt;"已登记","待补设备组合",IF(AND(F800&lt;&gt;"",G800&lt;&gt;"",K800&lt;&gt;"",L800&lt;&gt;"",M800&lt;&gt;"",N800&lt;&gt;"",ISNUMBER(O800),O800&gt;0,P800&lt;&gt;""),"记录齐全","待补实测记录")))))))))))</x:f>
        <x:v>待展开路径</x:v>
      </x:c>
    </x:row>
    <x:row r="801" ht="43.5" customHeight="1">
      <x:c r="A801" s="20" t="str">
        <x:v>REC-00792</x:v>
      </x:c>
      <x:c r="B801" s="20" t="str">
        <x:v>P2-B3-01</x:v>
      </x:c>
      <x:c r="C801" s="30" t="str">
        <x:f>IF(B801="","",IF(COUNTIFS(Equipment[组合编号],B801)&lt;&gt;1,"组合编号无效",INDEX(Equipment[PLC组],MATCH(B801,Equipment[组合编号],0))))</x:f>
        <x:v>汇川中大型</x:v>
      </x:c>
      <x:c r="D801" s="30" t="str">
        <x:f>IF(B801="","",IF(COUNTIFS(Equipment[组合编号],B801)&lt;&gt;1,"组合编号无效",INDEX(Equipment[驱动品牌],MATCH(B801,Equipment[组合编号],0))))</x:f>
        <x:v>繁易</x:v>
      </x:c>
      <x:c r="E801" s="20" t="str">
        <x:v>N02</x:v>
      </x:c>
      <x:c r="F801" s="20"/>
      <x:c r="G801" s="20"/>
      <x:c r="H801" s="20" t="str">
        <x:v>待判定</x:v>
      </x:c>
      <x:c r="I801" s="20"/>
      <x:c r="J801" s="20" t="str">
        <x:v>未测试</x:v>
      </x:c>
      <x:c r="K801" s="20"/>
      <x:c r="L801" s="20"/>
      <x:c r="M801" s="20"/>
      <x:c r="N801" s="20"/>
      <x:c r="O801" s="31"/>
      <x:c r="P801" s="20"/>
      <x:c r="Q801" s="20"/>
      <x:c r="R801" s="20" t="str">
        <x:v>待展开</x:v>
      </x:c>
      <x:c r="S801" s="20"/>
      <x:c r="T801" s="31"/>
      <x:c r="U801" s="30" t="str">
        <x:f>IF(A801="","缺记录编号",IF(COUNTIFS(PathRecords[记录编号],A801)&lt;&gt;1,"记录编号重复",IF(OR(B801="",E801=""),"缺组合/功能",IF(COUNTIFS(Equipment[组合编号],B801)&lt;&gt;1,"组合编号无效",IF(COUNTIFS(FunctionMatrix[编号],E801)=0,"功能编号无效",IF(H801="不适用",IF(J801="已实测","适用性冲突",IF(I801="","待补不适用依据","不适用（非实测）")),IF(J801="阻塞",IF(I801="","待补阻塞原因","阻塞（非实测）"),IF(J801&lt;&gt;"已实测",IF(F801="","待展开路径","未实测"),IF(H801&lt;&gt;"适用","待确认适用性",IF(INDEX(Equipment[登记状态（自动）],MATCH(B801,Equipment[组合编号],0))&lt;&gt;"已登记","待补设备组合",IF(AND(F801&lt;&gt;"",G801&lt;&gt;"",K801&lt;&gt;"",L801&lt;&gt;"",M801&lt;&gt;"",N801&lt;&gt;"",ISNUMBER(O801),O801&gt;0,P801&lt;&gt;""),"记录齐全","待补实测记录")))))))))))</x:f>
        <x:v>待展开路径</x:v>
      </x:c>
    </x:row>
    <x:row r="802" ht="43.5" customHeight="1">
      <x:c r="A802" s="20" t="str">
        <x:v>REC-00793</x:v>
      </x:c>
      <x:c r="B802" s="20" t="str">
        <x:v>P2-B3-01</x:v>
      </x:c>
      <x:c r="C802" s="30" t="str">
        <x:f>IF(B802="","",IF(COUNTIFS(Equipment[组合编号],B802)&lt;&gt;1,"组合编号无效",INDEX(Equipment[PLC组],MATCH(B802,Equipment[组合编号],0))))</x:f>
        <x:v>汇川中大型</x:v>
      </x:c>
      <x:c r="D802" s="30" t="str">
        <x:f>IF(B802="","",IF(COUNTIFS(Equipment[组合编号],B802)&lt;&gt;1,"组合编号无效",INDEX(Equipment[驱动品牌],MATCH(B802,Equipment[组合编号],0))))</x:f>
        <x:v>繁易</x:v>
      </x:c>
      <x:c r="E802" s="20" t="str">
        <x:v>N03</x:v>
      </x:c>
      <x:c r="F802" s="20"/>
      <x:c r="G802" s="20"/>
      <x:c r="H802" s="20" t="str">
        <x:v>待判定</x:v>
      </x:c>
      <x:c r="I802" s="20"/>
      <x:c r="J802" s="20" t="str">
        <x:v>未测试</x:v>
      </x:c>
      <x:c r="K802" s="20"/>
      <x:c r="L802" s="20"/>
      <x:c r="M802" s="20"/>
      <x:c r="N802" s="20"/>
      <x:c r="O802" s="31"/>
      <x:c r="P802" s="20"/>
      <x:c r="Q802" s="20"/>
      <x:c r="R802" s="20" t="str">
        <x:v>待展开</x:v>
      </x:c>
      <x:c r="S802" s="20"/>
      <x:c r="T802" s="31"/>
      <x:c r="U802" s="30" t="str">
        <x:f>IF(A802="","缺记录编号",IF(COUNTIFS(PathRecords[记录编号],A802)&lt;&gt;1,"记录编号重复",IF(OR(B802="",E802=""),"缺组合/功能",IF(COUNTIFS(Equipment[组合编号],B802)&lt;&gt;1,"组合编号无效",IF(COUNTIFS(FunctionMatrix[编号],E802)=0,"功能编号无效",IF(H802="不适用",IF(J802="已实测","适用性冲突",IF(I802="","待补不适用依据","不适用（非实测）")),IF(J802="阻塞",IF(I802="","待补阻塞原因","阻塞（非实测）"),IF(J802&lt;&gt;"已实测",IF(F802="","待展开路径","未实测"),IF(H802&lt;&gt;"适用","待确认适用性",IF(INDEX(Equipment[登记状态（自动）],MATCH(B802,Equipment[组合编号],0))&lt;&gt;"已登记","待补设备组合",IF(AND(F802&lt;&gt;"",G802&lt;&gt;"",K802&lt;&gt;"",L802&lt;&gt;"",M802&lt;&gt;"",N802&lt;&gt;"",ISNUMBER(O802),O802&gt;0,P802&lt;&gt;""),"记录齐全","待补实测记录")))))))))))</x:f>
        <x:v>待展开路径</x:v>
      </x:c>
    </x:row>
    <x:row r="803" ht="43.5" customHeight="1">
      <x:c r="A803" s="20" t="str">
        <x:v>REC-00794</x:v>
      </x:c>
      <x:c r="B803" s="20" t="str">
        <x:v>P2-B3-01</x:v>
      </x:c>
      <x:c r="C803" s="30" t="str">
        <x:f>IF(B803="","",IF(COUNTIFS(Equipment[组合编号],B803)&lt;&gt;1,"组合编号无效",INDEX(Equipment[PLC组],MATCH(B803,Equipment[组合编号],0))))</x:f>
        <x:v>汇川中大型</x:v>
      </x:c>
      <x:c r="D803" s="30" t="str">
        <x:f>IF(B803="","",IF(COUNTIFS(Equipment[组合编号],B803)&lt;&gt;1,"组合编号无效",INDEX(Equipment[驱动品牌],MATCH(B803,Equipment[组合编号],0))))</x:f>
        <x:v>繁易</x:v>
      </x:c>
      <x:c r="E803" s="20" t="str">
        <x:v>N04</x:v>
      </x:c>
      <x:c r="F803" s="20"/>
      <x:c r="G803" s="20"/>
      <x:c r="H803" s="20" t="str">
        <x:v>待判定</x:v>
      </x:c>
      <x:c r="I803" s="20"/>
      <x:c r="J803" s="20" t="str">
        <x:v>未测试</x:v>
      </x:c>
      <x:c r="K803" s="20"/>
      <x:c r="L803" s="20"/>
      <x:c r="M803" s="20"/>
      <x:c r="N803" s="20"/>
      <x:c r="O803" s="31"/>
      <x:c r="P803" s="20"/>
      <x:c r="Q803" s="20"/>
      <x:c r="R803" s="20" t="str">
        <x:v>待展开</x:v>
      </x:c>
      <x:c r="S803" s="20"/>
      <x:c r="T803" s="31"/>
      <x:c r="U803" s="30" t="str">
        <x:f>IF(A803="","缺记录编号",IF(COUNTIFS(PathRecords[记录编号],A803)&lt;&gt;1,"记录编号重复",IF(OR(B803="",E803=""),"缺组合/功能",IF(COUNTIFS(Equipment[组合编号],B803)&lt;&gt;1,"组合编号无效",IF(COUNTIFS(FunctionMatrix[编号],E803)=0,"功能编号无效",IF(H803="不适用",IF(J803="已实测","适用性冲突",IF(I803="","待补不适用依据","不适用（非实测）")),IF(J803="阻塞",IF(I803="","待补阻塞原因","阻塞（非实测）"),IF(J803&lt;&gt;"已实测",IF(F803="","待展开路径","未实测"),IF(H803&lt;&gt;"适用","待确认适用性",IF(INDEX(Equipment[登记状态（自动）],MATCH(B803,Equipment[组合编号],0))&lt;&gt;"已登记","待补设备组合",IF(AND(F803&lt;&gt;"",G803&lt;&gt;"",K803&lt;&gt;"",L803&lt;&gt;"",M803&lt;&gt;"",N803&lt;&gt;"",ISNUMBER(O803),O803&gt;0,P803&lt;&gt;""),"记录齐全","待补实测记录")))))))))))</x:f>
        <x:v>待展开路径</x:v>
      </x:c>
    </x:row>
    <x:row r="804" ht="43.5" customHeight="1">
      <x:c r="A804" s="20" t="str">
        <x:v>REC-00795</x:v>
      </x:c>
      <x:c r="B804" s="20" t="str">
        <x:v>P2-B3-01</x:v>
      </x:c>
      <x:c r="C804" s="30" t="str">
        <x:f>IF(B804="","",IF(COUNTIFS(Equipment[组合编号],B804)&lt;&gt;1,"组合编号无效",INDEX(Equipment[PLC组],MATCH(B804,Equipment[组合编号],0))))</x:f>
        <x:v>汇川中大型</x:v>
      </x:c>
      <x:c r="D804" s="30" t="str">
        <x:f>IF(B804="","",IF(COUNTIFS(Equipment[组合编号],B804)&lt;&gt;1,"组合编号无效",INDEX(Equipment[驱动品牌],MATCH(B804,Equipment[组合编号],0))))</x:f>
        <x:v>繁易</x:v>
      </x:c>
      <x:c r="E804" s="20" t="str">
        <x:v>N05</x:v>
      </x:c>
      <x:c r="F804" s="20"/>
      <x:c r="G804" s="20"/>
      <x:c r="H804" s="20" t="str">
        <x:v>待判定</x:v>
      </x:c>
      <x:c r="I804" s="20"/>
      <x:c r="J804" s="20" t="str">
        <x:v>未测试</x:v>
      </x:c>
      <x:c r="K804" s="20"/>
      <x:c r="L804" s="20"/>
      <x:c r="M804" s="20"/>
      <x:c r="N804" s="20"/>
      <x:c r="O804" s="31"/>
      <x:c r="P804" s="20"/>
      <x:c r="Q804" s="20"/>
      <x:c r="R804" s="20" t="str">
        <x:v>待展开</x:v>
      </x:c>
      <x:c r="S804" s="20"/>
      <x:c r="T804" s="31"/>
      <x:c r="U804" s="30" t="str">
        <x:f>IF(A804="","缺记录编号",IF(COUNTIFS(PathRecords[记录编号],A804)&lt;&gt;1,"记录编号重复",IF(OR(B804="",E804=""),"缺组合/功能",IF(COUNTIFS(Equipment[组合编号],B804)&lt;&gt;1,"组合编号无效",IF(COUNTIFS(FunctionMatrix[编号],E804)=0,"功能编号无效",IF(H804="不适用",IF(J804="已实测","适用性冲突",IF(I804="","待补不适用依据","不适用（非实测）")),IF(J804="阻塞",IF(I804="","待补阻塞原因","阻塞（非实测）"),IF(J804&lt;&gt;"已实测",IF(F804="","待展开路径","未实测"),IF(H804&lt;&gt;"适用","待确认适用性",IF(INDEX(Equipment[登记状态（自动）],MATCH(B804,Equipment[组合编号],0))&lt;&gt;"已登记","待补设备组合",IF(AND(F804&lt;&gt;"",G804&lt;&gt;"",K804&lt;&gt;"",L804&lt;&gt;"",M804&lt;&gt;"",N804&lt;&gt;"",ISNUMBER(O804),O804&gt;0,P804&lt;&gt;""),"记录齐全","待补实测记录")))))))))))</x:f>
        <x:v>待展开路径</x:v>
      </x:c>
    </x:row>
    <x:row r="805" ht="43.5" customHeight="1">
      <x:c r="A805" s="20" t="str">
        <x:v>REC-00796</x:v>
      </x:c>
      <x:c r="B805" s="20" t="str">
        <x:v>P2-B3-01</x:v>
      </x:c>
      <x:c r="C805" s="30" t="str">
        <x:f>IF(B805="","",IF(COUNTIFS(Equipment[组合编号],B805)&lt;&gt;1,"组合编号无效",INDEX(Equipment[PLC组],MATCH(B805,Equipment[组合编号],0))))</x:f>
        <x:v>汇川中大型</x:v>
      </x:c>
      <x:c r="D805" s="30" t="str">
        <x:f>IF(B805="","",IF(COUNTIFS(Equipment[组合编号],B805)&lt;&gt;1,"组合编号无效",INDEX(Equipment[驱动品牌],MATCH(B805,Equipment[组合编号],0))))</x:f>
        <x:v>繁易</x:v>
      </x:c>
      <x:c r="E805" s="20" t="str">
        <x:v>N06</x:v>
      </x:c>
      <x:c r="F805" s="20"/>
      <x:c r="G805" s="20"/>
      <x:c r="H805" s="20" t="str">
        <x:v>待判定</x:v>
      </x:c>
      <x:c r="I805" s="20"/>
      <x:c r="J805" s="20" t="str">
        <x:v>未测试</x:v>
      </x:c>
      <x:c r="K805" s="20"/>
      <x:c r="L805" s="20"/>
      <x:c r="M805" s="20"/>
      <x:c r="N805" s="20"/>
      <x:c r="O805" s="31"/>
      <x:c r="P805" s="20"/>
      <x:c r="Q805" s="20"/>
      <x:c r="R805" s="20" t="str">
        <x:v>待展开</x:v>
      </x:c>
      <x:c r="S805" s="20"/>
      <x:c r="T805" s="31"/>
      <x:c r="U805" s="30" t="str">
        <x:f>IF(A805="","缺记录编号",IF(COUNTIFS(PathRecords[记录编号],A805)&lt;&gt;1,"记录编号重复",IF(OR(B805="",E805=""),"缺组合/功能",IF(COUNTIFS(Equipment[组合编号],B805)&lt;&gt;1,"组合编号无效",IF(COUNTIFS(FunctionMatrix[编号],E805)=0,"功能编号无效",IF(H805="不适用",IF(J805="已实测","适用性冲突",IF(I805="","待补不适用依据","不适用（非实测）")),IF(J805="阻塞",IF(I805="","待补阻塞原因","阻塞（非实测）"),IF(J805&lt;&gt;"已实测",IF(F805="","待展开路径","未实测"),IF(H805&lt;&gt;"适用","待确认适用性",IF(INDEX(Equipment[登记状态（自动）],MATCH(B805,Equipment[组合编号],0))&lt;&gt;"已登记","待补设备组合",IF(AND(F805&lt;&gt;"",G805&lt;&gt;"",K805&lt;&gt;"",L805&lt;&gt;"",M805&lt;&gt;"",N805&lt;&gt;"",ISNUMBER(O805),O805&gt;0,P805&lt;&gt;""),"记录齐全","待补实测记录")))))))))))</x:f>
        <x:v>待展开路径</x:v>
      </x:c>
    </x:row>
    <x:row r="806" ht="43.5" customHeight="1">
      <x:c r="A806" s="20" t="str">
        <x:v>REC-00797</x:v>
      </x:c>
      <x:c r="B806" s="20" t="str">
        <x:v>P2-B3-01</x:v>
      </x:c>
      <x:c r="C806" s="30" t="str">
        <x:f>IF(B806="","",IF(COUNTIFS(Equipment[组合编号],B806)&lt;&gt;1,"组合编号无效",INDEX(Equipment[PLC组],MATCH(B806,Equipment[组合编号],0))))</x:f>
        <x:v>汇川中大型</x:v>
      </x:c>
      <x:c r="D806" s="30" t="str">
        <x:f>IF(B806="","",IF(COUNTIFS(Equipment[组合编号],B806)&lt;&gt;1,"组合编号无效",INDEX(Equipment[驱动品牌],MATCH(B806,Equipment[组合编号],0))))</x:f>
        <x:v>繁易</x:v>
      </x:c>
      <x:c r="E806" s="20" t="str">
        <x:v>N07</x:v>
      </x:c>
      <x:c r="F806" s="20"/>
      <x:c r="G806" s="20"/>
      <x:c r="H806" s="20" t="str">
        <x:v>待判定</x:v>
      </x:c>
      <x:c r="I806" s="20"/>
      <x:c r="J806" s="20" t="str">
        <x:v>未测试</x:v>
      </x:c>
      <x:c r="K806" s="20"/>
      <x:c r="L806" s="20"/>
      <x:c r="M806" s="20"/>
      <x:c r="N806" s="20"/>
      <x:c r="O806" s="31"/>
      <x:c r="P806" s="20"/>
      <x:c r="Q806" s="20"/>
      <x:c r="R806" s="20" t="str">
        <x:v>待展开</x:v>
      </x:c>
      <x:c r="S806" s="20"/>
      <x:c r="T806" s="31"/>
      <x:c r="U806" s="30" t="str">
        <x:f>IF(A806="","缺记录编号",IF(COUNTIFS(PathRecords[记录编号],A806)&lt;&gt;1,"记录编号重复",IF(OR(B806="",E806=""),"缺组合/功能",IF(COUNTIFS(Equipment[组合编号],B806)&lt;&gt;1,"组合编号无效",IF(COUNTIFS(FunctionMatrix[编号],E806)=0,"功能编号无效",IF(H806="不适用",IF(J806="已实测","适用性冲突",IF(I806="","待补不适用依据","不适用（非实测）")),IF(J806="阻塞",IF(I806="","待补阻塞原因","阻塞（非实测）"),IF(J806&lt;&gt;"已实测",IF(F806="","待展开路径","未实测"),IF(H806&lt;&gt;"适用","待确认适用性",IF(INDEX(Equipment[登记状态（自动）],MATCH(B806,Equipment[组合编号],0))&lt;&gt;"已登记","待补设备组合",IF(AND(F806&lt;&gt;"",G806&lt;&gt;"",K806&lt;&gt;"",L806&lt;&gt;"",M806&lt;&gt;"",N806&lt;&gt;"",ISNUMBER(O806),O806&gt;0,P806&lt;&gt;""),"记录齐全","待补实测记录")))))))))))</x:f>
        <x:v>待展开路径</x:v>
      </x:c>
    </x:row>
    <x:row r="807" ht="43.5" customHeight="1">
      <x:c r="A807" s="20" t="str">
        <x:v>REC-00798</x:v>
      </x:c>
      <x:c r="B807" s="20" t="str">
        <x:v>P2-B3-01</x:v>
      </x:c>
      <x:c r="C807" s="30" t="str">
        <x:f>IF(B807="","",IF(COUNTIFS(Equipment[组合编号],B807)&lt;&gt;1,"组合编号无效",INDEX(Equipment[PLC组],MATCH(B807,Equipment[组合编号],0))))</x:f>
        <x:v>汇川中大型</x:v>
      </x:c>
      <x:c r="D807" s="30" t="str">
        <x:f>IF(B807="","",IF(COUNTIFS(Equipment[组合编号],B807)&lt;&gt;1,"组合编号无效",INDEX(Equipment[驱动品牌],MATCH(B807,Equipment[组合编号],0))))</x:f>
        <x:v>繁易</x:v>
      </x:c>
      <x:c r="E807" s="20" t="str">
        <x:v>N08</x:v>
      </x:c>
      <x:c r="F807" s="20"/>
      <x:c r="G807" s="20"/>
      <x:c r="H807" s="20" t="str">
        <x:v>待判定</x:v>
      </x:c>
      <x:c r="I807" s="20"/>
      <x:c r="J807" s="20" t="str">
        <x:v>未测试</x:v>
      </x:c>
      <x:c r="K807" s="20"/>
      <x:c r="L807" s="20"/>
      <x:c r="M807" s="20"/>
      <x:c r="N807" s="20"/>
      <x:c r="O807" s="31"/>
      <x:c r="P807" s="20"/>
      <x:c r="Q807" s="20"/>
      <x:c r="R807" s="20" t="str">
        <x:v>待展开</x:v>
      </x:c>
      <x:c r="S807" s="20"/>
      <x:c r="T807" s="31"/>
      <x:c r="U807" s="30" t="str">
        <x:f>IF(A807="","缺记录编号",IF(COUNTIFS(PathRecords[记录编号],A807)&lt;&gt;1,"记录编号重复",IF(OR(B807="",E807=""),"缺组合/功能",IF(COUNTIFS(Equipment[组合编号],B807)&lt;&gt;1,"组合编号无效",IF(COUNTIFS(FunctionMatrix[编号],E807)=0,"功能编号无效",IF(H807="不适用",IF(J807="已实测","适用性冲突",IF(I807="","待补不适用依据","不适用（非实测）")),IF(J807="阻塞",IF(I807="","待补阻塞原因","阻塞（非实测）"),IF(J807&lt;&gt;"已实测",IF(F807="","待展开路径","未实测"),IF(H807&lt;&gt;"适用","待确认适用性",IF(INDEX(Equipment[登记状态（自动）],MATCH(B807,Equipment[组合编号],0))&lt;&gt;"已登记","待补设备组合",IF(AND(F807&lt;&gt;"",G807&lt;&gt;"",K807&lt;&gt;"",L807&lt;&gt;"",M807&lt;&gt;"",N807&lt;&gt;"",ISNUMBER(O807),O807&gt;0,P807&lt;&gt;""),"记录齐全","待补实测记录")))))))))))</x:f>
        <x:v>待展开路径</x:v>
      </x:c>
    </x:row>
    <x:row r="808" ht="43.5" customHeight="1">
      <x:c r="A808" s="20" t="str">
        <x:v>REC-00799</x:v>
      </x:c>
      <x:c r="B808" s="20" t="str">
        <x:v>P2-B3-01</x:v>
      </x:c>
      <x:c r="C808" s="30" t="str">
        <x:f>IF(B808="","",IF(COUNTIFS(Equipment[组合编号],B808)&lt;&gt;1,"组合编号无效",INDEX(Equipment[PLC组],MATCH(B808,Equipment[组合编号],0))))</x:f>
        <x:v>汇川中大型</x:v>
      </x:c>
      <x:c r="D808" s="30" t="str">
        <x:f>IF(B808="","",IF(COUNTIFS(Equipment[组合编号],B808)&lt;&gt;1,"组合编号无效",INDEX(Equipment[驱动品牌],MATCH(B808,Equipment[组合编号],0))))</x:f>
        <x:v>繁易</x:v>
      </x:c>
      <x:c r="E808" s="20" t="str">
        <x:v>N09</x:v>
      </x:c>
      <x:c r="F808" s="20"/>
      <x:c r="G808" s="20"/>
      <x:c r="H808" s="20" t="str">
        <x:v>待判定</x:v>
      </x:c>
      <x:c r="I808" s="20"/>
      <x:c r="J808" s="20" t="str">
        <x:v>未测试</x:v>
      </x:c>
      <x:c r="K808" s="20"/>
      <x:c r="L808" s="20"/>
      <x:c r="M808" s="20"/>
      <x:c r="N808" s="20"/>
      <x:c r="O808" s="31"/>
      <x:c r="P808" s="20"/>
      <x:c r="Q808" s="20"/>
      <x:c r="R808" s="20" t="str">
        <x:v>待展开</x:v>
      </x:c>
      <x:c r="S808" s="20"/>
      <x:c r="T808" s="31"/>
      <x:c r="U808" s="30" t="str">
        <x:f>IF(A808="","缺记录编号",IF(COUNTIFS(PathRecords[记录编号],A808)&lt;&gt;1,"记录编号重复",IF(OR(B808="",E808=""),"缺组合/功能",IF(COUNTIFS(Equipment[组合编号],B808)&lt;&gt;1,"组合编号无效",IF(COUNTIFS(FunctionMatrix[编号],E808)=0,"功能编号无效",IF(H808="不适用",IF(J808="已实测","适用性冲突",IF(I808="","待补不适用依据","不适用（非实测）")),IF(J808="阻塞",IF(I808="","待补阻塞原因","阻塞（非实测）"),IF(J808&lt;&gt;"已实测",IF(F808="","待展开路径","未实测"),IF(H808&lt;&gt;"适用","待确认适用性",IF(INDEX(Equipment[登记状态（自动）],MATCH(B808,Equipment[组合编号],0))&lt;&gt;"已登记","待补设备组合",IF(AND(F808&lt;&gt;"",G808&lt;&gt;"",K808&lt;&gt;"",L808&lt;&gt;"",M808&lt;&gt;"",N808&lt;&gt;"",ISNUMBER(O808),O808&gt;0,P808&lt;&gt;""),"记录齐全","待补实测记录")))))))))))</x:f>
        <x:v>待展开路径</x:v>
      </x:c>
    </x:row>
    <x:row r="809" ht="43.5" customHeight="1">
      <x:c r="A809" s="20" t="str">
        <x:v>REC-00800</x:v>
      </x:c>
      <x:c r="B809" s="20" t="str">
        <x:v>P2-B3-01</x:v>
      </x:c>
      <x:c r="C809" s="30" t="str">
        <x:f>IF(B809="","",IF(COUNTIFS(Equipment[组合编号],B809)&lt;&gt;1,"组合编号无效",INDEX(Equipment[PLC组],MATCH(B809,Equipment[组合编号],0))))</x:f>
        <x:v>汇川中大型</x:v>
      </x:c>
      <x:c r="D809" s="30" t="str">
        <x:f>IF(B809="","",IF(COUNTIFS(Equipment[组合编号],B809)&lt;&gt;1,"组合编号无效",INDEX(Equipment[驱动品牌],MATCH(B809,Equipment[组合编号],0))))</x:f>
        <x:v>繁易</x:v>
      </x:c>
      <x:c r="E809" s="20" t="str">
        <x:v>N10</x:v>
      </x:c>
      <x:c r="F809" s="20"/>
      <x:c r="G809" s="20"/>
      <x:c r="H809" s="20" t="str">
        <x:v>待判定</x:v>
      </x:c>
      <x:c r="I809" s="20"/>
      <x:c r="J809" s="20" t="str">
        <x:v>未测试</x:v>
      </x:c>
      <x:c r="K809" s="20"/>
      <x:c r="L809" s="20"/>
      <x:c r="M809" s="20"/>
      <x:c r="N809" s="20"/>
      <x:c r="O809" s="31"/>
      <x:c r="P809" s="20"/>
      <x:c r="Q809" s="20"/>
      <x:c r="R809" s="20" t="str">
        <x:v>待展开</x:v>
      </x:c>
      <x:c r="S809" s="20"/>
      <x:c r="T809" s="31"/>
      <x:c r="U809" s="30" t="str">
        <x:f>IF(A809="","缺记录编号",IF(COUNTIFS(PathRecords[记录编号],A809)&lt;&gt;1,"记录编号重复",IF(OR(B809="",E809=""),"缺组合/功能",IF(COUNTIFS(Equipment[组合编号],B809)&lt;&gt;1,"组合编号无效",IF(COUNTIFS(FunctionMatrix[编号],E809)=0,"功能编号无效",IF(H809="不适用",IF(J809="已实测","适用性冲突",IF(I809="","待补不适用依据","不适用（非实测）")),IF(J809="阻塞",IF(I809="","待补阻塞原因","阻塞（非实测）"),IF(J809&lt;&gt;"已实测",IF(F809="","待展开路径","未实测"),IF(H809&lt;&gt;"适用","待确认适用性",IF(INDEX(Equipment[登记状态（自动）],MATCH(B809,Equipment[组合编号],0))&lt;&gt;"已登记","待补设备组合",IF(AND(F809&lt;&gt;"",G809&lt;&gt;"",K809&lt;&gt;"",L809&lt;&gt;"",M809&lt;&gt;"",N809&lt;&gt;"",ISNUMBER(O809),O809&gt;0,P809&lt;&gt;""),"记录齐全","待补实测记录")))))))))))</x:f>
        <x:v>待展开路径</x:v>
      </x:c>
    </x:row>
    <x:row r="810" ht="43.5" customHeight="1">
      <x:c r="A810" s="20" t="str">
        <x:v>REC-00801</x:v>
      </x:c>
      <x:c r="B810" s="20" t="str">
        <x:v>P2-B3-01</x:v>
      </x:c>
      <x:c r="C810" s="30" t="str">
        <x:f>IF(B810="","",IF(COUNTIFS(Equipment[组合编号],B810)&lt;&gt;1,"组合编号无效",INDEX(Equipment[PLC组],MATCH(B810,Equipment[组合编号],0))))</x:f>
        <x:v>汇川中大型</x:v>
      </x:c>
      <x:c r="D810" s="30" t="str">
        <x:f>IF(B810="","",IF(COUNTIFS(Equipment[组合编号],B810)&lt;&gt;1,"组合编号无效",INDEX(Equipment[驱动品牌],MATCH(B810,Equipment[组合编号],0))))</x:f>
        <x:v>繁易</x:v>
      </x:c>
      <x:c r="E810" s="20" t="str">
        <x:v>N11</x:v>
      </x:c>
      <x:c r="F810" s="20"/>
      <x:c r="G810" s="20"/>
      <x:c r="H810" s="20" t="str">
        <x:v>待判定</x:v>
      </x:c>
      <x:c r="I810" s="20"/>
      <x:c r="J810" s="20" t="str">
        <x:v>未测试</x:v>
      </x:c>
      <x:c r="K810" s="20"/>
      <x:c r="L810" s="20"/>
      <x:c r="M810" s="20"/>
      <x:c r="N810" s="20"/>
      <x:c r="O810" s="31"/>
      <x:c r="P810" s="20"/>
      <x:c r="Q810" s="20"/>
      <x:c r="R810" s="20" t="str">
        <x:v>待展开</x:v>
      </x:c>
      <x:c r="S810" s="20"/>
      <x:c r="T810" s="31"/>
      <x:c r="U810" s="30" t="str">
        <x:f>IF(A810="","缺记录编号",IF(COUNTIFS(PathRecords[记录编号],A810)&lt;&gt;1,"记录编号重复",IF(OR(B810="",E810=""),"缺组合/功能",IF(COUNTIFS(Equipment[组合编号],B810)&lt;&gt;1,"组合编号无效",IF(COUNTIFS(FunctionMatrix[编号],E810)=0,"功能编号无效",IF(H810="不适用",IF(J810="已实测","适用性冲突",IF(I810="","待补不适用依据","不适用（非实测）")),IF(J810="阻塞",IF(I810="","待补阻塞原因","阻塞（非实测）"),IF(J810&lt;&gt;"已实测",IF(F810="","待展开路径","未实测"),IF(H810&lt;&gt;"适用","待确认适用性",IF(INDEX(Equipment[登记状态（自动）],MATCH(B810,Equipment[组合编号],0))&lt;&gt;"已登记","待补设备组合",IF(AND(F810&lt;&gt;"",G810&lt;&gt;"",K810&lt;&gt;"",L810&lt;&gt;"",M810&lt;&gt;"",N810&lt;&gt;"",ISNUMBER(O810),O810&gt;0,P810&lt;&gt;""),"记录齐全","待补实测记录")))))))))))</x:f>
        <x:v>待展开路径</x:v>
      </x:c>
    </x:row>
    <x:row r="811" ht="43.5" customHeight="1">
      <x:c r="A811" s="20" t="str">
        <x:v>REC-00802</x:v>
      </x:c>
      <x:c r="B811" s="20" t="str">
        <x:v>P2-B3-01</x:v>
      </x:c>
      <x:c r="C811" s="30" t="str">
        <x:f>IF(B811="","",IF(COUNTIFS(Equipment[组合编号],B811)&lt;&gt;1,"组合编号无效",INDEX(Equipment[PLC组],MATCH(B811,Equipment[组合编号],0))))</x:f>
        <x:v>汇川中大型</x:v>
      </x:c>
      <x:c r="D811" s="30" t="str">
        <x:f>IF(B811="","",IF(COUNTIFS(Equipment[组合编号],B811)&lt;&gt;1,"组合编号无效",INDEX(Equipment[驱动品牌],MATCH(B811,Equipment[组合编号],0))))</x:f>
        <x:v>繁易</x:v>
      </x:c>
      <x:c r="E811" s="20" t="str">
        <x:v>N12</x:v>
      </x:c>
      <x:c r="F811" s="20"/>
      <x:c r="G811" s="20"/>
      <x:c r="H811" s="20" t="str">
        <x:v>待判定</x:v>
      </x:c>
      <x:c r="I811" s="20"/>
      <x:c r="J811" s="20" t="str">
        <x:v>未测试</x:v>
      </x:c>
      <x:c r="K811" s="20"/>
      <x:c r="L811" s="20"/>
      <x:c r="M811" s="20"/>
      <x:c r="N811" s="20"/>
      <x:c r="O811" s="31"/>
      <x:c r="P811" s="20"/>
      <x:c r="Q811" s="20"/>
      <x:c r="R811" s="20" t="str">
        <x:v>待展开</x:v>
      </x:c>
      <x:c r="S811" s="20"/>
      <x:c r="T811" s="31"/>
      <x:c r="U811" s="30" t="str">
        <x:f>IF(A811="","缺记录编号",IF(COUNTIFS(PathRecords[记录编号],A811)&lt;&gt;1,"记录编号重复",IF(OR(B811="",E811=""),"缺组合/功能",IF(COUNTIFS(Equipment[组合编号],B811)&lt;&gt;1,"组合编号无效",IF(COUNTIFS(FunctionMatrix[编号],E811)=0,"功能编号无效",IF(H811="不适用",IF(J811="已实测","适用性冲突",IF(I811="","待补不适用依据","不适用（非实测）")),IF(J811="阻塞",IF(I811="","待补阻塞原因","阻塞（非实测）"),IF(J811&lt;&gt;"已实测",IF(F811="","待展开路径","未实测"),IF(H811&lt;&gt;"适用","待确认适用性",IF(INDEX(Equipment[登记状态（自动）],MATCH(B811,Equipment[组合编号],0))&lt;&gt;"已登记","待补设备组合",IF(AND(F811&lt;&gt;"",G811&lt;&gt;"",K811&lt;&gt;"",L811&lt;&gt;"",M811&lt;&gt;"",N811&lt;&gt;"",ISNUMBER(O811),O811&gt;0,P811&lt;&gt;""),"记录齐全","待补实测记录")))))))))))</x:f>
        <x:v>待展开路径</x:v>
      </x:c>
    </x:row>
    <x:row r="812" ht="43.5" customHeight="1">
      <x:c r="A812" s="20" t="str">
        <x:v>REC-00803</x:v>
      </x:c>
      <x:c r="B812" s="20" t="str">
        <x:v>P2-B3-01</x:v>
      </x:c>
      <x:c r="C812" s="30" t="str">
        <x:f>IF(B812="","",IF(COUNTIFS(Equipment[组合编号],B812)&lt;&gt;1,"组合编号无效",INDEX(Equipment[PLC组],MATCH(B812,Equipment[组合编号],0))))</x:f>
        <x:v>汇川中大型</x:v>
      </x:c>
      <x:c r="D812" s="30" t="str">
        <x:f>IF(B812="","",IF(COUNTIFS(Equipment[组合编号],B812)&lt;&gt;1,"组合编号无效",INDEX(Equipment[驱动品牌],MATCH(B812,Equipment[组合编号],0))))</x:f>
        <x:v>繁易</x:v>
      </x:c>
      <x:c r="E812" s="20" t="str">
        <x:v>P01</x:v>
      </x:c>
      <x:c r="F812" s="20"/>
      <x:c r="G812" s="20"/>
      <x:c r="H812" s="20" t="str">
        <x:v>待判定</x:v>
      </x:c>
      <x:c r="I812" s="20"/>
      <x:c r="J812" s="20" t="str">
        <x:v>未测试</x:v>
      </x:c>
      <x:c r="K812" s="20"/>
      <x:c r="L812" s="20"/>
      <x:c r="M812" s="20"/>
      <x:c r="N812" s="20"/>
      <x:c r="O812" s="31"/>
      <x:c r="P812" s="20"/>
      <x:c r="Q812" s="20"/>
      <x:c r="R812" s="20" t="str">
        <x:v>待展开</x:v>
      </x:c>
      <x:c r="S812" s="20"/>
      <x:c r="T812" s="31"/>
      <x:c r="U812" s="30" t="str">
        <x:f>IF(A812="","缺记录编号",IF(COUNTIFS(PathRecords[记录编号],A812)&lt;&gt;1,"记录编号重复",IF(OR(B812="",E812=""),"缺组合/功能",IF(COUNTIFS(Equipment[组合编号],B812)&lt;&gt;1,"组合编号无效",IF(COUNTIFS(FunctionMatrix[编号],E812)=0,"功能编号无效",IF(H812="不适用",IF(J812="已实测","适用性冲突",IF(I812="","待补不适用依据","不适用（非实测）")),IF(J812="阻塞",IF(I812="","待补阻塞原因","阻塞（非实测）"),IF(J812&lt;&gt;"已实测",IF(F812="","待展开路径","未实测"),IF(H812&lt;&gt;"适用","待确认适用性",IF(INDEX(Equipment[登记状态（自动）],MATCH(B812,Equipment[组合编号],0))&lt;&gt;"已登记","待补设备组合",IF(AND(F812&lt;&gt;"",G812&lt;&gt;"",K812&lt;&gt;"",L812&lt;&gt;"",M812&lt;&gt;"",N812&lt;&gt;"",ISNUMBER(O812),O812&gt;0,P812&lt;&gt;""),"记录齐全","待补实测记录")))))))))))</x:f>
        <x:v>待展开路径</x:v>
      </x:c>
    </x:row>
    <x:row r="813" ht="43.5" customHeight="1">
      <x:c r="A813" s="20" t="str">
        <x:v>REC-00804</x:v>
      </x:c>
      <x:c r="B813" s="20" t="str">
        <x:v>P2-B3-01</x:v>
      </x:c>
      <x:c r="C813" s="30" t="str">
        <x:f>IF(B813="","",IF(COUNTIFS(Equipment[组合编号],B813)&lt;&gt;1,"组合编号无效",INDEX(Equipment[PLC组],MATCH(B813,Equipment[组合编号],0))))</x:f>
        <x:v>汇川中大型</x:v>
      </x:c>
      <x:c r="D813" s="30" t="str">
        <x:f>IF(B813="","",IF(COUNTIFS(Equipment[组合编号],B813)&lt;&gt;1,"组合编号无效",INDEX(Equipment[驱动品牌],MATCH(B813,Equipment[组合编号],0))))</x:f>
        <x:v>繁易</x:v>
      </x:c>
      <x:c r="E813" s="20" t="str">
        <x:v>P02</x:v>
      </x:c>
      <x:c r="F813" s="20"/>
      <x:c r="G813" s="20"/>
      <x:c r="H813" s="20" t="str">
        <x:v>待判定</x:v>
      </x:c>
      <x:c r="I813" s="20"/>
      <x:c r="J813" s="20" t="str">
        <x:v>未测试</x:v>
      </x:c>
      <x:c r="K813" s="20"/>
      <x:c r="L813" s="20"/>
      <x:c r="M813" s="20"/>
      <x:c r="N813" s="20"/>
      <x:c r="O813" s="31"/>
      <x:c r="P813" s="20"/>
      <x:c r="Q813" s="20"/>
      <x:c r="R813" s="20" t="str">
        <x:v>待展开</x:v>
      </x:c>
      <x:c r="S813" s="20"/>
      <x:c r="T813" s="31"/>
      <x:c r="U813" s="30" t="str">
        <x:f>IF(A813="","缺记录编号",IF(COUNTIFS(PathRecords[记录编号],A813)&lt;&gt;1,"记录编号重复",IF(OR(B813="",E813=""),"缺组合/功能",IF(COUNTIFS(Equipment[组合编号],B813)&lt;&gt;1,"组合编号无效",IF(COUNTIFS(FunctionMatrix[编号],E813)=0,"功能编号无效",IF(H813="不适用",IF(J813="已实测","适用性冲突",IF(I813="","待补不适用依据","不适用（非实测）")),IF(J813="阻塞",IF(I813="","待补阻塞原因","阻塞（非实测）"),IF(J813&lt;&gt;"已实测",IF(F813="","待展开路径","未实测"),IF(H813&lt;&gt;"适用","待确认适用性",IF(INDEX(Equipment[登记状态（自动）],MATCH(B813,Equipment[组合编号],0))&lt;&gt;"已登记","待补设备组合",IF(AND(F813&lt;&gt;"",G813&lt;&gt;"",K813&lt;&gt;"",L813&lt;&gt;"",M813&lt;&gt;"",N813&lt;&gt;"",ISNUMBER(O813),O813&gt;0,P813&lt;&gt;""),"记录齐全","待补实测记录")))))))))))</x:f>
        <x:v>待展开路径</x:v>
      </x:c>
    </x:row>
    <x:row r="814" ht="43.5" customHeight="1">
      <x:c r="A814" s="20" t="str">
        <x:v>REC-00805</x:v>
      </x:c>
      <x:c r="B814" s="20" t="str">
        <x:v>P2-B3-01</x:v>
      </x:c>
      <x:c r="C814" s="30" t="str">
        <x:f>IF(B814="","",IF(COUNTIFS(Equipment[组合编号],B814)&lt;&gt;1,"组合编号无效",INDEX(Equipment[PLC组],MATCH(B814,Equipment[组合编号],0))))</x:f>
        <x:v>汇川中大型</x:v>
      </x:c>
      <x:c r="D814" s="30" t="str">
        <x:f>IF(B814="","",IF(COUNTIFS(Equipment[组合编号],B814)&lt;&gt;1,"组合编号无效",INDEX(Equipment[驱动品牌],MATCH(B814,Equipment[组合编号],0))))</x:f>
        <x:v>繁易</x:v>
      </x:c>
      <x:c r="E814" s="20" t="str">
        <x:v>P03</x:v>
      </x:c>
      <x:c r="F814" s="20"/>
      <x:c r="G814" s="20"/>
      <x:c r="H814" s="20" t="str">
        <x:v>待判定</x:v>
      </x:c>
      <x:c r="I814" s="20"/>
      <x:c r="J814" s="20" t="str">
        <x:v>未测试</x:v>
      </x:c>
      <x:c r="K814" s="20"/>
      <x:c r="L814" s="20"/>
      <x:c r="M814" s="20"/>
      <x:c r="N814" s="20"/>
      <x:c r="O814" s="31"/>
      <x:c r="P814" s="20"/>
      <x:c r="Q814" s="20"/>
      <x:c r="R814" s="20" t="str">
        <x:v>待展开</x:v>
      </x:c>
      <x:c r="S814" s="20"/>
      <x:c r="T814" s="31"/>
      <x:c r="U814" s="30" t="str">
        <x:f>IF(A814="","缺记录编号",IF(COUNTIFS(PathRecords[记录编号],A814)&lt;&gt;1,"记录编号重复",IF(OR(B814="",E814=""),"缺组合/功能",IF(COUNTIFS(Equipment[组合编号],B814)&lt;&gt;1,"组合编号无效",IF(COUNTIFS(FunctionMatrix[编号],E814)=0,"功能编号无效",IF(H814="不适用",IF(J814="已实测","适用性冲突",IF(I814="","待补不适用依据","不适用（非实测）")),IF(J814="阻塞",IF(I814="","待补阻塞原因","阻塞（非实测）"),IF(J814&lt;&gt;"已实测",IF(F814="","待展开路径","未实测"),IF(H814&lt;&gt;"适用","待确认适用性",IF(INDEX(Equipment[登记状态（自动）],MATCH(B814,Equipment[组合编号],0))&lt;&gt;"已登记","待补设备组合",IF(AND(F814&lt;&gt;"",G814&lt;&gt;"",K814&lt;&gt;"",L814&lt;&gt;"",M814&lt;&gt;"",N814&lt;&gt;"",ISNUMBER(O814),O814&gt;0,P814&lt;&gt;""),"记录齐全","待补实测记录")))))))))))</x:f>
        <x:v>待展开路径</x:v>
      </x:c>
    </x:row>
    <x:row r="815" ht="43.5" customHeight="1">
      <x:c r="A815" s="20" t="str">
        <x:v>REC-00806</x:v>
      </x:c>
      <x:c r="B815" s="20" t="str">
        <x:v>P2-B3-01</x:v>
      </x:c>
      <x:c r="C815" s="30" t="str">
        <x:f>IF(B815="","",IF(COUNTIFS(Equipment[组合编号],B815)&lt;&gt;1,"组合编号无效",INDEX(Equipment[PLC组],MATCH(B815,Equipment[组合编号],0))))</x:f>
        <x:v>汇川中大型</x:v>
      </x:c>
      <x:c r="D815" s="30" t="str">
        <x:f>IF(B815="","",IF(COUNTIFS(Equipment[组合编号],B815)&lt;&gt;1,"组合编号无效",INDEX(Equipment[驱动品牌],MATCH(B815,Equipment[组合编号],0))))</x:f>
        <x:v>繁易</x:v>
      </x:c>
      <x:c r="E815" s="20" t="str">
        <x:v>P04</x:v>
      </x:c>
      <x:c r="F815" s="20"/>
      <x:c r="G815" s="20"/>
      <x:c r="H815" s="20" t="str">
        <x:v>待判定</x:v>
      </x:c>
      <x:c r="I815" s="20"/>
      <x:c r="J815" s="20" t="str">
        <x:v>未测试</x:v>
      </x:c>
      <x:c r="K815" s="20"/>
      <x:c r="L815" s="20"/>
      <x:c r="M815" s="20"/>
      <x:c r="N815" s="20"/>
      <x:c r="O815" s="31"/>
      <x:c r="P815" s="20"/>
      <x:c r="Q815" s="20"/>
      <x:c r="R815" s="20" t="str">
        <x:v>待展开</x:v>
      </x:c>
      <x:c r="S815" s="20"/>
      <x:c r="T815" s="31"/>
      <x:c r="U815" s="30" t="str">
        <x:f>IF(A815="","缺记录编号",IF(COUNTIFS(PathRecords[记录编号],A815)&lt;&gt;1,"记录编号重复",IF(OR(B815="",E815=""),"缺组合/功能",IF(COUNTIFS(Equipment[组合编号],B815)&lt;&gt;1,"组合编号无效",IF(COUNTIFS(FunctionMatrix[编号],E815)=0,"功能编号无效",IF(H815="不适用",IF(J815="已实测","适用性冲突",IF(I815="","待补不适用依据","不适用（非实测）")),IF(J815="阻塞",IF(I815="","待补阻塞原因","阻塞（非实测）"),IF(J815&lt;&gt;"已实测",IF(F815="","待展开路径","未实测"),IF(H815&lt;&gt;"适用","待确认适用性",IF(INDEX(Equipment[登记状态（自动）],MATCH(B815,Equipment[组合编号],0))&lt;&gt;"已登记","待补设备组合",IF(AND(F815&lt;&gt;"",G815&lt;&gt;"",K815&lt;&gt;"",L815&lt;&gt;"",M815&lt;&gt;"",N815&lt;&gt;"",ISNUMBER(O815),O815&gt;0,P815&lt;&gt;""),"记录齐全","待补实测记录")))))))))))</x:f>
        <x:v>待展开路径</x:v>
      </x:c>
    </x:row>
    <x:row r="816" ht="43.5" customHeight="1">
      <x:c r="A816" s="20" t="str">
        <x:v>REC-00807</x:v>
      </x:c>
      <x:c r="B816" s="20" t="str">
        <x:v>P2-B3-01</x:v>
      </x:c>
      <x:c r="C816" s="30" t="str">
        <x:f>IF(B816="","",IF(COUNTIFS(Equipment[组合编号],B816)&lt;&gt;1,"组合编号无效",INDEX(Equipment[PLC组],MATCH(B816,Equipment[组合编号],0))))</x:f>
        <x:v>汇川中大型</x:v>
      </x:c>
      <x:c r="D816" s="30" t="str">
        <x:f>IF(B816="","",IF(COUNTIFS(Equipment[组合编号],B816)&lt;&gt;1,"组合编号无效",INDEX(Equipment[驱动品牌],MATCH(B816,Equipment[组合编号],0))))</x:f>
        <x:v>繁易</x:v>
      </x:c>
      <x:c r="E816" s="20" t="str">
        <x:v>P05</x:v>
      </x:c>
      <x:c r="F816" s="20"/>
      <x:c r="G816" s="20"/>
      <x:c r="H816" s="20" t="str">
        <x:v>待判定</x:v>
      </x:c>
      <x:c r="I816" s="20"/>
      <x:c r="J816" s="20" t="str">
        <x:v>未测试</x:v>
      </x:c>
      <x:c r="K816" s="20"/>
      <x:c r="L816" s="20"/>
      <x:c r="M816" s="20"/>
      <x:c r="N816" s="20"/>
      <x:c r="O816" s="31"/>
      <x:c r="P816" s="20"/>
      <x:c r="Q816" s="20"/>
      <x:c r="R816" s="20" t="str">
        <x:v>待展开</x:v>
      </x:c>
      <x:c r="S816" s="20"/>
      <x:c r="T816" s="31"/>
      <x:c r="U816" s="30" t="str">
        <x:f>IF(A816="","缺记录编号",IF(COUNTIFS(PathRecords[记录编号],A816)&lt;&gt;1,"记录编号重复",IF(OR(B816="",E816=""),"缺组合/功能",IF(COUNTIFS(Equipment[组合编号],B816)&lt;&gt;1,"组合编号无效",IF(COUNTIFS(FunctionMatrix[编号],E816)=0,"功能编号无效",IF(H816="不适用",IF(J816="已实测","适用性冲突",IF(I816="","待补不适用依据","不适用（非实测）")),IF(J816="阻塞",IF(I816="","待补阻塞原因","阻塞（非实测）"),IF(J816&lt;&gt;"已实测",IF(F816="","待展开路径","未实测"),IF(H816&lt;&gt;"适用","待确认适用性",IF(INDEX(Equipment[登记状态（自动）],MATCH(B816,Equipment[组合编号],0))&lt;&gt;"已登记","待补设备组合",IF(AND(F816&lt;&gt;"",G816&lt;&gt;"",K816&lt;&gt;"",L816&lt;&gt;"",M816&lt;&gt;"",N816&lt;&gt;"",ISNUMBER(O816),O816&gt;0,P816&lt;&gt;""),"记录齐全","待补实测记录")))))))))))</x:f>
        <x:v>待展开路径</x:v>
      </x:c>
    </x:row>
    <x:row r="817" ht="43.5" customHeight="1">
      <x:c r="A817" s="20" t="str">
        <x:v>REC-00808</x:v>
      </x:c>
      <x:c r="B817" s="20" t="str">
        <x:v>P2-B3-01</x:v>
      </x:c>
      <x:c r="C817" s="30" t="str">
        <x:f>IF(B817="","",IF(COUNTIFS(Equipment[组合编号],B817)&lt;&gt;1,"组合编号无效",INDEX(Equipment[PLC组],MATCH(B817,Equipment[组合编号],0))))</x:f>
        <x:v>汇川中大型</x:v>
      </x:c>
      <x:c r="D817" s="30" t="str">
        <x:f>IF(B817="","",IF(COUNTIFS(Equipment[组合编号],B817)&lt;&gt;1,"组合编号无效",INDEX(Equipment[驱动品牌],MATCH(B817,Equipment[组合编号],0))))</x:f>
        <x:v>繁易</x:v>
      </x:c>
      <x:c r="E817" s="20" t="str">
        <x:v>P06</x:v>
      </x:c>
      <x:c r="F817" s="20"/>
      <x:c r="G817" s="20"/>
      <x:c r="H817" s="20" t="str">
        <x:v>待判定</x:v>
      </x:c>
      <x:c r="I817" s="20"/>
      <x:c r="J817" s="20" t="str">
        <x:v>未测试</x:v>
      </x:c>
      <x:c r="K817" s="20"/>
      <x:c r="L817" s="20"/>
      <x:c r="M817" s="20"/>
      <x:c r="N817" s="20"/>
      <x:c r="O817" s="31"/>
      <x:c r="P817" s="20"/>
      <x:c r="Q817" s="20"/>
      <x:c r="R817" s="20" t="str">
        <x:v>待展开</x:v>
      </x:c>
      <x:c r="S817" s="20"/>
      <x:c r="T817" s="31"/>
      <x:c r="U817" s="30" t="str">
        <x:f>IF(A817="","缺记录编号",IF(COUNTIFS(PathRecords[记录编号],A817)&lt;&gt;1,"记录编号重复",IF(OR(B817="",E817=""),"缺组合/功能",IF(COUNTIFS(Equipment[组合编号],B817)&lt;&gt;1,"组合编号无效",IF(COUNTIFS(FunctionMatrix[编号],E817)=0,"功能编号无效",IF(H817="不适用",IF(J817="已实测","适用性冲突",IF(I817="","待补不适用依据","不适用（非实测）")),IF(J817="阻塞",IF(I817="","待补阻塞原因","阻塞（非实测）"),IF(J817&lt;&gt;"已实测",IF(F817="","待展开路径","未实测"),IF(H817&lt;&gt;"适用","待确认适用性",IF(INDEX(Equipment[登记状态（自动）],MATCH(B817,Equipment[组合编号],0))&lt;&gt;"已登记","待补设备组合",IF(AND(F817&lt;&gt;"",G817&lt;&gt;"",K817&lt;&gt;"",L817&lt;&gt;"",M817&lt;&gt;"",N817&lt;&gt;"",ISNUMBER(O817),O817&gt;0,P817&lt;&gt;""),"记录齐全","待补实测记录")))))))))))</x:f>
        <x:v>待展开路径</x:v>
      </x:c>
    </x:row>
    <x:row r="818" ht="43.5" customHeight="1">
      <x:c r="A818" s="20" t="str">
        <x:v>REC-00809</x:v>
      </x:c>
      <x:c r="B818" s="20" t="str">
        <x:v>P2-B3-01</x:v>
      </x:c>
      <x:c r="C818" s="30" t="str">
        <x:f>IF(B818="","",IF(COUNTIFS(Equipment[组合编号],B818)&lt;&gt;1,"组合编号无效",INDEX(Equipment[PLC组],MATCH(B818,Equipment[组合编号],0))))</x:f>
        <x:v>汇川中大型</x:v>
      </x:c>
      <x:c r="D818" s="30" t="str">
        <x:f>IF(B818="","",IF(COUNTIFS(Equipment[组合编号],B818)&lt;&gt;1,"组合编号无效",INDEX(Equipment[驱动品牌],MATCH(B818,Equipment[组合编号],0))))</x:f>
        <x:v>繁易</x:v>
      </x:c>
      <x:c r="E818" s="20" t="str">
        <x:v>P07</x:v>
      </x:c>
      <x:c r="F818" s="20"/>
      <x:c r="G818" s="20"/>
      <x:c r="H818" s="20" t="str">
        <x:v>待判定</x:v>
      </x:c>
      <x:c r="I818" s="20"/>
      <x:c r="J818" s="20" t="str">
        <x:v>未测试</x:v>
      </x:c>
      <x:c r="K818" s="20"/>
      <x:c r="L818" s="20"/>
      <x:c r="M818" s="20"/>
      <x:c r="N818" s="20"/>
      <x:c r="O818" s="31"/>
      <x:c r="P818" s="20"/>
      <x:c r="Q818" s="20"/>
      <x:c r="R818" s="20" t="str">
        <x:v>待展开</x:v>
      </x:c>
      <x:c r="S818" s="20"/>
      <x:c r="T818" s="31"/>
      <x:c r="U818" s="30" t="str">
        <x:f>IF(A818="","缺记录编号",IF(COUNTIFS(PathRecords[记录编号],A818)&lt;&gt;1,"记录编号重复",IF(OR(B818="",E818=""),"缺组合/功能",IF(COUNTIFS(Equipment[组合编号],B818)&lt;&gt;1,"组合编号无效",IF(COUNTIFS(FunctionMatrix[编号],E818)=0,"功能编号无效",IF(H818="不适用",IF(J818="已实测","适用性冲突",IF(I818="","待补不适用依据","不适用（非实测）")),IF(J818="阻塞",IF(I818="","待补阻塞原因","阻塞（非实测）"),IF(J818&lt;&gt;"已实测",IF(F818="","待展开路径","未实测"),IF(H818&lt;&gt;"适用","待确认适用性",IF(INDEX(Equipment[登记状态（自动）],MATCH(B818,Equipment[组合编号],0))&lt;&gt;"已登记","待补设备组合",IF(AND(F818&lt;&gt;"",G818&lt;&gt;"",K818&lt;&gt;"",L818&lt;&gt;"",M818&lt;&gt;"",N818&lt;&gt;"",ISNUMBER(O818),O818&gt;0,P818&lt;&gt;""),"记录齐全","待补实测记录")))))))))))</x:f>
        <x:v>待展开路径</x:v>
      </x:c>
    </x:row>
    <x:row r="819" ht="43.5" customHeight="1">
      <x:c r="A819" s="20" t="str">
        <x:v>REC-00810</x:v>
      </x:c>
      <x:c r="B819" s="20" t="str">
        <x:v>P2-B3-01</x:v>
      </x:c>
      <x:c r="C819" s="30" t="str">
        <x:f>IF(B819="","",IF(COUNTIFS(Equipment[组合编号],B819)&lt;&gt;1,"组合编号无效",INDEX(Equipment[PLC组],MATCH(B819,Equipment[组合编号],0))))</x:f>
        <x:v>汇川中大型</x:v>
      </x:c>
      <x:c r="D819" s="30" t="str">
        <x:f>IF(B819="","",IF(COUNTIFS(Equipment[组合编号],B819)&lt;&gt;1,"组合编号无效",INDEX(Equipment[驱动品牌],MATCH(B819,Equipment[组合编号],0))))</x:f>
        <x:v>繁易</x:v>
      </x:c>
      <x:c r="E819" s="20" t="str">
        <x:v>P08</x:v>
      </x:c>
      <x:c r="F819" s="20"/>
      <x:c r="G819" s="20"/>
      <x:c r="H819" s="20" t="str">
        <x:v>待判定</x:v>
      </x:c>
      <x:c r="I819" s="20"/>
      <x:c r="J819" s="20" t="str">
        <x:v>未测试</x:v>
      </x:c>
      <x:c r="K819" s="20"/>
      <x:c r="L819" s="20"/>
      <x:c r="M819" s="20"/>
      <x:c r="N819" s="20"/>
      <x:c r="O819" s="31"/>
      <x:c r="P819" s="20"/>
      <x:c r="Q819" s="20"/>
      <x:c r="R819" s="20" t="str">
        <x:v>待展开</x:v>
      </x:c>
      <x:c r="S819" s="20"/>
      <x:c r="T819" s="31"/>
      <x:c r="U819" s="30" t="str">
        <x:f>IF(A819="","缺记录编号",IF(COUNTIFS(PathRecords[记录编号],A819)&lt;&gt;1,"记录编号重复",IF(OR(B819="",E819=""),"缺组合/功能",IF(COUNTIFS(Equipment[组合编号],B819)&lt;&gt;1,"组合编号无效",IF(COUNTIFS(FunctionMatrix[编号],E819)=0,"功能编号无效",IF(H819="不适用",IF(J819="已实测","适用性冲突",IF(I819="","待补不适用依据","不适用（非实测）")),IF(J819="阻塞",IF(I819="","待补阻塞原因","阻塞（非实测）"),IF(J819&lt;&gt;"已实测",IF(F819="","待展开路径","未实测"),IF(H819&lt;&gt;"适用","待确认适用性",IF(INDEX(Equipment[登记状态（自动）],MATCH(B819,Equipment[组合编号],0))&lt;&gt;"已登记","待补设备组合",IF(AND(F819&lt;&gt;"",G819&lt;&gt;"",K819&lt;&gt;"",L819&lt;&gt;"",M819&lt;&gt;"",N819&lt;&gt;"",ISNUMBER(O819),O819&gt;0,P819&lt;&gt;""),"记录齐全","待补实测记录")))))))))))</x:f>
        <x:v>待展开路径</x:v>
      </x:c>
    </x:row>
    <x:row r="820" ht="43.5" customHeight="1">
      <x:c r="A820" s="20" t="str">
        <x:v>REC-00811</x:v>
      </x:c>
      <x:c r="B820" s="20" t="str">
        <x:v>P2-B3-01</x:v>
      </x:c>
      <x:c r="C820" s="30" t="str">
        <x:f>IF(B820="","",IF(COUNTIFS(Equipment[组合编号],B820)&lt;&gt;1,"组合编号无效",INDEX(Equipment[PLC组],MATCH(B820,Equipment[组合编号],0))))</x:f>
        <x:v>汇川中大型</x:v>
      </x:c>
      <x:c r="D820" s="30" t="str">
        <x:f>IF(B820="","",IF(COUNTIFS(Equipment[组合编号],B820)&lt;&gt;1,"组合编号无效",INDEX(Equipment[驱动品牌],MATCH(B820,Equipment[组合编号],0))))</x:f>
        <x:v>繁易</x:v>
      </x:c>
      <x:c r="E820" s="20" t="str">
        <x:v>P09</x:v>
      </x:c>
      <x:c r="F820" s="20"/>
      <x:c r="G820" s="20"/>
      <x:c r="H820" s="20" t="str">
        <x:v>待判定</x:v>
      </x:c>
      <x:c r="I820" s="20"/>
      <x:c r="J820" s="20" t="str">
        <x:v>未测试</x:v>
      </x:c>
      <x:c r="K820" s="20"/>
      <x:c r="L820" s="20"/>
      <x:c r="M820" s="20"/>
      <x:c r="N820" s="20"/>
      <x:c r="O820" s="31"/>
      <x:c r="P820" s="20"/>
      <x:c r="Q820" s="20"/>
      <x:c r="R820" s="20" t="str">
        <x:v>待展开</x:v>
      </x:c>
      <x:c r="S820" s="20"/>
      <x:c r="T820" s="31"/>
      <x:c r="U820" s="30" t="str">
        <x:f>IF(A820="","缺记录编号",IF(COUNTIFS(PathRecords[记录编号],A820)&lt;&gt;1,"记录编号重复",IF(OR(B820="",E820=""),"缺组合/功能",IF(COUNTIFS(Equipment[组合编号],B820)&lt;&gt;1,"组合编号无效",IF(COUNTIFS(FunctionMatrix[编号],E820)=0,"功能编号无效",IF(H820="不适用",IF(J820="已实测","适用性冲突",IF(I820="","待补不适用依据","不适用（非实测）")),IF(J820="阻塞",IF(I820="","待补阻塞原因","阻塞（非实测）"),IF(J820&lt;&gt;"已实测",IF(F820="","待展开路径","未实测"),IF(H820&lt;&gt;"适用","待确认适用性",IF(INDEX(Equipment[登记状态（自动）],MATCH(B820,Equipment[组合编号],0))&lt;&gt;"已登记","待补设备组合",IF(AND(F820&lt;&gt;"",G820&lt;&gt;"",K820&lt;&gt;"",L820&lt;&gt;"",M820&lt;&gt;"",N820&lt;&gt;"",ISNUMBER(O820),O820&gt;0,P820&lt;&gt;""),"记录齐全","待补实测记录")))))))))))</x:f>
        <x:v>待展开路径</x:v>
      </x:c>
    </x:row>
    <x:row r="821" ht="43.5" customHeight="1">
      <x:c r="A821" s="20" t="str">
        <x:v>REC-00812</x:v>
      </x:c>
      <x:c r="B821" s="20" t="str">
        <x:v>P2-B3-01</x:v>
      </x:c>
      <x:c r="C821" s="30" t="str">
        <x:f>IF(B821="","",IF(COUNTIFS(Equipment[组合编号],B821)&lt;&gt;1,"组合编号无效",INDEX(Equipment[PLC组],MATCH(B821,Equipment[组合编号],0))))</x:f>
        <x:v>汇川中大型</x:v>
      </x:c>
      <x:c r="D821" s="30" t="str">
        <x:f>IF(B821="","",IF(COUNTIFS(Equipment[组合编号],B821)&lt;&gt;1,"组合编号无效",INDEX(Equipment[驱动品牌],MATCH(B821,Equipment[组合编号],0))))</x:f>
        <x:v>繁易</x:v>
      </x:c>
      <x:c r="E821" s="20" t="str">
        <x:v>P10</x:v>
      </x:c>
      <x:c r="F821" s="20"/>
      <x:c r="G821" s="20"/>
      <x:c r="H821" s="20" t="str">
        <x:v>待判定</x:v>
      </x:c>
      <x:c r="I821" s="20"/>
      <x:c r="J821" s="20" t="str">
        <x:v>未测试</x:v>
      </x:c>
      <x:c r="K821" s="20"/>
      <x:c r="L821" s="20"/>
      <x:c r="M821" s="20"/>
      <x:c r="N821" s="20"/>
      <x:c r="O821" s="31"/>
      <x:c r="P821" s="20"/>
      <x:c r="Q821" s="20"/>
      <x:c r="R821" s="20" t="str">
        <x:v>待展开</x:v>
      </x:c>
      <x:c r="S821" s="20"/>
      <x:c r="T821" s="31"/>
      <x:c r="U821" s="30" t="str">
        <x:f>IF(A821="","缺记录编号",IF(COUNTIFS(PathRecords[记录编号],A821)&lt;&gt;1,"记录编号重复",IF(OR(B821="",E821=""),"缺组合/功能",IF(COUNTIFS(Equipment[组合编号],B821)&lt;&gt;1,"组合编号无效",IF(COUNTIFS(FunctionMatrix[编号],E821)=0,"功能编号无效",IF(H821="不适用",IF(J821="已实测","适用性冲突",IF(I821="","待补不适用依据","不适用（非实测）")),IF(J821="阻塞",IF(I821="","待补阻塞原因","阻塞（非实测）"),IF(J821&lt;&gt;"已实测",IF(F821="","待展开路径","未实测"),IF(H821&lt;&gt;"适用","待确认适用性",IF(INDEX(Equipment[登记状态（自动）],MATCH(B821,Equipment[组合编号],0))&lt;&gt;"已登记","待补设备组合",IF(AND(F821&lt;&gt;"",G821&lt;&gt;"",K821&lt;&gt;"",L821&lt;&gt;"",M821&lt;&gt;"",N821&lt;&gt;"",ISNUMBER(O821),O821&gt;0,P821&lt;&gt;""),"记录齐全","待补实测记录")))))))))))</x:f>
        <x:v>待展开路径</x:v>
      </x:c>
    </x:row>
    <x:row r="822" ht="43.5" customHeight="1">
      <x:c r="A822" s="20" t="str">
        <x:v>REC-00813</x:v>
      </x:c>
      <x:c r="B822" s="20" t="str">
        <x:v>P2-B3-01</x:v>
      </x:c>
      <x:c r="C822" s="30" t="str">
        <x:f>IF(B822="","",IF(COUNTIFS(Equipment[组合编号],B822)&lt;&gt;1,"组合编号无效",INDEX(Equipment[PLC组],MATCH(B822,Equipment[组合编号],0))))</x:f>
        <x:v>汇川中大型</x:v>
      </x:c>
      <x:c r="D822" s="30" t="str">
        <x:f>IF(B822="","",IF(COUNTIFS(Equipment[组合编号],B822)&lt;&gt;1,"组合编号无效",INDEX(Equipment[驱动品牌],MATCH(B822,Equipment[组合编号],0))))</x:f>
        <x:v>繁易</x:v>
      </x:c>
      <x:c r="E822" s="20" t="str">
        <x:v>A01</x:v>
      </x:c>
      <x:c r="F822" s="20"/>
      <x:c r="G822" s="20"/>
      <x:c r="H822" s="20" t="str">
        <x:v>待判定</x:v>
      </x:c>
      <x:c r="I822" s="20"/>
      <x:c r="J822" s="20" t="str">
        <x:v>未测试</x:v>
      </x:c>
      <x:c r="K822" s="20"/>
      <x:c r="L822" s="20"/>
      <x:c r="M822" s="20"/>
      <x:c r="N822" s="20"/>
      <x:c r="O822" s="31"/>
      <x:c r="P822" s="20"/>
      <x:c r="Q822" s="20"/>
      <x:c r="R822" s="20" t="str">
        <x:v>待展开</x:v>
      </x:c>
      <x:c r="S822" s="20"/>
      <x:c r="T822" s="31"/>
      <x:c r="U822" s="30" t="str">
        <x:f>IF(A822="","缺记录编号",IF(COUNTIFS(PathRecords[记录编号],A822)&lt;&gt;1,"记录编号重复",IF(OR(B822="",E822=""),"缺组合/功能",IF(COUNTIFS(Equipment[组合编号],B822)&lt;&gt;1,"组合编号无效",IF(COUNTIFS(FunctionMatrix[编号],E822)=0,"功能编号无效",IF(H822="不适用",IF(J822="已实测","适用性冲突",IF(I822="","待补不适用依据","不适用（非实测）")),IF(J822="阻塞",IF(I822="","待补阻塞原因","阻塞（非实测）"),IF(J822&lt;&gt;"已实测",IF(F822="","待展开路径","未实测"),IF(H822&lt;&gt;"适用","待确认适用性",IF(INDEX(Equipment[登记状态（自动）],MATCH(B822,Equipment[组合编号],0))&lt;&gt;"已登记","待补设备组合",IF(AND(F822&lt;&gt;"",G822&lt;&gt;"",K822&lt;&gt;"",L822&lt;&gt;"",M822&lt;&gt;"",N822&lt;&gt;"",ISNUMBER(O822),O822&gt;0,P822&lt;&gt;""),"记录齐全","待补实测记录")))))))))))</x:f>
        <x:v>待展开路径</x:v>
      </x:c>
    </x:row>
    <x:row r="823" ht="43.5" customHeight="1">
      <x:c r="A823" s="20" t="str">
        <x:v>REC-00814</x:v>
      </x:c>
      <x:c r="B823" s="20" t="str">
        <x:v>P2-B3-01</x:v>
      </x:c>
      <x:c r="C823" s="30" t="str">
        <x:f>IF(B823="","",IF(COUNTIFS(Equipment[组合编号],B823)&lt;&gt;1,"组合编号无效",INDEX(Equipment[PLC组],MATCH(B823,Equipment[组合编号],0))))</x:f>
        <x:v>汇川中大型</x:v>
      </x:c>
      <x:c r="D823" s="30" t="str">
        <x:f>IF(B823="","",IF(COUNTIFS(Equipment[组合编号],B823)&lt;&gt;1,"组合编号无效",INDEX(Equipment[驱动品牌],MATCH(B823,Equipment[组合编号],0))))</x:f>
        <x:v>繁易</x:v>
      </x:c>
      <x:c r="E823" s="20" t="str">
        <x:v>A02</x:v>
      </x:c>
      <x:c r="F823" s="20"/>
      <x:c r="G823" s="20"/>
      <x:c r="H823" s="20" t="str">
        <x:v>待判定</x:v>
      </x:c>
      <x:c r="I823" s="20"/>
      <x:c r="J823" s="20" t="str">
        <x:v>未测试</x:v>
      </x:c>
      <x:c r="K823" s="20"/>
      <x:c r="L823" s="20"/>
      <x:c r="M823" s="20"/>
      <x:c r="N823" s="20"/>
      <x:c r="O823" s="31"/>
      <x:c r="P823" s="20"/>
      <x:c r="Q823" s="20"/>
      <x:c r="R823" s="20" t="str">
        <x:v>待展开</x:v>
      </x:c>
      <x:c r="S823" s="20"/>
      <x:c r="T823" s="31"/>
      <x:c r="U823" s="30" t="str">
        <x:f>IF(A823="","缺记录编号",IF(COUNTIFS(PathRecords[记录编号],A823)&lt;&gt;1,"记录编号重复",IF(OR(B823="",E823=""),"缺组合/功能",IF(COUNTIFS(Equipment[组合编号],B823)&lt;&gt;1,"组合编号无效",IF(COUNTIFS(FunctionMatrix[编号],E823)=0,"功能编号无效",IF(H823="不适用",IF(J823="已实测","适用性冲突",IF(I823="","待补不适用依据","不适用（非实测）")),IF(J823="阻塞",IF(I823="","待补阻塞原因","阻塞（非实测）"),IF(J823&lt;&gt;"已实测",IF(F823="","待展开路径","未实测"),IF(H823&lt;&gt;"适用","待确认适用性",IF(INDEX(Equipment[登记状态（自动）],MATCH(B823,Equipment[组合编号],0))&lt;&gt;"已登记","待补设备组合",IF(AND(F823&lt;&gt;"",G823&lt;&gt;"",K823&lt;&gt;"",L823&lt;&gt;"",M823&lt;&gt;"",N823&lt;&gt;"",ISNUMBER(O823),O823&gt;0,P823&lt;&gt;""),"记录齐全","待补实测记录")))))))))))</x:f>
        <x:v>待展开路径</x:v>
      </x:c>
    </x:row>
    <x:row r="824" ht="43.5" customHeight="1">
      <x:c r="A824" s="20" t="str">
        <x:v>REC-00815</x:v>
      </x:c>
      <x:c r="B824" s="20" t="str">
        <x:v>P2-B3-01</x:v>
      </x:c>
      <x:c r="C824" s="30" t="str">
        <x:f>IF(B824="","",IF(COUNTIFS(Equipment[组合编号],B824)&lt;&gt;1,"组合编号无效",INDEX(Equipment[PLC组],MATCH(B824,Equipment[组合编号],0))))</x:f>
        <x:v>汇川中大型</x:v>
      </x:c>
      <x:c r="D824" s="30" t="str">
        <x:f>IF(B824="","",IF(COUNTIFS(Equipment[组合编号],B824)&lt;&gt;1,"组合编号无效",INDEX(Equipment[驱动品牌],MATCH(B824,Equipment[组合编号],0))))</x:f>
        <x:v>繁易</x:v>
      </x:c>
      <x:c r="E824" s="20" t="str">
        <x:v>A03</x:v>
      </x:c>
      <x:c r="F824" s="20"/>
      <x:c r="G824" s="20"/>
      <x:c r="H824" s="20" t="str">
        <x:v>待判定</x:v>
      </x:c>
      <x:c r="I824" s="20"/>
      <x:c r="J824" s="20" t="str">
        <x:v>未测试</x:v>
      </x:c>
      <x:c r="K824" s="20"/>
      <x:c r="L824" s="20"/>
      <x:c r="M824" s="20"/>
      <x:c r="N824" s="20"/>
      <x:c r="O824" s="31"/>
      <x:c r="P824" s="20"/>
      <x:c r="Q824" s="20"/>
      <x:c r="R824" s="20" t="str">
        <x:v>待展开</x:v>
      </x:c>
      <x:c r="S824" s="20"/>
      <x:c r="T824" s="31"/>
      <x:c r="U824" s="30" t="str">
        <x:f>IF(A824="","缺记录编号",IF(COUNTIFS(PathRecords[记录编号],A824)&lt;&gt;1,"记录编号重复",IF(OR(B824="",E824=""),"缺组合/功能",IF(COUNTIFS(Equipment[组合编号],B824)&lt;&gt;1,"组合编号无效",IF(COUNTIFS(FunctionMatrix[编号],E824)=0,"功能编号无效",IF(H824="不适用",IF(J824="已实测","适用性冲突",IF(I824="","待补不适用依据","不适用（非实测）")),IF(J824="阻塞",IF(I824="","待补阻塞原因","阻塞（非实测）"),IF(J824&lt;&gt;"已实测",IF(F824="","待展开路径","未实测"),IF(H824&lt;&gt;"适用","待确认适用性",IF(INDEX(Equipment[登记状态（自动）],MATCH(B824,Equipment[组合编号],0))&lt;&gt;"已登记","待补设备组合",IF(AND(F824&lt;&gt;"",G824&lt;&gt;"",K824&lt;&gt;"",L824&lt;&gt;"",M824&lt;&gt;"",N824&lt;&gt;"",ISNUMBER(O824),O824&gt;0,P824&lt;&gt;""),"记录齐全","待补实测记录")))))))))))</x:f>
        <x:v>待展开路径</x:v>
      </x:c>
    </x:row>
    <x:row r="825" ht="43.5" customHeight="1">
      <x:c r="A825" s="20" t="str">
        <x:v>REC-00816</x:v>
      </x:c>
      <x:c r="B825" s="20" t="str">
        <x:v>P2-B3-01</x:v>
      </x:c>
      <x:c r="C825" s="30" t="str">
        <x:f>IF(B825="","",IF(COUNTIFS(Equipment[组合编号],B825)&lt;&gt;1,"组合编号无效",INDEX(Equipment[PLC组],MATCH(B825,Equipment[组合编号],0))))</x:f>
        <x:v>汇川中大型</x:v>
      </x:c>
      <x:c r="D825" s="30" t="str">
        <x:f>IF(B825="","",IF(COUNTIFS(Equipment[组合编号],B825)&lt;&gt;1,"组合编号无效",INDEX(Equipment[驱动品牌],MATCH(B825,Equipment[组合编号],0))))</x:f>
        <x:v>繁易</x:v>
      </x:c>
      <x:c r="E825" s="20" t="str">
        <x:v>A04</x:v>
      </x:c>
      <x:c r="F825" s="20"/>
      <x:c r="G825" s="20"/>
      <x:c r="H825" s="20" t="str">
        <x:v>待判定</x:v>
      </x:c>
      <x:c r="I825" s="20"/>
      <x:c r="J825" s="20" t="str">
        <x:v>未测试</x:v>
      </x:c>
      <x:c r="K825" s="20"/>
      <x:c r="L825" s="20"/>
      <x:c r="M825" s="20"/>
      <x:c r="N825" s="20"/>
      <x:c r="O825" s="31"/>
      <x:c r="P825" s="20"/>
      <x:c r="Q825" s="20"/>
      <x:c r="R825" s="20" t="str">
        <x:v>待展开</x:v>
      </x:c>
      <x:c r="S825" s="20"/>
      <x:c r="T825" s="31"/>
      <x:c r="U825" s="30" t="str">
        <x:f>IF(A825="","缺记录编号",IF(COUNTIFS(PathRecords[记录编号],A825)&lt;&gt;1,"记录编号重复",IF(OR(B825="",E825=""),"缺组合/功能",IF(COUNTIFS(Equipment[组合编号],B825)&lt;&gt;1,"组合编号无效",IF(COUNTIFS(FunctionMatrix[编号],E825)=0,"功能编号无效",IF(H825="不适用",IF(J825="已实测","适用性冲突",IF(I825="","待补不适用依据","不适用（非实测）")),IF(J825="阻塞",IF(I825="","待补阻塞原因","阻塞（非实测）"),IF(J825&lt;&gt;"已实测",IF(F825="","待展开路径","未实测"),IF(H825&lt;&gt;"适用","待确认适用性",IF(INDEX(Equipment[登记状态（自动）],MATCH(B825,Equipment[组合编号],0))&lt;&gt;"已登记","待补设备组合",IF(AND(F825&lt;&gt;"",G825&lt;&gt;"",K825&lt;&gt;"",L825&lt;&gt;"",M825&lt;&gt;"",N825&lt;&gt;"",ISNUMBER(O825),O825&gt;0,P825&lt;&gt;""),"记录齐全","待补实测记录")))))))))))</x:f>
        <x:v>待展开路径</x:v>
      </x:c>
    </x:row>
    <x:row r="826" ht="43.5" customHeight="1">
      <x:c r="A826" s="20" t="str">
        <x:v>REC-00817</x:v>
      </x:c>
      <x:c r="B826" s="20" t="str">
        <x:v>P2-B3-01</x:v>
      </x:c>
      <x:c r="C826" s="30" t="str">
        <x:f>IF(B826="","",IF(COUNTIFS(Equipment[组合编号],B826)&lt;&gt;1,"组合编号无效",INDEX(Equipment[PLC组],MATCH(B826,Equipment[组合编号],0))))</x:f>
        <x:v>汇川中大型</x:v>
      </x:c>
      <x:c r="D826" s="30" t="str">
        <x:f>IF(B826="","",IF(COUNTIFS(Equipment[组合编号],B826)&lt;&gt;1,"组合编号无效",INDEX(Equipment[驱动品牌],MATCH(B826,Equipment[组合编号],0))))</x:f>
        <x:v>繁易</x:v>
      </x:c>
      <x:c r="E826" s="20" t="str">
        <x:v>A05</x:v>
      </x:c>
      <x:c r="F826" s="20"/>
      <x:c r="G826" s="20"/>
      <x:c r="H826" s="20" t="str">
        <x:v>待判定</x:v>
      </x:c>
      <x:c r="I826" s="20"/>
      <x:c r="J826" s="20" t="str">
        <x:v>未测试</x:v>
      </x:c>
      <x:c r="K826" s="20"/>
      <x:c r="L826" s="20"/>
      <x:c r="M826" s="20"/>
      <x:c r="N826" s="20"/>
      <x:c r="O826" s="31"/>
      <x:c r="P826" s="20"/>
      <x:c r="Q826" s="20"/>
      <x:c r="R826" s="20" t="str">
        <x:v>待展开</x:v>
      </x:c>
      <x:c r="S826" s="20"/>
      <x:c r="T826" s="31"/>
      <x:c r="U826" s="30" t="str">
        <x:f>IF(A826="","缺记录编号",IF(COUNTIFS(PathRecords[记录编号],A826)&lt;&gt;1,"记录编号重复",IF(OR(B826="",E826=""),"缺组合/功能",IF(COUNTIFS(Equipment[组合编号],B826)&lt;&gt;1,"组合编号无效",IF(COUNTIFS(FunctionMatrix[编号],E826)=0,"功能编号无效",IF(H826="不适用",IF(J826="已实测","适用性冲突",IF(I826="","待补不适用依据","不适用（非实测）")),IF(J826="阻塞",IF(I826="","待补阻塞原因","阻塞（非实测）"),IF(J826&lt;&gt;"已实测",IF(F826="","待展开路径","未实测"),IF(H826&lt;&gt;"适用","待确认适用性",IF(INDEX(Equipment[登记状态（自动）],MATCH(B826,Equipment[组合编号],0))&lt;&gt;"已登记","待补设备组合",IF(AND(F826&lt;&gt;"",G826&lt;&gt;"",K826&lt;&gt;"",L826&lt;&gt;"",M826&lt;&gt;"",N826&lt;&gt;"",ISNUMBER(O826),O826&gt;0,P826&lt;&gt;""),"记录齐全","待补实测记录")))))))))))</x:f>
        <x:v>待展开路径</x:v>
      </x:c>
    </x:row>
    <x:row r="827" ht="43.5" customHeight="1">
      <x:c r="A827" s="20" t="str">
        <x:v>REC-00818</x:v>
      </x:c>
      <x:c r="B827" s="20" t="str">
        <x:v>P2-B3-01</x:v>
      </x:c>
      <x:c r="C827" s="30" t="str">
        <x:f>IF(B827="","",IF(COUNTIFS(Equipment[组合编号],B827)&lt;&gt;1,"组合编号无效",INDEX(Equipment[PLC组],MATCH(B827,Equipment[组合编号],0))))</x:f>
        <x:v>汇川中大型</x:v>
      </x:c>
      <x:c r="D827" s="30" t="str">
        <x:f>IF(B827="","",IF(COUNTIFS(Equipment[组合编号],B827)&lt;&gt;1,"组合编号无效",INDEX(Equipment[驱动品牌],MATCH(B827,Equipment[组合编号],0))))</x:f>
        <x:v>繁易</x:v>
      </x:c>
      <x:c r="E827" s="20" t="str">
        <x:v>A06</x:v>
      </x:c>
      <x:c r="F827" s="20"/>
      <x:c r="G827" s="20"/>
      <x:c r="H827" s="20" t="str">
        <x:v>待判定</x:v>
      </x:c>
      <x:c r="I827" s="20"/>
      <x:c r="J827" s="20" t="str">
        <x:v>未测试</x:v>
      </x:c>
      <x:c r="K827" s="20"/>
      <x:c r="L827" s="20"/>
      <x:c r="M827" s="20"/>
      <x:c r="N827" s="20"/>
      <x:c r="O827" s="31"/>
      <x:c r="P827" s="20"/>
      <x:c r="Q827" s="20"/>
      <x:c r="R827" s="20" t="str">
        <x:v>待展开</x:v>
      </x:c>
      <x:c r="S827" s="20"/>
      <x:c r="T827" s="31"/>
      <x:c r="U827" s="30" t="str">
        <x:f>IF(A827="","缺记录编号",IF(COUNTIFS(PathRecords[记录编号],A827)&lt;&gt;1,"记录编号重复",IF(OR(B827="",E827=""),"缺组合/功能",IF(COUNTIFS(Equipment[组合编号],B827)&lt;&gt;1,"组合编号无效",IF(COUNTIFS(FunctionMatrix[编号],E827)=0,"功能编号无效",IF(H827="不适用",IF(J827="已实测","适用性冲突",IF(I827="","待补不适用依据","不适用（非实测）")),IF(J827="阻塞",IF(I827="","待补阻塞原因","阻塞（非实测）"),IF(J827&lt;&gt;"已实测",IF(F827="","待展开路径","未实测"),IF(H827&lt;&gt;"适用","待确认适用性",IF(INDEX(Equipment[登记状态（自动）],MATCH(B827,Equipment[组合编号],0))&lt;&gt;"已登记","待补设备组合",IF(AND(F827&lt;&gt;"",G827&lt;&gt;"",K827&lt;&gt;"",L827&lt;&gt;"",M827&lt;&gt;"",N827&lt;&gt;"",ISNUMBER(O827),O827&gt;0,P827&lt;&gt;""),"记录齐全","待补实测记录")))))))))))</x:f>
        <x:v>待展开路径</x:v>
      </x:c>
    </x:row>
    <x:row r="828" ht="43.5" customHeight="1">
      <x:c r="A828" s="20" t="str">
        <x:v>REC-00819</x:v>
      </x:c>
      <x:c r="B828" s="20" t="str">
        <x:v>P2-B3-01</x:v>
      </x:c>
      <x:c r="C828" s="30" t="str">
        <x:f>IF(B828="","",IF(COUNTIFS(Equipment[组合编号],B828)&lt;&gt;1,"组合编号无效",INDEX(Equipment[PLC组],MATCH(B828,Equipment[组合编号],0))))</x:f>
        <x:v>汇川中大型</x:v>
      </x:c>
      <x:c r="D828" s="30" t="str">
        <x:f>IF(B828="","",IF(COUNTIFS(Equipment[组合编号],B828)&lt;&gt;1,"组合编号无效",INDEX(Equipment[驱动品牌],MATCH(B828,Equipment[组合编号],0))))</x:f>
        <x:v>繁易</x:v>
      </x:c>
      <x:c r="E828" s="20" t="str">
        <x:v>A07</x:v>
      </x:c>
      <x:c r="F828" s="20"/>
      <x:c r="G828" s="20"/>
      <x:c r="H828" s="20" t="str">
        <x:v>待判定</x:v>
      </x:c>
      <x:c r="I828" s="20"/>
      <x:c r="J828" s="20" t="str">
        <x:v>未测试</x:v>
      </x:c>
      <x:c r="K828" s="20"/>
      <x:c r="L828" s="20"/>
      <x:c r="M828" s="20"/>
      <x:c r="N828" s="20"/>
      <x:c r="O828" s="31"/>
      <x:c r="P828" s="20"/>
      <x:c r="Q828" s="20"/>
      <x:c r="R828" s="20" t="str">
        <x:v>待展开</x:v>
      </x:c>
      <x:c r="S828" s="20"/>
      <x:c r="T828" s="31"/>
      <x:c r="U828" s="30" t="str">
        <x:f>IF(A828="","缺记录编号",IF(COUNTIFS(PathRecords[记录编号],A828)&lt;&gt;1,"记录编号重复",IF(OR(B828="",E828=""),"缺组合/功能",IF(COUNTIFS(Equipment[组合编号],B828)&lt;&gt;1,"组合编号无效",IF(COUNTIFS(FunctionMatrix[编号],E828)=0,"功能编号无效",IF(H828="不适用",IF(J828="已实测","适用性冲突",IF(I828="","待补不适用依据","不适用（非实测）")),IF(J828="阻塞",IF(I828="","待补阻塞原因","阻塞（非实测）"),IF(J828&lt;&gt;"已实测",IF(F828="","待展开路径","未实测"),IF(H828&lt;&gt;"适用","待确认适用性",IF(INDEX(Equipment[登记状态（自动）],MATCH(B828,Equipment[组合编号],0))&lt;&gt;"已登记","待补设备组合",IF(AND(F828&lt;&gt;"",G828&lt;&gt;"",K828&lt;&gt;"",L828&lt;&gt;"",M828&lt;&gt;"",N828&lt;&gt;"",ISNUMBER(O828),O828&gt;0,P828&lt;&gt;""),"记录齐全","待补实测记录")))))))))))</x:f>
        <x:v>待展开路径</x:v>
      </x:c>
    </x:row>
    <x:row r="829" ht="43.5" customHeight="1">
      <x:c r="A829" s="20" t="str">
        <x:v>REC-00820</x:v>
      </x:c>
      <x:c r="B829" s="20" t="str">
        <x:v>P2-B3-01</x:v>
      </x:c>
      <x:c r="C829" s="30" t="str">
        <x:f>IF(B829="","",IF(COUNTIFS(Equipment[组合编号],B829)&lt;&gt;1,"组合编号无效",INDEX(Equipment[PLC组],MATCH(B829,Equipment[组合编号],0))))</x:f>
        <x:v>汇川中大型</x:v>
      </x:c>
      <x:c r="D829" s="30" t="str">
        <x:f>IF(B829="","",IF(COUNTIFS(Equipment[组合编号],B829)&lt;&gt;1,"组合编号无效",INDEX(Equipment[驱动品牌],MATCH(B829,Equipment[组合编号],0))))</x:f>
        <x:v>繁易</x:v>
      </x:c>
      <x:c r="E829" s="20" t="str">
        <x:v>A08</x:v>
      </x:c>
      <x:c r="F829" s="20"/>
      <x:c r="G829" s="20"/>
      <x:c r="H829" s="20" t="str">
        <x:v>待判定</x:v>
      </x:c>
      <x:c r="I829" s="20"/>
      <x:c r="J829" s="20" t="str">
        <x:v>未测试</x:v>
      </x:c>
      <x:c r="K829" s="20"/>
      <x:c r="L829" s="20"/>
      <x:c r="M829" s="20"/>
      <x:c r="N829" s="20"/>
      <x:c r="O829" s="31"/>
      <x:c r="P829" s="20"/>
      <x:c r="Q829" s="20"/>
      <x:c r="R829" s="20" t="str">
        <x:v>待展开</x:v>
      </x:c>
      <x:c r="S829" s="20"/>
      <x:c r="T829" s="31"/>
      <x:c r="U829" s="30" t="str">
        <x:f>IF(A829="","缺记录编号",IF(COUNTIFS(PathRecords[记录编号],A829)&lt;&gt;1,"记录编号重复",IF(OR(B829="",E829=""),"缺组合/功能",IF(COUNTIFS(Equipment[组合编号],B829)&lt;&gt;1,"组合编号无效",IF(COUNTIFS(FunctionMatrix[编号],E829)=0,"功能编号无效",IF(H829="不适用",IF(J829="已实测","适用性冲突",IF(I829="","待补不适用依据","不适用（非实测）")),IF(J829="阻塞",IF(I829="","待补阻塞原因","阻塞（非实测）"),IF(J829&lt;&gt;"已实测",IF(F829="","待展开路径","未实测"),IF(H829&lt;&gt;"适用","待确认适用性",IF(INDEX(Equipment[登记状态（自动）],MATCH(B829,Equipment[组合编号],0))&lt;&gt;"已登记","待补设备组合",IF(AND(F829&lt;&gt;"",G829&lt;&gt;"",K829&lt;&gt;"",L829&lt;&gt;"",M829&lt;&gt;"",N829&lt;&gt;"",ISNUMBER(O829),O829&gt;0,P829&lt;&gt;""),"记录齐全","待补实测记录")))))))))))</x:f>
        <x:v>待展开路径</x:v>
      </x:c>
    </x:row>
    <x:row r="830" ht="43.5" customHeight="1">
      <x:c r="A830" s="20" t="str">
        <x:v>REC-00821</x:v>
      </x:c>
      <x:c r="B830" s="20" t="str">
        <x:v>P2-B3-01</x:v>
      </x:c>
      <x:c r="C830" s="30" t="str">
        <x:f>IF(B830="","",IF(COUNTIFS(Equipment[组合编号],B830)&lt;&gt;1,"组合编号无效",INDEX(Equipment[PLC组],MATCH(B830,Equipment[组合编号],0))))</x:f>
        <x:v>汇川中大型</x:v>
      </x:c>
      <x:c r="D830" s="30" t="str">
        <x:f>IF(B830="","",IF(COUNTIFS(Equipment[组合编号],B830)&lt;&gt;1,"组合编号无效",INDEX(Equipment[驱动品牌],MATCH(B830,Equipment[组合编号],0))))</x:f>
        <x:v>繁易</x:v>
      </x:c>
      <x:c r="E830" s="20" t="str">
        <x:v>A09</x:v>
      </x:c>
      <x:c r="F830" s="20"/>
      <x:c r="G830" s="20"/>
      <x:c r="H830" s="20" t="str">
        <x:v>待判定</x:v>
      </x:c>
      <x:c r="I830" s="20"/>
      <x:c r="J830" s="20" t="str">
        <x:v>未测试</x:v>
      </x:c>
      <x:c r="K830" s="20"/>
      <x:c r="L830" s="20"/>
      <x:c r="M830" s="20"/>
      <x:c r="N830" s="20"/>
      <x:c r="O830" s="31"/>
      <x:c r="P830" s="20"/>
      <x:c r="Q830" s="20"/>
      <x:c r="R830" s="20" t="str">
        <x:v>待展开</x:v>
      </x:c>
      <x:c r="S830" s="20"/>
      <x:c r="T830" s="31"/>
      <x:c r="U830" s="30" t="str">
        <x:f>IF(A830="","缺记录编号",IF(COUNTIFS(PathRecords[记录编号],A830)&lt;&gt;1,"记录编号重复",IF(OR(B830="",E830=""),"缺组合/功能",IF(COUNTIFS(Equipment[组合编号],B830)&lt;&gt;1,"组合编号无效",IF(COUNTIFS(FunctionMatrix[编号],E830)=0,"功能编号无效",IF(H830="不适用",IF(J830="已实测","适用性冲突",IF(I830="","待补不适用依据","不适用（非实测）")),IF(J830="阻塞",IF(I830="","待补阻塞原因","阻塞（非实测）"),IF(J830&lt;&gt;"已实测",IF(F830="","待展开路径","未实测"),IF(H830&lt;&gt;"适用","待确认适用性",IF(INDEX(Equipment[登记状态（自动）],MATCH(B830,Equipment[组合编号],0))&lt;&gt;"已登记","待补设备组合",IF(AND(F830&lt;&gt;"",G830&lt;&gt;"",K830&lt;&gt;"",L830&lt;&gt;"",M830&lt;&gt;"",N830&lt;&gt;"",ISNUMBER(O830),O830&gt;0,P830&lt;&gt;""),"记录齐全","待补实测记录")))))))))))</x:f>
        <x:v>待展开路径</x:v>
      </x:c>
    </x:row>
    <x:row r="831" ht="43.5" customHeight="1">
      <x:c r="A831" s="20" t="str">
        <x:v>REC-00822</x:v>
      </x:c>
      <x:c r="B831" s="20" t="str">
        <x:v>P2-B3-01</x:v>
      </x:c>
      <x:c r="C831" s="30" t="str">
        <x:f>IF(B831="","",IF(COUNTIFS(Equipment[组合编号],B831)&lt;&gt;1,"组合编号无效",INDEX(Equipment[PLC组],MATCH(B831,Equipment[组合编号],0))))</x:f>
        <x:v>汇川中大型</x:v>
      </x:c>
      <x:c r="D831" s="30" t="str">
        <x:f>IF(B831="","",IF(COUNTIFS(Equipment[组合编号],B831)&lt;&gt;1,"组合编号无效",INDEX(Equipment[驱动品牌],MATCH(B831,Equipment[组合编号],0))))</x:f>
        <x:v>繁易</x:v>
      </x:c>
      <x:c r="E831" s="20" t="str">
        <x:v>C01</x:v>
      </x:c>
      <x:c r="F831" s="20"/>
      <x:c r="G831" s="20"/>
      <x:c r="H831" s="20" t="str">
        <x:v>待判定</x:v>
      </x:c>
      <x:c r="I831" s="20"/>
      <x:c r="J831" s="20" t="str">
        <x:v>未测试</x:v>
      </x:c>
      <x:c r="K831" s="20"/>
      <x:c r="L831" s="20"/>
      <x:c r="M831" s="20"/>
      <x:c r="N831" s="20"/>
      <x:c r="O831" s="31"/>
      <x:c r="P831" s="20"/>
      <x:c r="Q831" s="20"/>
      <x:c r="R831" s="20" t="str">
        <x:v>待展开</x:v>
      </x:c>
      <x:c r="S831" s="20"/>
      <x:c r="T831" s="31"/>
      <x:c r="U831" s="30" t="str">
        <x:f>IF(A831="","缺记录编号",IF(COUNTIFS(PathRecords[记录编号],A831)&lt;&gt;1,"记录编号重复",IF(OR(B831="",E831=""),"缺组合/功能",IF(COUNTIFS(Equipment[组合编号],B831)&lt;&gt;1,"组合编号无效",IF(COUNTIFS(FunctionMatrix[编号],E831)=0,"功能编号无效",IF(H831="不适用",IF(J831="已实测","适用性冲突",IF(I831="","待补不适用依据","不适用（非实测）")),IF(J831="阻塞",IF(I831="","待补阻塞原因","阻塞（非实测）"),IF(J831&lt;&gt;"已实测",IF(F831="","待展开路径","未实测"),IF(H831&lt;&gt;"适用","待确认适用性",IF(INDEX(Equipment[登记状态（自动）],MATCH(B831,Equipment[组合编号],0))&lt;&gt;"已登记","待补设备组合",IF(AND(F831&lt;&gt;"",G831&lt;&gt;"",K831&lt;&gt;"",L831&lt;&gt;"",M831&lt;&gt;"",N831&lt;&gt;"",ISNUMBER(O831),O831&gt;0,P831&lt;&gt;""),"记录齐全","待补实测记录")))))))))))</x:f>
        <x:v>待展开路径</x:v>
      </x:c>
    </x:row>
    <x:row r="832" ht="43.5" customHeight="1">
      <x:c r="A832" s="20" t="str">
        <x:v>REC-00823</x:v>
      </x:c>
      <x:c r="B832" s="20" t="str">
        <x:v>P2-B3-01</x:v>
      </x:c>
      <x:c r="C832" s="30" t="str">
        <x:f>IF(B832="","",IF(COUNTIFS(Equipment[组合编号],B832)&lt;&gt;1,"组合编号无效",INDEX(Equipment[PLC组],MATCH(B832,Equipment[组合编号],0))))</x:f>
        <x:v>汇川中大型</x:v>
      </x:c>
      <x:c r="D832" s="30" t="str">
        <x:f>IF(B832="","",IF(COUNTIFS(Equipment[组合编号],B832)&lt;&gt;1,"组合编号无效",INDEX(Equipment[驱动品牌],MATCH(B832,Equipment[组合编号],0))))</x:f>
        <x:v>繁易</x:v>
      </x:c>
      <x:c r="E832" s="20" t="str">
        <x:v>C02</x:v>
      </x:c>
      <x:c r="F832" s="20"/>
      <x:c r="G832" s="20"/>
      <x:c r="H832" s="20" t="str">
        <x:v>待判定</x:v>
      </x:c>
      <x:c r="I832" s="20"/>
      <x:c r="J832" s="20" t="str">
        <x:v>未测试</x:v>
      </x:c>
      <x:c r="K832" s="20"/>
      <x:c r="L832" s="20"/>
      <x:c r="M832" s="20"/>
      <x:c r="N832" s="20"/>
      <x:c r="O832" s="31"/>
      <x:c r="P832" s="20"/>
      <x:c r="Q832" s="20"/>
      <x:c r="R832" s="20" t="str">
        <x:v>待展开</x:v>
      </x:c>
      <x:c r="S832" s="20"/>
      <x:c r="T832" s="31"/>
      <x:c r="U832" s="30" t="str">
        <x:f>IF(A832="","缺记录编号",IF(COUNTIFS(PathRecords[记录编号],A832)&lt;&gt;1,"记录编号重复",IF(OR(B832="",E832=""),"缺组合/功能",IF(COUNTIFS(Equipment[组合编号],B832)&lt;&gt;1,"组合编号无效",IF(COUNTIFS(FunctionMatrix[编号],E832)=0,"功能编号无效",IF(H832="不适用",IF(J832="已实测","适用性冲突",IF(I832="","待补不适用依据","不适用（非实测）")),IF(J832="阻塞",IF(I832="","待补阻塞原因","阻塞（非实测）"),IF(J832&lt;&gt;"已实测",IF(F832="","待展开路径","未实测"),IF(H832&lt;&gt;"适用","待确认适用性",IF(INDEX(Equipment[登记状态（自动）],MATCH(B832,Equipment[组合编号],0))&lt;&gt;"已登记","待补设备组合",IF(AND(F832&lt;&gt;"",G832&lt;&gt;"",K832&lt;&gt;"",L832&lt;&gt;"",M832&lt;&gt;"",N832&lt;&gt;"",ISNUMBER(O832),O832&gt;0,P832&lt;&gt;""),"记录齐全","待补实测记录")))))))))))</x:f>
        <x:v>待展开路径</x:v>
      </x:c>
    </x:row>
    <x:row r="833" ht="43.5" customHeight="1">
      <x:c r="A833" s="20" t="str">
        <x:v>REC-00824</x:v>
      </x:c>
      <x:c r="B833" s="20" t="str">
        <x:v>P2-B3-01</x:v>
      </x:c>
      <x:c r="C833" s="30" t="str">
        <x:f>IF(B833="","",IF(COUNTIFS(Equipment[组合编号],B833)&lt;&gt;1,"组合编号无效",INDEX(Equipment[PLC组],MATCH(B833,Equipment[组合编号],0))))</x:f>
        <x:v>汇川中大型</x:v>
      </x:c>
      <x:c r="D833" s="30" t="str">
        <x:f>IF(B833="","",IF(COUNTIFS(Equipment[组合编号],B833)&lt;&gt;1,"组合编号无效",INDEX(Equipment[驱动品牌],MATCH(B833,Equipment[组合编号],0))))</x:f>
        <x:v>繁易</x:v>
      </x:c>
      <x:c r="E833" s="20" t="str">
        <x:v>C03</x:v>
      </x:c>
      <x:c r="F833" s="20"/>
      <x:c r="G833" s="20"/>
      <x:c r="H833" s="20" t="str">
        <x:v>待判定</x:v>
      </x:c>
      <x:c r="I833" s="20"/>
      <x:c r="J833" s="20" t="str">
        <x:v>未测试</x:v>
      </x:c>
      <x:c r="K833" s="20"/>
      <x:c r="L833" s="20"/>
      <x:c r="M833" s="20"/>
      <x:c r="N833" s="20"/>
      <x:c r="O833" s="31"/>
      <x:c r="P833" s="20"/>
      <x:c r="Q833" s="20"/>
      <x:c r="R833" s="20" t="str">
        <x:v>待展开</x:v>
      </x:c>
      <x:c r="S833" s="20"/>
      <x:c r="T833" s="31"/>
      <x:c r="U833" s="30" t="str">
        <x:f>IF(A833="","缺记录编号",IF(COUNTIFS(PathRecords[记录编号],A833)&lt;&gt;1,"记录编号重复",IF(OR(B833="",E833=""),"缺组合/功能",IF(COUNTIFS(Equipment[组合编号],B833)&lt;&gt;1,"组合编号无效",IF(COUNTIFS(FunctionMatrix[编号],E833)=0,"功能编号无效",IF(H833="不适用",IF(J833="已实测","适用性冲突",IF(I833="","待补不适用依据","不适用（非实测）")),IF(J833="阻塞",IF(I833="","待补阻塞原因","阻塞（非实测）"),IF(J833&lt;&gt;"已实测",IF(F833="","待展开路径","未实测"),IF(H833&lt;&gt;"适用","待确认适用性",IF(INDEX(Equipment[登记状态（自动）],MATCH(B833,Equipment[组合编号],0))&lt;&gt;"已登记","待补设备组合",IF(AND(F833&lt;&gt;"",G833&lt;&gt;"",K833&lt;&gt;"",L833&lt;&gt;"",M833&lt;&gt;"",N833&lt;&gt;"",ISNUMBER(O833),O833&gt;0,P833&lt;&gt;""),"记录齐全","待补实测记录")))))))))))</x:f>
        <x:v>待展开路径</x:v>
      </x:c>
    </x:row>
    <x:row r="834" ht="43.5" customHeight="1">
      <x:c r="A834" s="20" t="str">
        <x:v>REC-00825</x:v>
      </x:c>
      <x:c r="B834" s="20" t="str">
        <x:v>P2-B3-01</x:v>
      </x:c>
      <x:c r="C834" s="30" t="str">
        <x:f>IF(B834="","",IF(COUNTIFS(Equipment[组合编号],B834)&lt;&gt;1,"组合编号无效",INDEX(Equipment[PLC组],MATCH(B834,Equipment[组合编号],0))))</x:f>
        <x:v>汇川中大型</x:v>
      </x:c>
      <x:c r="D834" s="30" t="str">
        <x:f>IF(B834="","",IF(COUNTIFS(Equipment[组合编号],B834)&lt;&gt;1,"组合编号无效",INDEX(Equipment[驱动品牌],MATCH(B834,Equipment[组合编号],0))))</x:f>
        <x:v>繁易</x:v>
      </x:c>
      <x:c r="E834" s="20" t="str">
        <x:v>C04</x:v>
      </x:c>
      <x:c r="F834" s="20"/>
      <x:c r="G834" s="20"/>
      <x:c r="H834" s="20" t="str">
        <x:v>待判定</x:v>
      </x:c>
      <x:c r="I834" s="20"/>
      <x:c r="J834" s="20" t="str">
        <x:v>未测试</x:v>
      </x:c>
      <x:c r="K834" s="20"/>
      <x:c r="L834" s="20"/>
      <x:c r="M834" s="20"/>
      <x:c r="N834" s="20"/>
      <x:c r="O834" s="31"/>
      <x:c r="P834" s="20"/>
      <x:c r="Q834" s="20"/>
      <x:c r="R834" s="20" t="str">
        <x:v>待展开</x:v>
      </x:c>
      <x:c r="S834" s="20"/>
      <x:c r="T834" s="31"/>
      <x:c r="U834" s="30" t="str">
        <x:f>IF(A834="","缺记录编号",IF(COUNTIFS(PathRecords[记录编号],A834)&lt;&gt;1,"记录编号重复",IF(OR(B834="",E834=""),"缺组合/功能",IF(COUNTIFS(Equipment[组合编号],B834)&lt;&gt;1,"组合编号无效",IF(COUNTIFS(FunctionMatrix[编号],E834)=0,"功能编号无效",IF(H834="不适用",IF(J834="已实测","适用性冲突",IF(I834="","待补不适用依据","不适用（非实测）")),IF(J834="阻塞",IF(I834="","待补阻塞原因","阻塞（非实测）"),IF(J834&lt;&gt;"已实测",IF(F834="","待展开路径","未实测"),IF(H834&lt;&gt;"适用","待确认适用性",IF(INDEX(Equipment[登记状态（自动）],MATCH(B834,Equipment[组合编号],0))&lt;&gt;"已登记","待补设备组合",IF(AND(F834&lt;&gt;"",G834&lt;&gt;"",K834&lt;&gt;"",L834&lt;&gt;"",M834&lt;&gt;"",N834&lt;&gt;"",ISNUMBER(O834),O834&gt;0,P834&lt;&gt;""),"记录齐全","待补实测记录")))))))))))</x:f>
        <x:v>待展开路径</x:v>
      </x:c>
    </x:row>
    <x:row r="835" ht="43.5" customHeight="1">
      <x:c r="A835" s="20" t="str">
        <x:v>REC-00826</x:v>
      </x:c>
      <x:c r="B835" s="20" t="str">
        <x:v>P2-B3-01</x:v>
      </x:c>
      <x:c r="C835" s="30" t="str">
        <x:f>IF(B835="","",IF(COUNTIFS(Equipment[组合编号],B835)&lt;&gt;1,"组合编号无效",INDEX(Equipment[PLC组],MATCH(B835,Equipment[组合编号],0))))</x:f>
        <x:v>汇川中大型</x:v>
      </x:c>
      <x:c r="D835" s="30" t="str">
        <x:f>IF(B835="","",IF(COUNTIFS(Equipment[组合编号],B835)&lt;&gt;1,"组合编号无效",INDEX(Equipment[驱动品牌],MATCH(B835,Equipment[组合编号],0))))</x:f>
        <x:v>繁易</x:v>
      </x:c>
      <x:c r="E835" s="20" t="str">
        <x:v>C05</x:v>
      </x:c>
      <x:c r="F835" s="20"/>
      <x:c r="G835" s="20"/>
      <x:c r="H835" s="20" t="str">
        <x:v>待判定</x:v>
      </x:c>
      <x:c r="I835" s="20"/>
      <x:c r="J835" s="20" t="str">
        <x:v>未测试</x:v>
      </x:c>
      <x:c r="K835" s="20"/>
      <x:c r="L835" s="20"/>
      <x:c r="M835" s="20"/>
      <x:c r="N835" s="20"/>
      <x:c r="O835" s="31"/>
      <x:c r="P835" s="20"/>
      <x:c r="Q835" s="20"/>
      <x:c r="R835" s="20" t="str">
        <x:v>待展开</x:v>
      </x:c>
      <x:c r="S835" s="20"/>
      <x:c r="T835" s="31"/>
      <x:c r="U835" s="30" t="str">
        <x:f>IF(A835="","缺记录编号",IF(COUNTIFS(PathRecords[记录编号],A835)&lt;&gt;1,"记录编号重复",IF(OR(B835="",E835=""),"缺组合/功能",IF(COUNTIFS(Equipment[组合编号],B835)&lt;&gt;1,"组合编号无效",IF(COUNTIFS(FunctionMatrix[编号],E835)=0,"功能编号无效",IF(H835="不适用",IF(J835="已实测","适用性冲突",IF(I835="","待补不适用依据","不适用（非实测）")),IF(J835="阻塞",IF(I835="","待补阻塞原因","阻塞（非实测）"),IF(J835&lt;&gt;"已实测",IF(F835="","待展开路径","未实测"),IF(H835&lt;&gt;"适用","待确认适用性",IF(INDEX(Equipment[登记状态（自动）],MATCH(B835,Equipment[组合编号],0))&lt;&gt;"已登记","待补设备组合",IF(AND(F835&lt;&gt;"",G835&lt;&gt;"",K835&lt;&gt;"",L835&lt;&gt;"",M835&lt;&gt;"",N835&lt;&gt;"",ISNUMBER(O835),O835&gt;0,P835&lt;&gt;""),"记录齐全","待补实测记录")))))))))))</x:f>
        <x:v>待展开路径</x:v>
      </x:c>
    </x:row>
    <x:row r="836" ht="43.5" customHeight="1">
      <x:c r="A836" s="20" t="str">
        <x:v>REC-00827</x:v>
      </x:c>
      <x:c r="B836" s="20" t="str">
        <x:v>P2-B3-01</x:v>
      </x:c>
      <x:c r="C836" s="30" t="str">
        <x:f>IF(B836="","",IF(COUNTIFS(Equipment[组合编号],B836)&lt;&gt;1,"组合编号无效",INDEX(Equipment[PLC组],MATCH(B836,Equipment[组合编号],0))))</x:f>
        <x:v>汇川中大型</x:v>
      </x:c>
      <x:c r="D836" s="30" t="str">
        <x:f>IF(B836="","",IF(COUNTIFS(Equipment[组合编号],B836)&lt;&gt;1,"组合编号无效",INDEX(Equipment[驱动品牌],MATCH(B836,Equipment[组合编号],0))))</x:f>
        <x:v>繁易</x:v>
      </x:c>
      <x:c r="E836" s="20" t="str">
        <x:v>C06</x:v>
      </x:c>
      <x:c r="F836" s="20"/>
      <x:c r="G836" s="20"/>
      <x:c r="H836" s="20" t="str">
        <x:v>待判定</x:v>
      </x:c>
      <x:c r="I836" s="20"/>
      <x:c r="J836" s="20" t="str">
        <x:v>未测试</x:v>
      </x:c>
      <x:c r="K836" s="20"/>
      <x:c r="L836" s="20"/>
      <x:c r="M836" s="20"/>
      <x:c r="N836" s="20"/>
      <x:c r="O836" s="31"/>
      <x:c r="P836" s="20"/>
      <x:c r="Q836" s="20"/>
      <x:c r="R836" s="20" t="str">
        <x:v>待展开</x:v>
      </x:c>
      <x:c r="S836" s="20"/>
      <x:c r="T836" s="31"/>
      <x:c r="U836" s="30" t="str">
        <x:f>IF(A836="","缺记录编号",IF(COUNTIFS(PathRecords[记录编号],A836)&lt;&gt;1,"记录编号重复",IF(OR(B836="",E836=""),"缺组合/功能",IF(COUNTIFS(Equipment[组合编号],B836)&lt;&gt;1,"组合编号无效",IF(COUNTIFS(FunctionMatrix[编号],E836)=0,"功能编号无效",IF(H836="不适用",IF(J836="已实测","适用性冲突",IF(I836="","待补不适用依据","不适用（非实测）")),IF(J836="阻塞",IF(I836="","待补阻塞原因","阻塞（非实测）"),IF(J836&lt;&gt;"已实测",IF(F836="","待展开路径","未实测"),IF(H836&lt;&gt;"适用","待确认适用性",IF(INDEX(Equipment[登记状态（自动）],MATCH(B836,Equipment[组合编号],0))&lt;&gt;"已登记","待补设备组合",IF(AND(F836&lt;&gt;"",G836&lt;&gt;"",K836&lt;&gt;"",L836&lt;&gt;"",M836&lt;&gt;"",N836&lt;&gt;"",ISNUMBER(O836),O836&gt;0,P836&lt;&gt;""),"记录齐全","待补实测记录")))))))))))</x:f>
        <x:v>待展开路径</x:v>
      </x:c>
    </x:row>
    <x:row r="837" ht="43.5" customHeight="1">
      <x:c r="A837" s="20" t="str">
        <x:v>REC-00828</x:v>
      </x:c>
      <x:c r="B837" s="20" t="str">
        <x:v>P2-B3-01</x:v>
      </x:c>
      <x:c r="C837" s="30" t="str">
        <x:f>IF(B837="","",IF(COUNTIFS(Equipment[组合编号],B837)&lt;&gt;1,"组合编号无效",INDEX(Equipment[PLC组],MATCH(B837,Equipment[组合编号],0))))</x:f>
        <x:v>汇川中大型</x:v>
      </x:c>
      <x:c r="D837" s="30" t="str">
        <x:f>IF(B837="","",IF(COUNTIFS(Equipment[组合编号],B837)&lt;&gt;1,"组合编号无效",INDEX(Equipment[驱动品牌],MATCH(B837,Equipment[组合编号],0))))</x:f>
        <x:v>繁易</x:v>
      </x:c>
      <x:c r="E837" s="20" t="str">
        <x:v>C07</x:v>
      </x:c>
      <x:c r="F837" s="20"/>
      <x:c r="G837" s="20"/>
      <x:c r="H837" s="20" t="str">
        <x:v>待判定</x:v>
      </x:c>
      <x:c r="I837" s="20"/>
      <x:c r="J837" s="20" t="str">
        <x:v>未测试</x:v>
      </x:c>
      <x:c r="K837" s="20"/>
      <x:c r="L837" s="20"/>
      <x:c r="M837" s="20"/>
      <x:c r="N837" s="20"/>
      <x:c r="O837" s="31"/>
      <x:c r="P837" s="20"/>
      <x:c r="Q837" s="20"/>
      <x:c r="R837" s="20" t="str">
        <x:v>待展开</x:v>
      </x:c>
      <x:c r="S837" s="20"/>
      <x:c r="T837" s="31"/>
      <x:c r="U837" s="30" t="str">
        <x:f>IF(A837="","缺记录编号",IF(COUNTIFS(PathRecords[记录编号],A837)&lt;&gt;1,"记录编号重复",IF(OR(B837="",E837=""),"缺组合/功能",IF(COUNTIFS(Equipment[组合编号],B837)&lt;&gt;1,"组合编号无效",IF(COUNTIFS(FunctionMatrix[编号],E837)=0,"功能编号无效",IF(H837="不适用",IF(J837="已实测","适用性冲突",IF(I837="","待补不适用依据","不适用（非实测）")),IF(J837="阻塞",IF(I837="","待补阻塞原因","阻塞（非实测）"),IF(J837&lt;&gt;"已实测",IF(F837="","待展开路径","未实测"),IF(H837&lt;&gt;"适用","待确认适用性",IF(INDEX(Equipment[登记状态（自动）],MATCH(B837,Equipment[组合编号],0))&lt;&gt;"已登记","待补设备组合",IF(AND(F837&lt;&gt;"",G837&lt;&gt;"",K837&lt;&gt;"",L837&lt;&gt;"",M837&lt;&gt;"",N837&lt;&gt;"",ISNUMBER(O837),O837&gt;0,P837&lt;&gt;""),"记录齐全","待补实测记录")))))))))))</x:f>
        <x:v>待展开路径</x:v>
      </x:c>
    </x:row>
    <x:row r="838" ht="43.5" customHeight="1">
      <x:c r="A838" s="20" t="str">
        <x:v>REC-00829</x:v>
      </x:c>
      <x:c r="B838" s="20" t="str">
        <x:v>P2-B3-01</x:v>
      </x:c>
      <x:c r="C838" s="30" t="str">
        <x:f>IF(B838="","",IF(COUNTIFS(Equipment[组合编号],B838)&lt;&gt;1,"组合编号无效",INDEX(Equipment[PLC组],MATCH(B838,Equipment[组合编号],0))))</x:f>
        <x:v>汇川中大型</x:v>
      </x:c>
      <x:c r="D838" s="30" t="str">
        <x:f>IF(B838="","",IF(COUNTIFS(Equipment[组合编号],B838)&lt;&gt;1,"组合编号无效",INDEX(Equipment[驱动品牌],MATCH(B838,Equipment[组合编号],0))))</x:f>
        <x:v>繁易</x:v>
      </x:c>
      <x:c r="E838" s="20" t="str">
        <x:v>C08</x:v>
      </x:c>
      <x:c r="F838" s="20"/>
      <x:c r="G838" s="20"/>
      <x:c r="H838" s="20" t="str">
        <x:v>待判定</x:v>
      </x:c>
      <x:c r="I838" s="20"/>
      <x:c r="J838" s="20" t="str">
        <x:v>未测试</x:v>
      </x:c>
      <x:c r="K838" s="20"/>
      <x:c r="L838" s="20"/>
      <x:c r="M838" s="20"/>
      <x:c r="N838" s="20"/>
      <x:c r="O838" s="31"/>
      <x:c r="P838" s="20"/>
      <x:c r="Q838" s="20"/>
      <x:c r="R838" s="20" t="str">
        <x:v>待展开</x:v>
      </x:c>
      <x:c r="S838" s="20"/>
      <x:c r="T838" s="31"/>
      <x:c r="U838" s="30" t="str">
        <x:f>IF(A838="","缺记录编号",IF(COUNTIFS(PathRecords[记录编号],A838)&lt;&gt;1,"记录编号重复",IF(OR(B838="",E838=""),"缺组合/功能",IF(COUNTIFS(Equipment[组合编号],B838)&lt;&gt;1,"组合编号无效",IF(COUNTIFS(FunctionMatrix[编号],E838)=0,"功能编号无效",IF(H838="不适用",IF(J838="已实测","适用性冲突",IF(I838="","待补不适用依据","不适用（非实测）")),IF(J838="阻塞",IF(I838="","待补阻塞原因","阻塞（非实测）"),IF(J838&lt;&gt;"已实测",IF(F838="","待展开路径","未实测"),IF(H838&lt;&gt;"适用","待确认适用性",IF(INDEX(Equipment[登记状态（自动）],MATCH(B838,Equipment[组合编号],0))&lt;&gt;"已登记","待补设备组合",IF(AND(F838&lt;&gt;"",G838&lt;&gt;"",K838&lt;&gt;"",L838&lt;&gt;"",M838&lt;&gt;"",N838&lt;&gt;"",ISNUMBER(O838),O838&gt;0,P838&lt;&gt;""),"记录齐全","待补实测记录")))))))))))</x:f>
        <x:v>待展开路径</x:v>
      </x:c>
    </x:row>
    <x:row r="839" ht="43.5" customHeight="1">
      <x:c r="A839" s="20" t="str">
        <x:v>REC-00830</x:v>
      </x:c>
      <x:c r="B839" s="20" t="str">
        <x:v>P2-B3-01</x:v>
      </x:c>
      <x:c r="C839" s="30" t="str">
        <x:f>IF(B839="","",IF(COUNTIFS(Equipment[组合编号],B839)&lt;&gt;1,"组合编号无效",INDEX(Equipment[PLC组],MATCH(B839,Equipment[组合编号],0))))</x:f>
        <x:v>汇川中大型</x:v>
      </x:c>
      <x:c r="D839" s="30" t="str">
        <x:f>IF(B839="","",IF(COUNTIFS(Equipment[组合编号],B839)&lt;&gt;1,"组合编号无效",INDEX(Equipment[驱动品牌],MATCH(B839,Equipment[组合编号],0))))</x:f>
        <x:v>繁易</x:v>
      </x:c>
      <x:c r="E839" s="20" t="str">
        <x:v>C09</x:v>
      </x:c>
      <x:c r="F839" s="20"/>
      <x:c r="G839" s="20"/>
      <x:c r="H839" s="20" t="str">
        <x:v>待判定</x:v>
      </x:c>
      <x:c r="I839" s="20"/>
      <x:c r="J839" s="20" t="str">
        <x:v>未测试</x:v>
      </x:c>
      <x:c r="K839" s="20"/>
      <x:c r="L839" s="20"/>
      <x:c r="M839" s="20"/>
      <x:c r="N839" s="20"/>
      <x:c r="O839" s="31"/>
      <x:c r="P839" s="20"/>
      <x:c r="Q839" s="20"/>
      <x:c r="R839" s="20" t="str">
        <x:v>待展开</x:v>
      </x:c>
      <x:c r="S839" s="20"/>
      <x:c r="T839" s="31"/>
      <x:c r="U839" s="30" t="str">
        <x:f>IF(A839="","缺记录编号",IF(COUNTIFS(PathRecords[记录编号],A839)&lt;&gt;1,"记录编号重复",IF(OR(B839="",E839=""),"缺组合/功能",IF(COUNTIFS(Equipment[组合编号],B839)&lt;&gt;1,"组合编号无效",IF(COUNTIFS(FunctionMatrix[编号],E839)=0,"功能编号无效",IF(H839="不适用",IF(J839="已实测","适用性冲突",IF(I839="","待补不适用依据","不适用（非实测）")),IF(J839="阻塞",IF(I839="","待补阻塞原因","阻塞（非实测）"),IF(J839&lt;&gt;"已实测",IF(F839="","待展开路径","未实测"),IF(H839&lt;&gt;"适用","待确认适用性",IF(INDEX(Equipment[登记状态（自动）],MATCH(B839,Equipment[组合编号],0))&lt;&gt;"已登记","待补设备组合",IF(AND(F839&lt;&gt;"",G839&lt;&gt;"",K839&lt;&gt;"",L839&lt;&gt;"",M839&lt;&gt;"",N839&lt;&gt;"",ISNUMBER(O839),O839&gt;0,P839&lt;&gt;""),"记录齐全","待补实测记录")))))))))))</x:f>
        <x:v>待展开路径</x:v>
      </x:c>
    </x:row>
    <x:row r="840" ht="43.5" customHeight="1">
      <x:c r="A840" s="20" t="str">
        <x:v>REC-00831</x:v>
      </x:c>
      <x:c r="B840" s="20" t="str">
        <x:v>P2-B3-01</x:v>
      </x:c>
      <x:c r="C840" s="30" t="str">
        <x:f>IF(B840="","",IF(COUNTIFS(Equipment[组合编号],B840)&lt;&gt;1,"组合编号无效",INDEX(Equipment[PLC组],MATCH(B840,Equipment[组合编号],0))))</x:f>
        <x:v>汇川中大型</x:v>
      </x:c>
      <x:c r="D840" s="30" t="str">
        <x:f>IF(B840="","",IF(COUNTIFS(Equipment[组合编号],B840)&lt;&gt;1,"组合编号无效",INDEX(Equipment[驱动品牌],MATCH(B840,Equipment[组合编号],0))))</x:f>
        <x:v>繁易</x:v>
      </x:c>
      <x:c r="E840" s="20" t="str">
        <x:v>C10</x:v>
      </x:c>
      <x:c r="F840" s="20"/>
      <x:c r="G840" s="20"/>
      <x:c r="H840" s="20" t="str">
        <x:v>待判定</x:v>
      </x:c>
      <x:c r="I840" s="20"/>
      <x:c r="J840" s="20" t="str">
        <x:v>未测试</x:v>
      </x:c>
      <x:c r="K840" s="20"/>
      <x:c r="L840" s="20"/>
      <x:c r="M840" s="20"/>
      <x:c r="N840" s="20"/>
      <x:c r="O840" s="31"/>
      <x:c r="P840" s="20"/>
      <x:c r="Q840" s="20"/>
      <x:c r="R840" s="20" t="str">
        <x:v>待展开</x:v>
      </x:c>
      <x:c r="S840" s="20"/>
      <x:c r="T840" s="31"/>
      <x:c r="U840" s="30" t="str">
        <x:f>IF(A840="","缺记录编号",IF(COUNTIFS(PathRecords[记录编号],A840)&lt;&gt;1,"记录编号重复",IF(OR(B840="",E840=""),"缺组合/功能",IF(COUNTIFS(Equipment[组合编号],B840)&lt;&gt;1,"组合编号无效",IF(COUNTIFS(FunctionMatrix[编号],E840)=0,"功能编号无效",IF(H840="不适用",IF(J840="已实测","适用性冲突",IF(I840="","待补不适用依据","不适用（非实测）")),IF(J840="阻塞",IF(I840="","待补阻塞原因","阻塞（非实测）"),IF(J840&lt;&gt;"已实测",IF(F840="","待展开路径","未实测"),IF(H840&lt;&gt;"适用","待确认适用性",IF(INDEX(Equipment[登记状态（自动）],MATCH(B840,Equipment[组合编号],0))&lt;&gt;"已登记","待补设备组合",IF(AND(F840&lt;&gt;"",G840&lt;&gt;"",K840&lt;&gt;"",L840&lt;&gt;"",M840&lt;&gt;"",N840&lt;&gt;"",ISNUMBER(O840),O840&gt;0,P840&lt;&gt;""),"记录齐全","待补实测记录")))))))))))</x:f>
        <x:v>待展开路径</x:v>
      </x:c>
    </x:row>
    <x:row r="841" ht="43.5" customHeight="1">
      <x:c r="A841" s="20" t="str">
        <x:v>REC-00832</x:v>
      </x:c>
      <x:c r="B841" s="20" t="str">
        <x:v>P2-B3-01</x:v>
      </x:c>
      <x:c r="C841" s="30" t="str">
        <x:f>IF(B841="","",IF(COUNTIFS(Equipment[组合编号],B841)&lt;&gt;1,"组合编号无效",INDEX(Equipment[PLC组],MATCH(B841,Equipment[组合编号],0))))</x:f>
        <x:v>汇川中大型</x:v>
      </x:c>
      <x:c r="D841" s="30" t="str">
        <x:f>IF(B841="","",IF(COUNTIFS(Equipment[组合编号],B841)&lt;&gt;1,"组合编号无效",INDEX(Equipment[驱动品牌],MATCH(B841,Equipment[组合编号],0))))</x:f>
        <x:v>繁易</x:v>
      </x:c>
      <x:c r="E841" s="20" t="str">
        <x:v>T01</x:v>
      </x:c>
      <x:c r="F841" s="20"/>
      <x:c r="G841" s="20"/>
      <x:c r="H841" s="20" t="str">
        <x:v>待判定</x:v>
      </x:c>
      <x:c r="I841" s="20"/>
      <x:c r="J841" s="20" t="str">
        <x:v>未测试</x:v>
      </x:c>
      <x:c r="K841" s="20"/>
      <x:c r="L841" s="20"/>
      <x:c r="M841" s="20"/>
      <x:c r="N841" s="20"/>
      <x:c r="O841" s="31"/>
      <x:c r="P841" s="20"/>
      <x:c r="Q841" s="20"/>
      <x:c r="R841" s="20" t="str">
        <x:v>待展开</x:v>
      </x:c>
      <x:c r="S841" s="20"/>
      <x:c r="T841" s="31"/>
      <x:c r="U841" s="30" t="str">
        <x:f>IF(A841="","缺记录编号",IF(COUNTIFS(PathRecords[记录编号],A841)&lt;&gt;1,"记录编号重复",IF(OR(B841="",E841=""),"缺组合/功能",IF(COUNTIFS(Equipment[组合编号],B841)&lt;&gt;1,"组合编号无效",IF(COUNTIFS(FunctionMatrix[编号],E841)=0,"功能编号无效",IF(H841="不适用",IF(J841="已实测","适用性冲突",IF(I841="","待补不适用依据","不适用（非实测）")),IF(J841="阻塞",IF(I841="","待补阻塞原因","阻塞（非实测）"),IF(J841&lt;&gt;"已实测",IF(F841="","待展开路径","未实测"),IF(H841&lt;&gt;"适用","待确认适用性",IF(INDEX(Equipment[登记状态（自动）],MATCH(B841,Equipment[组合编号],0))&lt;&gt;"已登记","待补设备组合",IF(AND(F841&lt;&gt;"",G841&lt;&gt;"",K841&lt;&gt;"",L841&lt;&gt;"",M841&lt;&gt;"",N841&lt;&gt;"",ISNUMBER(O841),O841&gt;0,P841&lt;&gt;""),"记录齐全","待补实测记录")))))))))))</x:f>
        <x:v>待展开路径</x:v>
      </x:c>
    </x:row>
    <x:row r="842" ht="43.5" customHeight="1">
      <x:c r="A842" s="20" t="str">
        <x:v>REC-00833</x:v>
      </x:c>
      <x:c r="B842" s="20" t="str">
        <x:v>P2-B3-01</x:v>
      </x:c>
      <x:c r="C842" s="30" t="str">
        <x:f>IF(B842="","",IF(COUNTIFS(Equipment[组合编号],B842)&lt;&gt;1,"组合编号无效",INDEX(Equipment[PLC组],MATCH(B842,Equipment[组合编号],0))))</x:f>
        <x:v>汇川中大型</x:v>
      </x:c>
      <x:c r="D842" s="30" t="str">
        <x:f>IF(B842="","",IF(COUNTIFS(Equipment[组合编号],B842)&lt;&gt;1,"组合编号无效",INDEX(Equipment[驱动品牌],MATCH(B842,Equipment[组合编号],0))))</x:f>
        <x:v>繁易</x:v>
      </x:c>
      <x:c r="E842" s="20" t="str">
        <x:v>T02</x:v>
      </x:c>
      <x:c r="F842" s="20"/>
      <x:c r="G842" s="20"/>
      <x:c r="H842" s="20" t="str">
        <x:v>待判定</x:v>
      </x:c>
      <x:c r="I842" s="20"/>
      <x:c r="J842" s="20" t="str">
        <x:v>未测试</x:v>
      </x:c>
      <x:c r="K842" s="20"/>
      <x:c r="L842" s="20"/>
      <x:c r="M842" s="20"/>
      <x:c r="N842" s="20"/>
      <x:c r="O842" s="31"/>
      <x:c r="P842" s="20"/>
      <x:c r="Q842" s="20"/>
      <x:c r="R842" s="20" t="str">
        <x:v>待展开</x:v>
      </x:c>
      <x:c r="S842" s="20"/>
      <x:c r="T842" s="31"/>
      <x:c r="U842" s="30" t="str">
        <x:f>IF(A842="","缺记录编号",IF(COUNTIFS(PathRecords[记录编号],A842)&lt;&gt;1,"记录编号重复",IF(OR(B842="",E842=""),"缺组合/功能",IF(COUNTIFS(Equipment[组合编号],B842)&lt;&gt;1,"组合编号无效",IF(COUNTIFS(FunctionMatrix[编号],E842)=0,"功能编号无效",IF(H842="不适用",IF(J842="已实测","适用性冲突",IF(I842="","待补不适用依据","不适用（非实测）")),IF(J842="阻塞",IF(I842="","待补阻塞原因","阻塞（非实测）"),IF(J842&lt;&gt;"已实测",IF(F842="","待展开路径","未实测"),IF(H842&lt;&gt;"适用","待确认适用性",IF(INDEX(Equipment[登记状态（自动）],MATCH(B842,Equipment[组合编号],0))&lt;&gt;"已登记","待补设备组合",IF(AND(F842&lt;&gt;"",G842&lt;&gt;"",K842&lt;&gt;"",L842&lt;&gt;"",M842&lt;&gt;"",N842&lt;&gt;"",ISNUMBER(O842),O842&gt;0,P842&lt;&gt;""),"记录齐全","待补实测记录")))))))))))</x:f>
        <x:v>待展开路径</x:v>
      </x:c>
    </x:row>
    <x:row r="843" ht="43.5" customHeight="1">
      <x:c r="A843" s="20" t="str">
        <x:v>REC-00834</x:v>
      </x:c>
      <x:c r="B843" s="20" t="str">
        <x:v>P2-B3-01</x:v>
      </x:c>
      <x:c r="C843" s="30" t="str">
        <x:f>IF(B843="","",IF(COUNTIFS(Equipment[组合编号],B843)&lt;&gt;1,"组合编号无效",INDEX(Equipment[PLC组],MATCH(B843,Equipment[组合编号],0))))</x:f>
        <x:v>汇川中大型</x:v>
      </x:c>
      <x:c r="D843" s="30" t="str">
        <x:f>IF(B843="","",IF(COUNTIFS(Equipment[组合编号],B843)&lt;&gt;1,"组合编号无效",INDEX(Equipment[驱动品牌],MATCH(B843,Equipment[组合编号],0))))</x:f>
        <x:v>繁易</x:v>
      </x:c>
      <x:c r="E843" s="20" t="str">
        <x:v>T03</x:v>
      </x:c>
      <x:c r="F843" s="20"/>
      <x:c r="G843" s="20"/>
      <x:c r="H843" s="20" t="str">
        <x:v>待判定</x:v>
      </x:c>
      <x:c r="I843" s="20"/>
      <x:c r="J843" s="20" t="str">
        <x:v>未测试</x:v>
      </x:c>
      <x:c r="K843" s="20"/>
      <x:c r="L843" s="20"/>
      <x:c r="M843" s="20"/>
      <x:c r="N843" s="20"/>
      <x:c r="O843" s="31"/>
      <x:c r="P843" s="20"/>
      <x:c r="Q843" s="20"/>
      <x:c r="R843" s="20" t="str">
        <x:v>待展开</x:v>
      </x:c>
      <x:c r="S843" s="20"/>
      <x:c r="T843" s="31"/>
      <x:c r="U843" s="30" t="str">
        <x:f>IF(A843="","缺记录编号",IF(COUNTIFS(PathRecords[记录编号],A843)&lt;&gt;1,"记录编号重复",IF(OR(B843="",E843=""),"缺组合/功能",IF(COUNTIFS(Equipment[组合编号],B843)&lt;&gt;1,"组合编号无效",IF(COUNTIFS(FunctionMatrix[编号],E843)=0,"功能编号无效",IF(H843="不适用",IF(J843="已实测","适用性冲突",IF(I843="","待补不适用依据","不适用（非实测）")),IF(J843="阻塞",IF(I843="","待补阻塞原因","阻塞（非实测）"),IF(J843&lt;&gt;"已实测",IF(F843="","待展开路径","未实测"),IF(H843&lt;&gt;"适用","待确认适用性",IF(INDEX(Equipment[登记状态（自动）],MATCH(B843,Equipment[组合编号],0))&lt;&gt;"已登记","待补设备组合",IF(AND(F843&lt;&gt;"",G843&lt;&gt;"",K843&lt;&gt;"",L843&lt;&gt;"",M843&lt;&gt;"",N843&lt;&gt;"",ISNUMBER(O843),O843&gt;0,P843&lt;&gt;""),"记录齐全","待补实测记录")))))))))))</x:f>
        <x:v>待展开路径</x:v>
      </x:c>
    </x:row>
    <x:row r="844" ht="43.5" customHeight="1">
      <x:c r="A844" s="20" t="str">
        <x:v>REC-00835</x:v>
      </x:c>
      <x:c r="B844" s="20" t="str">
        <x:v>P2-B3-01</x:v>
      </x:c>
      <x:c r="C844" s="30" t="str">
        <x:f>IF(B844="","",IF(COUNTIFS(Equipment[组合编号],B844)&lt;&gt;1,"组合编号无效",INDEX(Equipment[PLC组],MATCH(B844,Equipment[组合编号],0))))</x:f>
        <x:v>汇川中大型</x:v>
      </x:c>
      <x:c r="D844" s="30" t="str">
        <x:f>IF(B844="","",IF(COUNTIFS(Equipment[组合编号],B844)&lt;&gt;1,"组合编号无效",INDEX(Equipment[驱动品牌],MATCH(B844,Equipment[组合编号],0))))</x:f>
        <x:v>繁易</x:v>
      </x:c>
      <x:c r="E844" s="20" t="str">
        <x:v>T04</x:v>
      </x:c>
      <x:c r="F844" s="20"/>
      <x:c r="G844" s="20"/>
      <x:c r="H844" s="20" t="str">
        <x:v>待判定</x:v>
      </x:c>
      <x:c r="I844" s="20"/>
      <x:c r="J844" s="20" t="str">
        <x:v>未测试</x:v>
      </x:c>
      <x:c r="K844" s="20"/>
      <x:c r="L844" s="20"/>
      <x:c r="M844" s="20"/>
      <x:c r="N844" s="20"/>
      <x:c r="O844" s="31"/>
      <x:c r="P844" s="20"/>
      <x:c r="Q844" s="20"/>
      <x:c r="R844" s="20" t="str">
        <x:v>待展开</x:v>
      </x:c>
      <x:c r="S844" s="20"/>
      <x:c r="T844" s="31"/>
      <x:c r="U844" s="30" t="str">
        <x:f>IF(A844="","缺记录编号",IF(COUNTIFS(PathRecords[记录编号],A844)&lt;&gt;1,"记录编号重复",IF(OR(B844="",E844=""),"缺组合/功能",IF(COUNTIFS(Equipment[组合编号],B844)&lt;&gt;1,"组合编号无效",IF(COUNTIFS(FunctionMatrix[编号],E844)=0,"功能编号无效",IF(H844="不适用",IF(J844="已实测","适用性冲突",IF(I844="","待补不适用依据","不适用（非实测）")),IF(J844="阻塞",IF(I844="","待补阻塞原因","阻塞（非实测）"),IF(J844&lt;&gt;"已实测",IF(F844="","待展开路径","未实测"),IF(H844&lt;&gt;"适用","待确认适用性",IF(INDEX(Equipment[登记状态（自动）],MATCH(B844,Equipment[组合编号],0))&lt;&gt;"已登记","待补设备组合",IF(AND(F844&lt;&gt;"",G844&lt;&gt;"",K844&lt;&gt;"",L844&lt;&gt;"",M844&lt;&gt;"",N844&lt;&gt;"",ISNUMBER(O844),O844&gt;0,P844&lt;&gt;""),"记录齐全","待补实测记录")))))))))))</x:f>
        <x:v>待展开路径</x:v>
      </x:c>
    </x:row>
    <x:row r="845" ht="43.5" customHeight="1">
      <x:c r="A845" s="20" t="str">
        <x:v>REC-00836</x:v>
      </x:c>
      <x:c r="B845" s="20" t="str">
        <x:v>P2-B3-01</x:v>
      </x:c>
      <x:c r="C845" s="30" t="str">
        <x:f>IF(B845="","",IF(COUNTIFS(Equipment[组合编号],B845)&lt;&gt;1,"组合编号无效",INDEX(Equipment[PLC组],MATCH(B845,Equipment[组合编号],0))))</x:f>
        <x:v>汇川中大型</x:v>
      </x:c>
      <x:c r="D845" s="30" t="str">
        <x:f>IF(B845="","",IF(COUNTIFS(Equipment[组合编号],B845)&lt;&gt;1,"组合编号无效",INDEX(Equipment[驱动品牌],MATCH(B845,Equipment[组合编号],0))))</x:f>
        <x:v>繁易</x:v>
      </x:c>
      <x:c r="E845" s="20" t="str">
        <x:v>T05</x:v>
      </x:c>
      <x:c r="F845" s="20"/>
      <x:c r="G845" s="20"/>
      <x:c r="H845" s="20" t="str">
        <x:v>待判定</x:v>
      </x:c>
      <x:c r="I845" s="20"/>
      <x:c r="J845" s="20" t="str">
        <x:v>未测试</x:v>
      </x:c>
      <x:c r="K845" s="20"/>
      <x:c r="L845" s="20"/>
      <x:c r="M845" s="20"/>
      <x:c r="N845" s="20"/>
      <x:c r="O845" s="31"/>
      <x:c r="P845" s="20"/>
      <x:c r="Q845" s="20"/>
      <x:c r="R845" s="20" t="str">
        <x:v>待展开</x:v>
      </x:c>
      <x:c r="S845" s="20"/>
      <x:c r="T845" s="31"/>
      <x:c r="U845" s="30" t="str">
        <x:f>IF(A845="","缺记录编号",IF(COUNTIFS(PathRecords[记录编号],A845)&lt;&gt;1,"记录编号重复",IF(OR(B845="",E845=""),"缺组合/功能",IF(COUNTIFS(Equipment[组合编号],B845)&lt;&gt;1,"组合编号无效",IF(COUNTIFS(FunctionMatrix[编号],E845)=0,"功能编号无效",IF(H845="不适用",IF(J845="已实测","适用性冲突",IF(I845="","待补不适用依据","不适用（非实测）")),IF(J845="阻塞",IF(I845="","待补阻塞原因","阻塞（非实测）"),IF(J845&lt;&gt;"已实测",IF(F845="","待展开路径","未实测"),IF(H845&lt;&gt;"适用","待确认适用性",IF(INDEX(Equipment[登记状态（自动）],MATCH(B845,Equipment[组合编号],0))&lt;&gt;"已登记","待补设备组合",IF(AND(F845&lt;&gt;"",G845&lt;&gt;"",K845&lt;&gt;"",L845&lt;&gt;"",M845&lt;&gt;"",N845&lt;&gt;"",ISNUMBER(O845),O845&gt;0,P845&lt;&gt;""),"记录齐全","待补实测记录")))))))))))</x:f>
        <x:v>待展开路径</x:v>
      </x:c>
    </x:row>
    <x:row r="846" ht="43.5" customHeight="1">
      <x:c r="A846" s="20" t="str">
        <x:v>REC-00837</x:v>
      </x:c>
      <x:c r="B846" s="20" t="str">
        <x:v>P2-B3-01</x:v>
      </x:c>
      <x:c r="C846" s="30" t="str">
        <x:f>IF(B846="","",IF(COUNTIFS(Equipment[组合编号],B846)&lt;&gt;1,"组合编号无效",INDEX(Equipment[PLC组],MATCH(B846,Equipment[组合编号],0))))</x:f>
        <x:v>汇川中大型</x:v>
      </x:c>
      <x:c r="D846" s="30" t="str">
        <x:f>IF(B846="","",IF(COUNTIFS(Equipment[组合编号],B846)&lt;&gt;1,"组合编号无效",INDEX(Equipment[驱动品牌],MATCH(B846,Equipment[组合编号],0))))</x:f>
        <x:v>繁易</x:v>
      </x:c>
      <x:c r="E846" s="20" t="str">
        <x:v>T06</x:v>
      </x:c>
      <x:c r="F846" s="20"/>
      <x:c r="G846" s="20"/>
      <x:c r="H846" s="20" t="str">
        <x:v>待判定</x:v>
      </x:c>
      <x:c r="I846" s="20"/>
      <x:c r="J846" s="20" t="str">
        <x:v>未测试</x:v>
      </x:c>
      <x:c r="K846" s="20"/>
      <x:c r="L846" s="20"/>
      <x:c r="M846" s="20"/>
      <x:c r="N846" s="20"/>
      <x:c r="O846" s="31"/>
      <x:c r="P846" s="20"/>
      <x:c r="Q846" s="20"/>
      <x:c r="R846" s="20" t="str">
        <x:v>待展开</x:v>
      </x:c>
      <x:c r="S846" s="20"/>
      <x:c r="T846" s="31"/>
      <x:c r="U846" s="30" t="str">
        <x:f>IF(A846="","缺记录编号",IF(COUNTIFS(PathRecords[记录编号],A846)&lt;&gt;1,"记录编号重复",IF(OR(B846="",E846=""),"缺组合/功能",IF(COUNTIFS(Equipment[组合编号],B846)&lt;&gt;1,"组合编号无效",IF(COUNTIFS(FunctionMatrix[编号],E846)=0,"功能编号无效",IF(H846="不适用",IF(J846="已实测","适用性冲突",IF(I846="","待补不适用依据","不适用（非实测）")),IF(J846="阻塞",IF(I846="","待补阻塞原因","阻塞（非实测）"),IF(J846&lt;&gt;"已实测",IF(F846="","待展开路径","未实测"),IF(H846&lt;&gt;"适用","待确认适用性",IF(INDEX(Equipment[登记状态（自动）],MATCH(B846,Equipment[组合编号],0))&lt;&gt;"已登记","待补设备组合",IF(AND(F846&lt;&gt;"",G846&lt;&gt;"",K846&lt;&gt;"",L846&lt;&gt;"",M846&lt;&gt;"",N846&lt;&gt;"",ISNUMBER(O846),O846&gt;0,P846&lt;&gt;""),"记录齐全","待补实测记录")))))))))))</x:f>
        <x:v>待展开路径</x:v>
      </x:c>
    </x:row>
    <x:row r="847" ht="43.5" customHeight="1">
      <x:c r="A847" s="20" t="str">
        <x:v>REC-00838</x:v>
      </x:c>
      <x:c r="B847" s="20" t="str">
        <x:v>P2-B3-01</x:v>
      </x:c>
      <x:c r="C847" s="30" t="str">
        <x:f>IF(B847="","",IF(COUNTIFS(Equipment[组合编号],B847)&lt;&gt;1,"组合编号无效",INDEX(Equipment[PLC组],MATCH(B847,Equipment[组合编号],0))))</x:f>
        <x:v>汇川中大型</x:v>
      </x:c>
      <x:c r="D847" s="30" t="str">
        <x:f>IF(B847="","",IF(COUNTIFS(Equipment[组合编号],B847)&lt;&gt;1,"组合编号无效",INDEX(Equipment[驱动品牌],MATCH(B847,Equipment[组合编号],0))))</x:f>
        <x:v>繁易</x:v>
      </x:c>
      <x:c r="E847" s="20" t="str">
        <x:v>T07</x:v>
      </x:c>
      <x:c r="F847" s="20"/>
      <x:c r="G847" s="20"/>
      <x:c r="H847" s="20" t="str">
        <x:v>待判定</x:v>
      </x:c>
      <x:c r="I847" s="20"/>
      <x:c r="J847" s="20" t="str">
        <x:v>未测试</x:v>
      </x:c>
      <x:c r="K847" s="20"/>
      <x:c r="L847" s="20"/>
      <x:c r="M847" s="20"/>
      <x:c r="N847" s="20"/>
      <x:c r="O847" s="31"/>
      <x:c r="P847" s="20"/>
      <x:c r="Q847" s="20"/>
      <x:c r="R847" s="20" t="str">
        <x:v>待展开</x:v>
      </x:c>
      <x:c r="S847" s="20"/>
      <x:c r="T847" s="31"/>
      <x:c r="U847" s="30" t="str">
        <x:f>IF(A847="","缺记录编号",IF(COUNTIFS(PathRecords[记录编号],A847)&lt;&gt;1,"记录编号重复",IF(OR(B847="",E847=""),"缺组合/功能",IF(COUNTIFS(Equipment[组合编号],B847)&lt;&gt;1,"组合编号无效",IF(COUNTIFS(FunctionMatrix[编号],E847)=0,"功能编号无效",IF(H847="不适用",IF(J847="已实测","适用性冲突",IF(I847="","待补不适用依据","不适用（非实测）")),IF(J847="阻塞",IF(I847="","待补阻塞原因","阻塞（非实测）"),IF(J847&lt;&gt;"已实测",IF(F847="","待展开路径","未实测"),IF(H847&lt;&gt;"适用","待确认适用性",IF(INDEX(Equipment[登记状态（自动）],MATCH(B847,Equipment[组合编号],0))&lt;&gt;"已登记","待补设备组合",IF(AND(F847&lt;&gt;"",G847&lt;&gt;"",K847&lt;&gt;"",L847&lt;&gt;"",M847&lt;&gt;"",N847&lt;&gt;"",ISNUMBER(O847),O847&gt;0,P847&lt;&gt;""),"记录齐全","待补实测记录")))))))))))</x:f>
        <x:v>待展开路径</x:v>
      </x:c>
    </x:row>
    <x:row r="848" ht="43.5" customHeight="1">
      <x:c r="A848" s="20" t="str">
        <x:v>REC-00839</x:v>
      </x:c>
      <x:c r="B848" s="20" t="str">
        <x:v>P2-B3-01</x:v>
      </x:c>
      <x:c r="C848" s="30" t="str">
        <x:f>IF(B848="","",IF(COUNTIFS(Equipment[组合编号],B848)&lt;&gt;1,"组合编号无效",INDEX(Equipment[PLC组],MATCH(B848,Equipment[组合编号],0))))</x:f>
        <x:v>汇川中大型</x:v>
      </x:c>
      <x:c r="D848" s="30" t="str">
        <x:f>IF(B848="","",IF(COUNTIFS(Equipment[组合编号],B848)&lt;&gt;1,"组合编号无效",INDEX(Equipment[驱动品牌],MATCH(B848,Equipment[组合编号],0))))</x:f>
        <x:v>繁易</x:v>
      </x:c>
      <x:c r="E848" s="20" t="str">
        <x:v>T08</x:v>
      </x:c>
      <x:c r="F848" s="20"/>
      <x:c r="G848" s="20"/>
      <x:c r="H848" s="20" t="str">
        <x:v>待判定</x:v>
      </x:c>
      <x:c r="I848" s="20"/>
      <x:c r="J848" s="20" t="str">
        <x:v>未测试</x:v>
      </x:c>
      <x:c r="K848" s="20"/>
      <x:c r="L848" s="20"/>
      <x:c r="M848" s="20"/>
      <x:c r="N848" s="20"/>
      <x:c r="O848" s="31"/>
      <x:c r="P848" s="20"/>
      <x:c r="Q848" s="20"/>
      <x:c r="R848" s="20" t="str">
        <x:v>待展开</x:v>
      </x:c>
      <x:c r="S848" s="20"/>
      <x:c r="T848" s="31"/>
      <x:c r="U848" s="30" t="str">
        <x:f>IF(A848="","缺记录编号",IF(COUNTIFS(PathRecords[记录编号],A848)&lt;&gt;1,"记录编号重复",IF(OR(B848="",E848=""),"缺组合/功能",IF(COUNTIFS(Equipment[组合编号],B848)&lt;&gt;1,"组合编号无效",IF(COUNTIFS(FunctionMatrix[编号],E848)=0,"功能编号无效",IF(H848="不适用",IF(J848="已实测","适用性冲突",IF(I848="","待补不适用依据","不适用（非实测）")),IF(J848="阻塞",IF(I848="","待补阻塞原因","阻塞（非实测）"),IF(J848&lt;&gt;"已实测",IF(F848="","待展开路径","未实测"),IF(H848&lt;&gt;"适用","待确认适用性",IF(INDEX(Equipment[登记状态（自动）],MATCH(B848,Equipment[组合编号],0))&lt;&gt;"已登记","待补设备组合",IF(AND(F848&lt;&gt;"",G848&lt;&gt;"",K848&lt;&gt;"",L848&lt;&gt;"",M848&lt;&gt;"",N848&lt;&gt;"",ISNUMBER(O848),O848&gt;0,P848&lt;&gt;""),"记录齐全","待补实测记录")))))))))))</x:f>
        <x:v>待展开路径</x:v>
      </x:c>
    </x:row>
    <x:row r="849" ht="43.5" customHeight="1">
      <x:c r="A849" s="20" t="str">
        <x:v>REC-00840</x:v>
      </x:c>
      <x:c r="B849" s="20" t="str">
        <x:v>P2-B3-01</x:v>
      </x:c>
      <x:c r="C849" s="30" t="str">
        <x:f>IF(B849="","",IF(COUNTIFS(Equipment[组合编号],B849)&lt;&gt;1,"组合编号无效",INDEX(Equipment[PLC组],MATCH(B849,Equipment[组合编号],0))))</x:f>
        <x:v>汇川中大型</x:v>
      </x:c>
      <x:c r="D849" s="30" t="str">
        <x:f>IF(B849="","",IF(COUNTIFS(Equipment[组合编号],B849)&lt;&gt;1,"组合编号无效",INDEX(Equipment[驱动品牌],MATCH(B849,Equipment[组合编号],0))))</x:f>
        <x:v>繁易</x:v>
      </x:c>
      <x:c r="E849" s="20" t="str">
        <x:v>T09</x:v>
      </x:c>
      <x:c r="F849" s="20"/>
      <x:c r="G849" s="20"/>
      <x:c r="H849" s="20" t="str">
        <x:v>待判定</x:v>
      </x:c>
      <x:c r="I849" s="20"/>
      <x:c r="J849" s="20" t="str">
        <x:v>未测试</x:v>
      </x:c>
      <x:c r="K849" s="20"/>
      <x:c r="L849" s="20"/>
      <x:c r="M849" s="20"/>
      <x:c r="N849" s="20"/>
      <x:c r="O849" s="31"/>
      <x:c r="P849" s="20"/>
      <x:c r="Q849" s="20"/>
      <x:c r="R849" s="20" t="str">
        <x:v>待展开</x:v>
      </x:c>
      <x:c r="S849" s="20"/>
      <x:c r="T849" s="31"/>
      <x:c r="U849" s="30" t="str">
        <x:f>IF(A849="","缺记录编号",IF(COUNTIFS(PathRecords[记录编号],A849)&lt;&gt;1,"记录编号重复",IF(OR(B849="",E849=""),"缺组合/功能",IF(COUNTIFS(Equipment[组合编号],B849)&lt;&gt;1,"组合编号无效",IF(COUNTIFS(FunctionMatrix[编号],E849)=0,"功能编号无效",IF(H849="不适用",IF(J849="已实测","适用性冲突",IF(I849="","待补不适用依据","不适用（非实测）")),IF(J849="阻塞",IF(I849="","待补阻塞原因","阻塞（非实测）"),IF(J849&lt;&gt;"已实测",IF(F849="","待展开路径","未实测"),IF(H849&lt;&gt;"适用","待确认适用性",IF(INDEX(Equipment[登记状态（自动）],MATCH(B849,Equipment[组合编号],0))&lt;&gt;"已登记","待补设备组合",IF(AND(F849&lt;&gt;"",G849&lt;&gt;"",K849&lt;&gt;"",L849&lt;&gt;"",M849&lt;&gt;"",N849&lt;&gt;"",ISNUMBER(O849),O849&gt;0,P849&lt;&gt;""),"记录齐全","待补实测记录")))))))))))</x:f>
        <x:v>待展开路径</x:v>
      </x:c>
    </x:row>
    <x:row r="850" ht="43.5" customHeight="1">
      <x:c r="A850" s="20" t="str">
        <x:v>REC-00841</x:v>
      </x:c>
      <x:c r="B850" s="20" t="str">
        <x:v>P2-B3-01</x:v>
      </x:c>
      <x:c r="C850" s="30" t="str">
        <x:f>IF(B850="","",IF(COUNTIFS(Equipment[组合编号],B850)&lt;&gt;1,"组合编号无效",INDEX(Equipment[PLC组],MATCH(B850,Equipment[组合编号],0))))</x:f>
        <x:v>汇川中大型</x:v>
      </x:c>
      <x:c r="D850" s="30" t="str">
        <x:f>IF(B850="","",IF(COUNTIFS(Equipment[组合编号],B850)&lt;&gt;1,"组合编号无效",INDEX(Equipment[驱动品牌],MATCH(B850,Equipment[组合编号],0))))</x:f>
        <x:v>繁易</x:v>
      </x:c>
      <x:c r="E850" s="20" t="str">
        <x:v>R01</x:v>
      </x:c>
      <x:c r="F850" s="20"/>
      <x:c r="G850" s="20"/>
      <x:c r="H850" s="20" t="str">
        <x:v>待判定</x:v>
      </x:c>
      <x:c r="I850" s="20"/>
      <x:c r="J850" s="20" t="str">
        <x:v>未测试</x:v>
      </x:c>
      <x:c r="K850" s="20"/>
      <x:c r="L850" s="20"/>
      <x:c r="M850" s="20"/>
      <x:c r="N850" s="20"/>
      <x:c r="O850" s="31"/>
      <x:c r="P850" s="20"/>
      <x:c r="Q850" s="20"/>
      <x:c r="R850" s="20" t="str">
        <x:v>待展开</x:v>
      </x:c>
      <x:c r="S850" s="20"/>
      <x:c r="T850" s="31"/>
      <x:c r="U850" s="30" t="str">
        <x:f>IF(A850="","缺记录编号",IF(COUNTIFS(PathRecords[记录编号],A850)&lt;&gt;1,"记录编号重复",IF(OR(B850="",E850=""),"缺组合/功能",IF(COUNTIFS(Equipment[组合编号],B850)&lt;&gt;1,"组合编号无效",IF(COUNTIFS(FunctionMatrix[编号],E850)=0,"功能编号无效",IF(H850="不适用",IF(J850="已实测","适用性冲突",IF(I850="","待补不适用依据","不适用（非实测）")),IF(J850="阻塞",IF(I850="","待补阻塞原因","阻塞（非实测）"),IF(J850&lt;&gt;"已实测",IF(F850="","待展开路径","未实测"),IF(H850&lt;&gt;"适用","待确认适用性",IF(INDEX(Equipment[登记状态（自动）],MATCH(B850,Equipment[组合编号],0))&lt;&gt;"已登记","待补设备组合",IF(AND(F850&lt;&gt;"",G850&lt;&gt;"",K850&lt;&gt;"",L850&lt;&gt;"",M850&lt;&gt;"",N850&lt;&gt;"",ISNUMBER(O850),O850&gt;0,P850&lt;&gt;""),"记录齐全","待补实测记录")))))))))))</x:f>
        <x:v>待展开路径</x:v>
      </x:c>
    </x:row>
    <x:row r="851" ht="43.5" customHeight="1">
      <x:c r="A851" s="20" t="str">
        <x:v>REC-00842</x:v>
      </x:c>
      <x:c r="B851" s="20" t="str">
        <x:v>P2-B3-01</x:v>
      </x:c>
      <x:c r="C851" s="30" t="str">
        <x:f>IF(B851="","",IF(COUNTIFS(Equipment[组合编号],B851)&lt;&gt;1,"组合编号无效",INDEX(Equipment[PLC组],MATCH(B851,Equipment[组合编号],0))))</x:f>
        <x:v>汇川中大型</x:v>
      </x:c>
      <x:c r="D851" s="30" t="str">
        <x:f>IF(B851="","",IF(COUNTIFS(Equipment[组合编号],B851)&lt;&gt;1,"组合编号无效",INDEX(Equipment[驱动品牌],MATCH(B851,Equipment[组合编号],0))))</x:f>
        <x:v>繁易</x:v>
      </x:c>
      <x:c r="E851" s="20" t="str">
        <x:v>R02</x:v>
      </x:c>
      <x:c r="F851" s="20"/>
      <x:c r="G851" s="20"/>
      <x:c r="H851" s="20" t="str">
        <x:v>待判定</x:v>
      </x:c>
      <x:c r="I851" s="20"/>
      <x:c r="J851" s="20" t="str">
        <x:v>未测试</x:v>
      </x:c>
      <x:c r="K851" s="20"/>
      <x:c r="L851" s="20"/>
      <x:c r="M851" s="20"/>
      <x:c r="N851" s="20"/>
      <x:c r="O851" s="31"/>
      <x:c r="P851" s="20"/>
      <x:c r="Q851" s="20"/>
      <x:c r="R851" s="20" t="str">
        <x:v>待展开</x:v>
      </x:c>
      <x:c r="S851" s="20"/>
      <x:c r="T851" s="31"/>
      <x:c r="U851" s="30" t="str">
        <x:f>IF(A851="","缺记录编号",IF(COUNTIFS(PathRecords[记录编号],A851)&lt;&gt;1,"记录编号重复",IF(OR(B851="",E851=""),"缺组合/功能",IF(COUNTIFS(Equipment[组合编号],B851)&lt;&gt;1,"组合编号无效",IF(COUNTIFS(FunctionMatrix[编号],E851)=0,"功能编号无效",IF(H851="不适用",IF(J851="已实测","适用性冲突",IF(I851="","待补不适用依据","不适用（非实测）")),IF(J851="阻塞",IF(I851="","待补阻塞原因","阻塞（非实测）"),IF(J851&lt;&gt;"已实测",IF(F851="","待展开路径","未实测"),IF(H851&lt;&gt;"适用","待确认适用性",IF(INDEX(Equipment[登记状态（自动）],MATCH(B851,Equipment[组合编号],0))&lt;&gt;"已登记","待补设备组合",IF(AND(F851&lt;&gt;"",G851&lt;&gt;"",K851&lt;&gt;"",L851&lt;&gt;"",M851&lt;&gt;"",N851&lt;&gt;"",ISNUMBER(O851),O851&gt;0,P851&lt;&gt;""),"记录齐全","待补实测记录")))))))))))</x:f>
        <x:v>待展开路径</x:v>
      </x:c>
    </x:row>
    <x:row r="852" ht="43.5" customHeight="1">
      <x:c r="A852" s="20" t="str">
        <x:v>REC-00843</x:v>
      </x:c>
      <x:c r="B852" s="20" t="str">
        <x:v>P2-B3-01</x:v>
      </x:c>
      <x:c r="C852" s="30" t="str">
        <x:f>IF(B852="","",IF(COUNTIFS(Equipment[组合编号],B852)&lt;&gt;1,"组合编号无效",INDEX(Equipment[PLC组],MATCH(B852,Equipment[组合编号],0))))</x:f>
        <x:v>汇川中大型</x:v>
      </x:c>
      <x:c r="D852" s="30" t="str">
        <x:f>IF(B852="","",IF(COUNTIFS(Equipment[组合编号],B852)&lt;&gt;1,"组合编号无效",INDEX(Equipment[驱动品牌],MATCH(B852,Equipment[组合编号],0))))</x:f>
        <x:v>繁易</x:v>
      </x:c>
      <x:c r="E852" s="20" t="str">
        <x:v>R03</x:v>
      </x:c>
      <x:c r="F852" s="20"/>
      <x:c r="G852" s="20"/>
      <x:c r="H852" s="20" t="str">
        <x:v>待判定</x:v>
      </x:c>
      <x:c r="I852" s="20"/>
      <x:c r="J852" s="20" t="str">
        <x:v>未测试</x:v>
      </x:c>
      <x:c r="K852" s="20"/>
      <x:c r="L852" s="20"/>
      <x:c r="M852" s="20"/>
      <x:c r="N852" s="20"/>
      <x:c r="O852" s="31"/>
      <x:c r="P852" s="20"/>
      <x:c r="Q852" s="20"/>
      <x:c r="R852" s="20" t="str">
        <x:v>待展开</x:v>
      </x:c>
      <x:c r="S852" s="20"/>
      <x:c r="T852" s="31"/>
      <x:c r="U852" s="30" t="str">
        <x:f>IF(A852="","缺记录编号",IF(COUNTIFS(PathRecords[记录编号],A852)&lt;&gt;1,"记录编号重复",IF(OR(B852="",E852=""),"缺组合/功能",IF(COUNTIFS(Equipment[组合编号],B852)&lt;&gt;1,"组合编号无效",IF(COUNTIFS(FunctionMatrix[编号],E852)=0,"功能编号无效",IF(H852="不适用",IF(J852="已实测","适用性冲突",IF(I852="","待补不适用依据","不适用（非实测）")),IF(J852="阻塞",IF(I852="","待补阻塞原因","阻塞（非实测）"),IF(J852&lt;&gt;"已实测",IF(F852="","待展开路径","未实测"),IF(H852&lt;&gt;"适用","待确认适用性",IF(INDEX(Equipment[登记状态（自动）],MATCH(B852,Equipment[组合编号],0))&lt;&gt;"已登记","待补设备组合",IF(AND(F852&lt;&gt;"",G852&lt;&gt;"",K852&lt;&gt;"",L852&lt;&gt;"",M852&lt;&gt;"",N852&lt;&gt;"",ISNUMBER(O852),O852&gt;0,P852&lt;&gt;""),"记录齐全","待补实测记录")))))))))))</x:f>
        <x:v>待展开路径</x:v>
      </x:c>
    </x:row>
    <x:row r="853" ht="43.5" customHeight="1">
      <x:c r="A853" s="20" t="str">
        <x:v>REC-00844</x:v>
      </x:c>
      <x:c r="B853" s="20" t="str">
        <x:v>P2-B3-01</x:v>
      </x:c>
      <x:c r="C853" s="30" t="str">
        <x:f>IF(B853="","",IF(COUNTIFS(Equipment[组合编号],B853)&lt;&gt;1,"组合编号无效",INDEX(Equipment[PLC组],MATCH(B853,Equipment[组合编号],0))))</x:f>
        <x:v>汇川中大型</x:v>
      </x:c>
      <x:c r="D853" s="30" t="str">
        <x:f>IF(B853="","",IF(COUNTIFS(Equipment[组合编号],B853)&lt;&gt;1,"组合编号无效",INDEX(Equipment[驱动品牌],MATCH(B853,Equipment[组合编号],0))))</x:f>
        <x:v>繁易</x:v>
      </x:c>
      <x:c r="E853" s="20" t="str">
        <x:v>R04</x:v>
      </x:c>
      <x:c r="F853" s="20"/>
      <x:c r="G853" s="20"/>
      <x:c r="H853" s="20" t="str">
        <x:v>待判定</x:v>
      </x:c>
      <x:c r="I853" s="20"/>
      <x:c r="J853" s="20" t="str">
        <x:v>未测试</x:v>
      </x:c>
      <x:c r="K853" s="20"/>
      <x:c r="L853" s="20"/>
      <x:c r="M853" s="20"/>
      <x:c r="N853" s="20"/>
      <x:c r="O853" s="31"/>
      <x:c r="P853" s="20"/>
      <x:c r="Q853" s="20"/>
      <x:c r="R853" s="20" t="str">
        <x:v>待展开</x:v>
      </x:c>
      <x:c r="S853" s="20"/>
      <x:c r="T853" s="31"/>
      <x:c r="U853" s="30" t="str">
        <x:f>IF(A853="","缺记录编号",IF(COUNTIFS(PathRecords[记录编号],A853)&lt;&gt;1,"记录编号重复",IF(OR(B853="",E853=""),"缺组合/功能",IF(COUNTIFS(Equipment[组合编号],B853)&lt;&gt;1,"组合编号无效",IF(COUNTIFS(FunctionMatrix[编号],E853)=0,"功能编号无效",IF(H853="不适用",IF(J853="已实测","适用性冲突",IF(I853="","待补不适用依据","不适用（非实测）")),IF(J853="阻塞",IF(I853="","待补阻塞原因","阻塞（非实测）"),IF(J853&lt;&gt;"已实测",IF(F853="","待展开路径","未实测"),IF(H853&lt;&gt;"适用","待确认适用性",IF(INDEX(Equipment[登记状态（自动）],MATCH(B853,Equipment[组合编号],0))&lt;&gt;"已登记","待补设备组合",IF(AND(F853&lt;&gt;"",G853&lt;&gt;"",K853&lt;&gt;"",L853&lt;&gt;"",M853&lt;&gt;"",N853&lt;&gt;"",ISNUMBER(O853),O853&gt;0,P853&lt;&gt;""),"记录齐全","待补实测记录")))))))))))</x:f>
        <x:v>待展开路径</x:v>
      </x:c>
    </x:row>
    <x:row r="854" ht="43.5" customHeight="1">
      <x:c r="A854" s="20" t="str">
        <x:v>REC-00845</x:v>
      </x:c>
      <x:c r="B854" s="20" t="str">
        <x:v>P2-B3-01</x:v>
      </x:c>
      <x:c r="C854" s="30" t="str">
        <x:f>IF(B854="","",IF(COUNTIFS(Equipment[组合编号],B854)&lt;&gt;1,"组合编号无效",INDEX(Equipment[PLC组],MATCH(B854,Equipment[组合编号],0))))</x:f>
        <x:v>汇川中大型</x:v>
      </x:c>
      <x:c r="D854" s="30" t="str">
        <x:f>IF(B854="","",IF(COUNTIFS(Equipment[组合编号],B854)&lt;&gt;1,"组合编号无效",INDEX(Equipment[驱动品牌],MATCH(B854,Equipment[组合编号],0))))</x:f>
        <x:v>繁易</x:v>
      </x:c>
      <x:c r="E854" s="20" t="str">
        <x:v>R05</x:v>
      </x:c>
      <x:c r="F854" s="20"/>
      <x:c r="G854" s="20"/>
      <x:c r="H854" s="20" t="str">
        <x:v>待判定</x:v>
      </x:c>
      <x:c r="I854" s="20"/>
      <x:c r="J854" s="20" t="str">
        <x:v>未测试</x:v>
      </x:c>
      <x:c r="K854" s="20"/>
      <x:c r="L854" s="20"/>
      <x:c r="M854" s="20"/>
      <x:c r="N854" s="20"/>
      <x:c r="O854" s="31"/>
      <x:c r="P854" s="20"/>
      <x:c r="Q854" s="20"/>
      <x:c r="R854" s="20" t="str">
        <x:v>待展开</x:v>
      </x:c>
      <x:c r="S854" s="20"/>
      <x:c r="T854" s="31"/>
      <x:c r="U854" s="30" t="str">
        <x:f>IF(A854="","缺记录编号",IF(COUNTIFS(PathRecords[记录编号],A854)&lt;&gt;1,"记录编号重复",IF(OR(B854="",E854=""),"缺组合/功能",IF(COUNTIFS(Equipment[组合编号],B854)&lt;&gt;1,"组合编号无效",IF(COUNTIFS(FunctionMatrix[编号],E854)=0,"功能编号无效",IF(H854="不适用",IF(J854="已实测","适用性冲突",IF(I854="","待补不适用依据","不适用（非实测）")),IF(J854="阻塞",IF(I854="","待补阻塞原因","阻塞（非实测）"),IF(J854&lt;&gt;"已实测",IF(F854="","待展开路径","未实测"),IF(H854&lt;&gt;"适用","待确认适用性",IF(INDEX(Equipment[登记状态（自动）],MATCH(B854,Equipment[组合编号],0))&lt;&gt;"已登记","待补设备组合",IF(AND(F854&lt;&gt;"",G854&lt;&gt;"",K854&lt;&gt;"",L854&lt;&gt;"",M854&lt;&gt;"",N854&lt;&gt;"",ISNUMBER(O854),O854&gt;0,P854&lt;&gt;""),"记录齐全","待补实测记录")))))))))))</x:f>
        <x:v>待展开路径</x:v>
      </x:c>
    </x:row>
    <x:row r="855" ht="43.5" customHeight="1">
      <x:c r="A855" s="20" t="str">
        <x:v>REC-00846</x:v>
      </x:c>
      <x:c r="B855" s="20" t="str">
        <x:v>P2-B3-01</x:v>
      </x:c>
      <x:c r="C855" s="30" t="str">
        <x:f>IF(B855="","",IF(COUNTIFS(Equipment[组合编号],B855)&lt;&gt;1,"组合编号无效",INDEX(Equipment[PLC组],MATCH(B855,Equipment[组合编号],0))))</x:f>
        <x:v>汇川中大型</x:v>
      </x:c>
      <x:c r="D855" s="30" t="str">
        <x:f>IF(B855="","",IF(COUNTIFS(Equipment[组合编号],B855)&lt;&gt;1,"组合编号无效",INDEX(Equipment[驱动品牌],MATCH(B855,Equipment[组合编号],0))))</x:f>
        <x:v>繁易</x:v>
      </x:c>
      <x:c r="E855" s="20" t="str">
        <x:v>R06</x:v>
      </x:c>
      <x:c r="F855" s="20"/>
      <x:c r="G855" s="20"/>
      <x:c r="H855" s="20" t="str">
        <x:v>待判定</x:v>
      </x:c>
      <x:c r="I855" s="20"/>
      <x:c r="J855" s="20" t="str">
        <x:v>未测试</x:v>
      </x:c>
      <x:c r="K855" s="20"/>
      <x:c r="L855" s="20"/>
      <x:c r="M855" s="20"/>
      <x:c r="N855" s="20"/>
      <x:c r="O855" s="31"/>
      <x:c r="P855" s="20"/>
      <x:c r="Q855" s="20"/>
      <x:c r="R855" s="20" t="str">
        <x:v>待展开</x:v>
      </x:c>
      <x:c r="S855" s="20"/>
      <x:c r="T855" s="31"/>
      <x:c r="U855" s="30" t="str">
        <x:f>IF(A855="","缺记录编号",IF(COUNTIFS(PathRecords[记录编号],A855)&lt;&gt;1,"记录编号重复",IF(OR(B855="",E855=""),"缺组合/功能",IF(COUNTIFS(Equipment[组合编号],B855)&lt;&gt;1,"组合编号无效",IF(COUNTIFS(FunctionMatrix[编号],E855)=0,"功能编号无效",IF(H855="不适用",IF(J855="已实测","适用性冲突",IF(I855="","待补不适用依据","不适用（非实测）")),IF(J855="阻塞",IF(I855="","待补阻塞原因","阻塞（非实测）"),IF(J855&lt;&gt;"已实测",IF(F855="","待展开路径","未实测"),IF(H855&lt;&gt;"适用","待确认适用性",IF(INDEX(Equipment[登记状态（自动）],MATCH(B855,Equipment[组合编号],0))&lt;&gt;"已登记","待补设备组合",IF(AND(F855&lt;&gt;"",G855&lt;&gt;"",K855&lt;&gt;"",L855&lt;&gt;"",M855&lt;&gt;"",N855&lt;&gt;"",ISNUMBER(O855),O855&gt;0,P855&lt;&gt;""),"记录齐全","待补实测记录")))))))))))</x:f>
        <x:v>待展开路径</x:v>
      </x:c>
    </x:row>
    <x:row r="856" ht="43.5" customHeight="1">
      <x:c r="A856" s="20" t="str">
        <x:v>REC-00847</x:v>
      </x:c>
      <x:c r="B856" s="20" t="str">
        <x:v>P2-B3-01</x:v>
      </x:c>
      <x:c r="C856" s="30" t="str">
        <x:f>IF(B856="","",IF(COUNTIFS(Equipment[组合编号],B856)&lt;&gt;1,"组合编号无效",INDEX(Equipment[PLC组],MATCH(B856,Equipment[组合编号],0))))</x:f>
        <x:v>汇川中大型</x:v>
      </x:c>
      <x:c r="D856" s="30" t="str">
        <x:f>IF(B856="","",IF(COUNTIFS(Equipment[组合编号],B856)&lt;&gt;1,"组合编号无效",INDEX(Equipment[驱动品牌],MATCH(B856,Equipment[组合编号],0))))</x:f>
        <x:v>繁易</x:v>
      </x:c>
      <x:c r="E856" s="20" t="str">
        <x:v>R07</x:v>
      </x:c>
      <x:c r="F856" s="20"/>
      <x:c r="G856" s="20"/>
      <x:c r="H856" s="20" t="str">
        <x:v>待判定</x:v>
      </x:c>
      <x:c r="I856" s="20"/>
      <x:c r="J856" s="20" t="str">
        <x:v>未测试</x:v>
      </x:c>
      <x:c r="K856" s="20"/>
      <x:c r="L856" s="20"/>
      <x:c r="M856" s="20"/>
      <x:c r="N856" s="20"/>
      <x:c r="O856" s="31"/>
      <x:c r="P856" s="20"/>
      <x:c r="Q856" s="20"/>
      <x:c r="R856" s="20" t="str">
        <x:v>待展开</x:v>
      </x:c>
      <x:c r="S856" s="20"/>
      <x:c r="T856" s="31"/>
      <x:c r="U856" s="30" t="str">
        <x:f>IF(A856="","缺记录编号",IF(COUNTIFS(PathRecords[记录编号],A856)&lt;&gt;1,"记录编号重复",IF(OR(B856="",E856=""),"缺组合/功能",IF(COUNTIFS(Equipment[组合编号],B856)&lt;&gt;1,"组合编号无效",IF(COUNTIFS(FunctionMatrix[编号],E856)=0,"功能编号无效",IF(H856="不适用",IF(J856="已实测","适用性冲突",IF(I856="","待补不适用依据","不适用（非实测）")),IF(J856="阻塞",IF(I856="","待补阻塞原因","阻塞（非实测）"),IF(J856&lt;&gt;"已实测",IF(F856="","待展开路径","未实测"),IF(H856&lt;&gt;"适用","待确认适用性",IF(INDEX(Equipment[登记状态（自动）],MATCH(B856,Equipment[组合编号],0))&lt;&gt;"已登记","待补设备组合",IF(AND(F856&lt;&gt;"",G856&lt;&gt;"",K856&lt;&gt;"",L856&lt;&gt;"",M856&lt;&gt;"",N856&lt;&gt;"",ISNUMBER(O856),O856&gt;0,P856&lt;&gt;""),"记录齐全","待补实测记录")))))))))))</x:f>
        <x:v>待展开路径</x:v>
      </x:c>
    </x:row>
    <x:row r="857" ht="43.5" customHeight="1">
      <x:c r="A857" s="20" t="str">
        <x:v>REC-00848</x:v>
      </x:c>
      <x:c r="B857" s="20" t="str">
        <x:v>P2-B3-01</x:v>
      </x:c>
      <x:c r="C857" s="30" t="str">
        <x:f>IF(B857="","",IF(COUNTIFS(Equipment[组合编号],B857)&lt;&gt;1,"组合编号无效",INDEX(Equipment[PLC组],MATCH(B857,Equipment[组合编号],0))))</x:f>
        <x:v>汇川中大型</x:v>
      </x:c>
      <x:c r="D857" s="30" t="str">
        <x:f>IF(B857="","",IF(COUNTIFS(Equipment[组合编号],B857)&lt;&gt;1,"组合编号无效",INDEX(Equipment[驱动品牌],MATCH(B857,Equipment[组合编号],0))))</x:f>
        <x:v>繁易</x:v>
      </x:c>
      <x:c r="E857" s="20" t="str">
        <x:v>R08</x:v>
      </x:c>
      <x:c r="F857" s="20"/>
      <x:c r="G857" s="20"/>
      <x:c r="H857" s="20" t="str">
        <x:v>待判定</x:v>
      </x:c>
      <x:c r="I857" s="20"/>
      <x:c r="J857" s="20" t="str">
        <x:v>未测试</x:v>
      </x:c>
      <x:c r="K857" s="20"/>
      <x:c r="L857" s="20"/>
      <x:c r="M857" s="20"/>
      <x:c r="N857" s="20"/>
      <x:c r="O857" s="31"/>
      <x:c r="P857" s="20"/>
      <x:c r="Q857" s="20"/>
      <x:c r="R857" s="20" t="str">
        <x:v>待展开</x:v>
      </x:c>
      <x:c r="S857" s="20"/>
      <x:c r="T857" s="31"/>
      <x:c r="U857" s="30" t="str">
        <x:f>IF(A857="","缺记录编号",IF(COUNTIFS(PathRecords[记录编号],A857)&lt;&gt;1,"记录编号重复",IF(OR(B857="",E857=""),"缺组合/功能",IF(COUNTIFS(Equipment[组合编号],B857)&lt;&gt;1,"组合编号无效",IF(COUNTIFS(FunctionMatrix[编号],E857)=0,"功能编号无效",IF(H857="不适用",IF(J857="已实测","适用性冲突",IF(I857="","待补不适用依据","不适用（非实测）")),IF(J857="阻塞",IF(I857="","待补阻塞原因","阻塞（非实测）"),IF(J857&lt;&gt;"已实测",IF(F857="","待展开路径","未实测"),IF(H857&lt;&gt;"适用","待确认适用性",IF(INDEX(Equipment[登记状态（自动）],MATCH(B857,Equipment[组合编号],0))&lt;&gt;"已登记","待补设备组合",IF(AND(F857&lt;&gt;"",G857&lt;&gt;"",K857&lt;&gt;"",L857&lt;&gt;"",M857&lt;&gt;"",N857&lt;&gt;"",ISNUMBER(O857),O857&gt;0,P857&lt;&gt;""),"记录齐全","待补实测记录")))))))))))</x:f>
        <x:v>待展开路径</x:v>
      </x:c>
    </x:row>
    <x:row r="858" ht="43.5" customHeight="1">
      <x:c r="A858" s="20" t="str">
        <x:v>REC-00849</x:v>
      </x:c>
      <x:c r="B858" s="20" t="str">
        <x:v>P2-B4-01</x:v>
      </x:c>
      <x:c r="C858" s="30" t="str">
        <x:f>IF(B858="","",IF(COUNTIFS(Equipment[组合编号],B858)&lt;&gt;1,"组合编号无效",INDEX(Equipment[PLC组],MATCH(B858,Equipment[组合编号],0))))</x:f>
        <x:v>汇川中大型</x:v>
      </x:c>
      <x:c r="D858" s="30" t="str">
        <x:f>IF(B858="","",IF(COUNTIFS(Equipment[组合编号],B858)&lt;&gt;1,"组合编号无效",INDEX(Equipment[驱动品牌],MATCH(B858,Equipment[组合编号],0))))</x:f>
        <x:v>Elmo</x:v>
      </x:c>
      <x:c r="E858" s="20" t="str">
        <x:v>M01</x:v>
      </x:c>
      <x:c r="F858" s="20"/>
      <x:c r="G858" s="20"/>
      <x:c r="H858" s="20" t="str">
        <x:v>待判定</x:v>
      </x:c>
      <x:c r="I858" s="20"/>
      <x:c r="J858" s="20" t="str">
        <x:v>未测试</x:v>
      </x:c>
      <x:c r="K858" s="20"/>
      <x:c r="L858" s="20"/>
      <x:c r="M858" s="20"/>
      <x:c r="N858" s="20"/>
      <x:c r="O858" s="31"/>
      <x:c r="P858" s="20"/>
      <x:c r="Q858" s="20"/>
      <x:c r="R858" s="20" t="str">
        <x:v>待展开</x:v>
      </x:c>
      <x:c r="S858" s="20"/>
      <x:c r="T858" s="31"/>
      <x:c r="U858" s="30" t="str">
        <x:f>IF(A858="","缺记录编号",IF(COUNTIFS(PathRecords[记录编号],A858)&lt;&gt;1,"记录编号重复",IF(OR(B858="",E858=""),"缺组合/功能",IF(COUNTIFS(Equipment[组合编号],B858)&lt;&gt;1,"组合编号无效",IF(COUNTIFS(FunctionMatrix[编号],E858)=0,"功能编号无效",IF(H858="不适用",IF(J858="已实测","适用性冲突",IF(I858="","待补不适用依据","不适用（非实测）")),IF(J858="阻塞",IF(I858="","待补阻塞原因","阻塞（非实测）"),IF(J858&lt;&gt;"已实测",IF(F858="","待展开路径","未实测"),IF(H858&lt;&gt;"适用","待确认适用性",IF(INDEX(Equipment[登记状态（自动）],MATCH(B858,Equipment[组合编号],0))&lt;&gt;"已登记","待补设备组合",IF(AND(F858&lt;&gt;"",G858&lt;&gt;"",K858&lt;&gt;"",L858&lt;&gt;"",M858&lt;&gt;"",N858&lt;&gt;"",ISNUMBER(O858),O858&gt;0,P858&lt;&gt;""),"记录齐全","待补实测记录")))))))))))</x:f>
        <x:v>待展开路径</x:v>
      </x:c>
    </x:row>
    <x:row r="859" ht="43.5" customHeight="1">
      <x:c r="A859" s="20" t="str">
        <x:v>REC-00850</x:v>
      </x:c>
      <x:c r="B859" s="20" t="str">
        <x:v>P2-B4-01</x:v>
      </x:c>
      <x:c r="C859" s="30" t="str">
        <x:f>IF(B859="","",IF(COUNTIFS(Equipment[组合编号],B859)&lt;&gt;1,"组合编号无效",INDEX(Equipment[PLC组],MATCH(B859,Equipment[组合编号],0))))</x:f>
        <x:v>汇川中大型</x:v>
      </x:c>
      <x:c r="D859" s="30" t="str">
        <x:f>IF(B859="","",IF(COUNTIFS(Equipment[组合编号],B859)&lt;&gt;1,"组合编号无效",INDEX(Equipment[驱动品牌],MATCH(B859,Equipment[组合编号],0))))</x:f>
        <x:v>Elmo</x:v>
      </x:c>
      <x:c r="E859" s="20" t="str">
        <x:v>M02</x:v>
      </x:c>
      <x:c r="F859" s="20"/>
      <x:c r="G859" s="20"/>
      <x:c r="H859" s="20" t="str">
        <x:v>待判定</x:v>
      </x:c>
      <x:c r="I859" s="20"/>
      <x:c r="J859" s="20" t="str">
        <x:v>未测试</x:v>
      </x:c>
      <x:c r="K859" s="20"/>
      <x:c r="L859" s="20"/>
      <x:c r="M859" s="20"/>
      <x:c r="N859" s="20"/>
      <x:c r="O859" s="31"/>
      <x:c r="P859" s="20"/>
      <x:c r="Q859" s="20"/>
      <x:c r="R859" s="20" t="str">
        <x:v>待展开</x:v>
      </x:c>
      <x:c r="S859" s="20"/>
      <x:c r="T859" s="31"/>
      <x:c r="U859" s="30" t="str">
        <x:f>IF(A859="","缺记录编号",IF(COUNTIFS(PathRecords[记录编号],A859)&lt;&gt;1,"记录编号重复",IF(OR(B859="",E859=""),"缺组合/功能",IF(COUNTIFS(Equipment[组合编号],B859)&lt;&gt;1,"组合编号无效",IF(COUNTIFS(FunctionMatrix[编号],E859)=0,"功能编号无效",IF(H859="不适用",IF(J859="已实测","适用性冲突",IF(I859="","待补不适用依据","不适用（非实测）")),IF(J859="阻塞",IF(I859="","待补阻塞原因","阻塞（非实测）"),IF(J859&lt;&gt;"已实测",IF(F859="","待展开路径","未实测"),IF(H859&lt;&gt;"适用","待确认适用性",IF(INDEX(Equipment[登记状态（自动）],MATCH(B859,Equipment[组合编号],0))&lt;&gt;"已登记","待补设备组合",IF(AND(F859&lt;&gt;"",G859&lt;&gt;"",K859&lt;&gt;"",L859&lt;&gt;"",M859&lt;&gt;"",N859&lt;&gt;"",ISNUMBER(O859),O859&gt;0,P859&lt;&gt;""),"记录齐全","待补实测记录")))))))))))</x:f>
        <x:v>待展开路径</x:v>
      </x:c>
    </x:row>
    <x:row r="860" ht="43.5" customHeight="1">
      <x:c r="A860" s="20" t="str">
        <x:v>REC-00851</x:v>
      </x:c>
      <x:c r="B860" s="20" t="str">
        <x:v>P2-B4-01</x:v>
      </x:c>
      <x:c r="C860" s="30" t="str">
        <x:f>IF(B860="","",IF(COUNTIFS(Equipment[组合编号],B860)&lt;&gt;1,"组合编号无效",INDEX(Equipment[PLC组],MATCH(B860,Equipment[组合编号],0))))</x:f>
        <x:v>汇川中大型</x:v>
      </x:c>
      <x:c r="D860" s="30" t="str">
        <x:f>IF(B860="","",IF(COUNTIFS(Equipment[组合编号],B860)&lt;&gt;1,"组合编号无效",INDEX(Equipment[驱动品牌],MATCH(B860,Equipment[组合编号],0))))</x:f>
        <x:v>Elmo</x:v>
      </x:c>
      <x:c r="E860" s="20" t="str">
        <x:v>M03</x:v>
      </x:c>
      <x:c r="F860" s="20"/>
      <x:c r="G860" s="20"/>
      <x:c r="H860" s="20" t="str">
        <x:v>待判定</x:v>
      </x:c>
      <x:c r="I860" s="20"/>
      <x:c r="J860" s="20" t="str">
        <x:v>未测试</x:v>
      </x:c>
      <x:c r="K860" s="20"/>
      <x:c r="L860" s="20"/>
      <x:c r="M860" s="20"/>
      <x:c r="N860" s="20"/>
      <x:c r="O860" s="31"/>
      <x:c r="P860" s="20"/>
      <x:c r="Q860" s="20"/>
      <x:c r="R860" s="20" t="str">
        <x:v>待展开</x:v>
      </x:c>
      <x:c r="S860" s="20"/>
      <x:c r="T860" s="31"/>
      <x:c r="U860" s="30" t="str">
        <x:f>IF(A860="","缺记录编号",IF(COUNTIFS(PathRecords[记录编号],A860)&lt;&gt;1,"记录编号重复",IF(OR(B860="",E860=""),"缺组合/功能",IF(COUNTIFS(Equipment[组合编号],B860)&lt;&gt;1,"组合编号无效",IF(COUNTIFS(FunctionMatrix[编号],E860)=0,"功能编号无效",IF(H860="不适用",IF(J860="已实测","适用性冲突",IF(I860="","待补不适用依据","不适用（非实测）")),IF(J860="阻塞",IF(I860="","待补阻塞原因","阻塞（非实测）"),IF(J860&lt;&gt;"已实测",IF(F860="","待展开路径","未实测"),IF(H860&lt;&gt;"适用","待确认适用性",IF(INDEX(Equipment[登记状态（自动）],MATCH(B860,Equipment[组合编号],0))&lt;&gt;"已登记","待补设备组合",IF(AND(F860&lt;&gt;"",G860&lt;&gt;"",K860&lt;&gt;"",L860&lt;&gt;"",M860&lt;&gt;"",N860&lt;&gt;"",ISNUMBER(O860),O860&gt;0,P860&lt;&gt;""),"记录齐全","待补实测记录")))))))))))</x:f>
        <x:v>待展开路径</x:v>
      </x:c>
    </x:row>
    <x:row r="861" ht="43.5" customHeight="1">
      <x:c r="A861" s="20" t="str">
        <x:v>REC-00852</x:v>
      </x:c>
      <x:c r="B861" s="20" t="str">
        <x:v>P2-B4-01</x:v>
      </x:c>
      <x:c r="C861" s="30" t="str">
        <x:f>IF(B861="","",IF(COUNTIFS(Equipment[组合编号],B861)&lt;&gt;1,"组合编号无效",INDEX(Equipment[PLC组],MATCH(B861,Equipment[组合编号],0))))</x:f>
        <x:v>汇川中大型</x:v>
      </x:c>
      <x:c r="D861" s="30" t="str">
        <x:f>IF(B861="","",IF(COUNTIFS(Equipment[组合编号],B861)&lt;&gt;1,"组合编号无效",INDEX(Equipment[驱动品牌],MATCH(B861,Equipment[组合编号],0))))</x:f>
        <x:v>Elmo</x:v>
      </x:c>
      <x:c r="E861" s="20" t="str">
        <x:v>M04</x:v>
      </x:c>
      <x:c r="F861" s="20"/>
      <x:c r="G861" s="20"/>
      <x:c r="H861" s="20" t="str">
        <x:v>待判定</x:v>
      </x:c>
      <x:c r="I861" s="20"/>
      <x:c r="J861" s="20" t="str">
        <x:v>未测试</x:v>
      </x:c>
      <x:c r="K861" s="20"/>
      <x:c r="L861" s="20"/>
      <x:c r="M861" s="20"/>
      <x:c r="N861" s="20"/>
      <x:c r="O861" s="31"/>
      <x:c r="P861" s="20"/>
      <x:c r="Q861" s="20"/>
      <x:c r="R861" s="20" t="str">
        <x:v>待展开</x:v>
      </x:c>
      <x:c r="S861" s="20"/>
      <x:c r="T861" s="31"/>
      <x:c r="U861" s="30" t="str">
        <x:f>IF(A861="","缺记录编号",IF(COUNTIFS(PathRecords[记录编号],A861)&lt;&gt;1,"记录编号重复",IF(OR(B861="",E861=""),"缺组合/功能",IF(COUNTIFS(Equipment[组合编号],B861)&lt;&gt;1,"组合编号无效",IF(COUNTIFS(FunctionMatrix[编号],E861)=0,"功能编号无效",IF(H861="不适用",IF(J861="已实测","适用性冲突",IF(I861="","待补不适用依据","不适用（非实测）")),IF(J861="阻塞",IF(I861="","待补阻塞原因","阻塞（非实测）"),IF(J861&lt;&gt;"已实测",IF(F861="","待展开路径","未实测"),IF(H861&lt;&gt;"适用","待确认适用性",IF(INDEX(Equipment[登记状态（自动）],MATCH(B861,Equipment[组合编号],0))&lt;&gt;"已登记","待补设备组合",IF(AND(F861&lt;&gt;"",G861&lt;&gt;"",K861&lt;&gt;"",L861&lt;&gt;"",M861&lt;&gt;"",N861&lt;&gt;"",ISNUMBER(O861),O861&gt;0,P861&lt;&gt;""),"记录齐全","待补实测记录")))))))))))</x:f>
        <x:v>待展开路径</x:v>
      </x:c>
    </x:row>
    <x:row r="862" ht="43.5" customHeight="1">
      <x:c r="A862" s="20" t="str">
        <x:v>REC-00853</x:v>
      </x:c>
      <x:c r="B862" s="20" t="str">
        <x:v>P2-B4-01</x:v>
      </x:c>
      <x:c r="C862" s="30" t="str">
        <x:f>IF(B862="","",IF(COUNTIFS(Equipment[组合编号],B862)&lt;&gt;1,"组合编号无效",INDEX(Equipment[PLC组],MATCH(B862,Equipment[组合编号],0))))</x:f>
        <x:v>汇川中大型</x:v>
      </x:c>
      <x:c r="D862" s="30" t="str">
        <x:f>IF(B862="","",IF(COUNTIFS(Equipment[组合编号],B862)&lt;&gt;1,"组合编号无效",INDEX(Equipment[驱动品牌],MATCH(B862,Equipment[组合编号],0))))</x:f>
        <x:v>Elmo</x:v>
      </x:c>
      <x:c r="E862" s="20" t="str">
        <x:v>M05</x:v>
      </x:c>
      <x:c r="F862" s="20"/>
      <x:c r="G862" s="20"/>
      <x:c r="H862" s="20" t="str">
        <x:v>待判定</x:v>
      </x:c>
      <x:c r="I862" s="20"/>
      <x:c r="J862" s="20" t="str">
        <x:v>未测试</x:v>
      </x:c>
      <x:c r="K862" s="20"/>
      <x:c r="L862" s="20"/>
      <x:c r="M862" s="20"/>
      <x:c r="N862" s="20"/>
      <x:c r="O862" s="31"/>
      <x:c r="P862" s="20"/>
      <x:c r="Q862" s="20"/>
      <x:c r="R862" s="20" t="str">
        <x:v>待展开</x:v>
      </x:c>
      <x:c r="S862" s="20"/>
      <x:c r="T862" s="31"/>
      <x:c r="U862" s="30" t="str">
        <x:f>IF(A862="","缺记录编号",IF(COUNTIFS(PathRecords[记录编号],A862)&lt;&gt;1,"记录编号重复",IF(OR(B862="",E862=""),"缺组合/功能",IF(COUNTIFS(Equipment[组合编号],B862)&lt;&gt;1,"组合编号无效",IF(COUNTIFS(FunctionMatrix[编号],E862)=0,"功能编号无效",IF(H862="不适用",IF(J862="已实测","适用性冲突",IF(I862="","待补不适用依据","不适用（非实测）")),IF(J862="阻塞",IF(I862="","待补阻塞原因","阻塞（非实测）"),IF(J862&lt;&gt;"已实测",IF(F862="","待展开路径","未实测"),IF(H862&lt;&gt;"适用","待确认适用性",IF(INDEX(Equipment[登记状态（自动）],MATCH(B862,Equipment[组合编号],0))&lt;&gt;"已登记","待补设备组合",IF(AND(F862&lt;&gt;"",G862&lt;&gt;"",K862&lt;&gt;"",L862&lt;&gt;"",M862&lt;&gt;"",N862&lt;&gt;"",ISNUMBER(O862),O862&gt;0,P862&lt;&gt;""),"记录齐全","待补实测记录")))))))))))</x:f>
        <x:v>待展开路径</x:v>
      </x:c>
    </x:row>
    <x:row r="863" ht="43.5" customHeight="1">
      <x:c r="A863" s="20" t="str">
        <x:v>REC-00854</x:v>
      </x:c>
      <x:c r="B863" s="20" t="str">
        <x:v>P2-B4-01</x:v>
      </x:c>
      <x:c r="C863" s="30" t="str">
        <x:f>IF(B863="","",IF(COUNTIFS(Equipment[组合编号],B863)&lt;&gt;1,"组合编号无效",INDEX(Equipment[PLC组],MATCH(B863,Equipment[组合编号],0))))</x:f>
        <x:v>汇川中大型</x:v>
      </x:c>
      <x:c r="D863" s="30" t="str">
        <x:f>IF(B863="","",IF(COUNTIFS(Equipment[组合编号],B863)&lt;&gt;1,"组合编号无效",INDEX(Equipment[驱动品牌],MATCH(B863,Equipment[组合编号],0))))</x:f>
        <x:v>Elmo</x:v>
      </x:c>
      <x:c r="E863" s="20" t="str">
        <x:v>M06</x:v>
      </x:c>
      <x:c r="F863" s="20"/>
      <x:c r="G863" s="20"/>
      <x:c r="H863" s="20" t="str">
        <x:v>待判定</x:v>
      </x:c>
      <x:c r="I863" s="20"/>
      <x:c r="J863" s="20" t="str">
        <x:v>未测试</x:v>
      </x:c>
      <x:c r="K863" s="20"/>
      <x:c r="L863" s="20"/>
      <x:c r="M863" s="20"/>
      <x:c r="N863" s="20"/>
      <x:c r="O863" s="31"/>
      <x:c r="P863" s="20"/>
      <x:c r="Q863" s="20"/>
      <x:c r="R863" s="20" t="str">
        <x:v>待展开</x:v>
      </x:c>
      <x:c r="S863" s="20"/>
      <x:c r="T863" s="31"/>
      <x:c r="U863" s="30" t="str">
        <x:f>IF(A863="","缺记录编号",IF(COUNTIFS(PathRecords[记录编号],A863)&lt;&gt;1,"记录编号重复",IF(OR(B863="",E863=""),"缺组合/功能",IF(COUNTIFS(Equipment[组合编号],B863)&lt;&gt;1,"组合编号无效",IF(COUNTIFS(FunctionMatrix[编号],E863)=0,"功能编号无效",IF(H863="不适用",IF(J863="已实测","适用性冲突",IF(I863="","待补不适用依据","不适用（非实测）")),IF(J863="阻塞",IF(I863="","待补阻塞原因","阻塞（非实测）"),IF(J863&lt;&gt;"已实测",IF(F863="","待展开路径","未实测"),IF(H863&lt;&gt;"适用","待确认适用性",IF(INDEX(Equipment[登记状态（自动）],MATCH(B863,Equipment[组合编号],0))&lt;&gt;"已登记","待补设备组合",IF(AND(F863&lt;&gt;"",G863&lt;&gt;"",K863&lt;&gt;"",L863&lt;&gt;"",M863&lt;&gt;"",N863&lt;&gt;"",ISNUMBER(O863),O863&gt;0,P863&lt;&gt;""),"记录齐全","待补实测记录")))))))))))</x:f>
        <x:v>待展开路径</x:v>
      </x:c>
    </x:row>
    <x:row r="864" ht="43.5" customHeight="1">
      <x:c r="A864" s="20" t="str">
        <x:v>REC-00855</x:v>
      </x:c>
      <x:c r="B864" s="20" t="str">
        <x:v>P2-B4-01</x:v>
      </x:c>
      <x:c r="C864" s="30" t="str">
        <x:f>IF(B864="","",IF(COUNTIFS(Equipment[组合编号],B864)&lt;&gt;1,"组合编号无效",INDEX(Equipment[PLC组],MATCH(B864,Equipment[组合编号],0))))</x:f>
        <x:v>汇川中大型</x:v>
      </x:c>
      <x:c r="D864" s="30" t="str">
        <x:f>IF(B864="","",IF(COUNTIFS(Equipment[组合编号],B864)&lt;&gt;1,"组合编号无效",INDEX(Equipment[驱动品牌],MATCH(B864,Equipment[组合编号],0))))</x:f>
        <x:v>Elmo</x:v>
      </x:c>
      <x:c r="E864" s="20" t="str">
        <x:v>M07</x:v>
      </x:c>
      <x:c r="F864" s="20"/>
      <x:c r="G864" s="20"/>
      <x:c r="H864" s="20" t="str">
        <x:v>待判定</x:v>
      </x:c>
      <x:c r="I864" s="20"/>
      <x:c r="J864" s="20" t="str">
        <x:v>未测试</x:v>
      </x:c>
      <x:c r="K864" s="20"/>
      <x:c r="L864" s="20"/>
      <x:c r="M864" s="20"/>
      <x:c r="N864" s="20"/>
      <x:c r="O864" s="31"/>
      <x:c r="P864" s="20"/>
      <x:c r="Q864" s="20"/>
      <x:c r="R864" s="20" t="str">
        <x:v>待展开</x:v>
      </x:c>
      <x:c r="S864" s="20"/>
      <x:c r="T864" s="31"/>
      <x:c r="U864" s="30" t="str">
        <x:f>IF(A864="","缺记录编号",IF(COUNTIFS(PathRecords[记录编号],A864)&lt;&gt;1,"记录编号重复",IF(OR(B864="",E864=""),"缺组合/功能",IF(COUNTIFS(Equipment[组合编号],B864)&lt;&gt;1,"组合编号无效",IF(COUNTIFS(FunctionMatrix[编号],E864)=0,"功能编号无效",IF(H864="不适用",IF(J864="已实测","适用性冲突",IF(I864="","待补不适用依据","不适用（非实测）")),IF(J864="阻塞",IF(I864="","待补阻塞原因","阻塞（非实测）"),IF(J864&lt;&gt;"已实测",IF(F864="","待展开路径","未实测"),IF(H864&lt;&gt;"适用","待确认适用性",IF(INDEX(Equipment[登记状态（自动）],MATCH(B864,Equipment[组合编号],0))&lt;&gt;"已登记","待补设备组合",IF(AND(F864&lt;&gt;"",G864&lt;&gt;"",K864&lt;&gt;"",L864&lt;&gt;"",M864&lt;&gt;"",N864&lt;&gt;"",ISNUMBER(O864),O864&gt;0,P864&lt;&gt;""),"记录齐全","待补实测记录")))))))))))</x:f>
        <x:v>待展开路径</x:v>
      </x:c>
    </x:row>
    <x:row r="865" ht="43.5" customHeight="1">
      <x:c r="A865" s="20" t="str">
        <x:v>REC-00856</x:v>
      </x:c>
      <x:c r="B865" s="20" t="str">
        <x:v>P2-B4-01</x:v>
      </x:c>
      <x:c r="C865" s="30" t="str">
        <x:f>IF(B865="","",IF(COUNTIFS(Equipment[组合编号],B865)&lt;&gt;1,"组合编号无效",INDEX(Equipment[PLC组],MATCH(B865,Equipment[组合编号],0))))</x:f>
        <x:v>汇川中大型</x:v>
      </x:c>
      <x:c r="D865" s="30" t="str">
        <x:f>IF(B865="","",IF(COUNTIFS(Equipment[组合编号],B865)&lt;&gt;1,"组合编号无效",INDEX(Equipment[驱动品牌],MATCH(B865,Equipment[组合编号],0))))</x:f>
        <x:v>Elmo</x:v>
      </x:c>
      <x:c r="E865" s="20" t="str">
        <x:v>M09</x:v>
      </x:c>
      <x:c r="F865" s="20"/>
      <x:c r="G865" s="20"/>
      <x:c r="H865" s="20" t="str">
        <x:v>待判定</x:v>
      </x:c>
      <x:c r="I865" s="20"/>
      <x:c r="J865" s="20" t="str">
        <x:v>未测试</x:v>
      </x:c>
      <x:c r="K865" s="20"/>
      <x:c r="L865" s="20"/>
      <x:c r="M865" s="20"/>
      <x:c r="N865" s="20"/>
      <x:c r="O865" s="31"/>
      <x:c r="P865" s="20"/>
      <x:c r="Q865" s="20"/>
      <x:c r="R865" s="20" t="str">
        <x:v>待展开</x:v>
      </x:c>
      <x:c r="S865" s="20"/>
      <x:c r="T865" s="31"/>
      <x:c r="U865" s="30" t="str">
        <x:f>IF(A865="","缺记录编号",IF(COUNTIFS(PathRecords[记录编号],A865)&lt;&gt;1,"记录编号重复",IF(OR(B865="",E865=""),"缺组合/功能",IF(COUNTIFS(Equipment[组合编号],B865)&lt;&gt;1,"组合编号无效",IF(COUNTIFS(FunctionMatrix[编号],E865)=0,"功能编号无效",IF(H865="不适用",IF(J865="已实测","适用性冲突",IF(I865="","待补不适用依据","不适用（非实测）")),IF(J865="阻塞",IF(I865="","待补阻塞原因","阻塞（非实测）"),IF(J865&lt;&gt;"已实测",IF(F865="","待展开路径","未实测"),IF(H865&lt;&gt;"适用","待确认适用性",IF(INDEX(Equipment[登记状态（自动）],MATCH(B865,Equipment[组合编号],0))&lt;&gt;"已登记","待补设备组合",IF(AND(F865&lt;&gt;"",G865&lt;&gt;"",K865&lt;&gt;"",L865&lt;&gt;"",M865&lt;&gt;"",N865&lt;&gt;"",ISNUMBER(O865),O865&gt;0,P865&lt;&gt;""),"记录齐全","待补实测记录")))))))))))</x:f>
        <x:v>待展开路径</x:v>
      </x:c>
    </x:row>
    <x:row r="866" ht="43.5" customHeight="1">
      <x:c r="A866" s="20" t="str">
        <x:v>REC-00857</x:v>
      </x:c>
      <x:c r="B866" s="20" t="str">
        <x:v>P2-B4-01</x:v>
      </x:c>
      <x:c r="C866" s="30" t="str">
        <x:f>IF(B866="","",IF(COUNTIFS(Equipment[组合编号],B866)&lt;&gt;1,"组合编号无效",INDEX(Equipment[PLC组],MATCH(B866,Equipment[组合编号],0))))</x:f>
        <x:v>汇川中大型</x:v>
      </x:c>
      <x:c r="D866" s="30" t="str">
        <x:f>IF(B866="","",IF(COUNTIFS(Equipment[组合编号],B866)&lt;&gt;1,"组合编号无效",INDEX(Equipment[驱动品牌],MATCH(B866,Equipment[组合编号],0))))</x:f>
        <x:v>Elmo</x:v>
      </x:c>
      <x:c r="E866" s="20" t="str">
        <x:v>M10</x:v>
      </x:c>
      <x:c r="F866" s="20"/>
      <x:c r="G866" s="20"/>
      <x:c r="H866" s="20" t="str">
        <x:v>待判定</x:v>
      </x:c>
      <x:c r="I866" s="20"/>
      <x:c r="J866" s="20" t="str">
        <x:v>未测试</x:v>
      </x:c>
      <x:c r="K866" s="20"/>
      <x:c r="L866" s="20"/>
      <x:c r="M866" s="20"/>
      <x:c r="N866" s="20"/>
      <x:c r="O866" s="31"/>
      <x:c r="P866" s="20"/>
      <x:c r="Q866" s="20"/>
      <x:c r="R866" s="20" t="str">
        <x:v>待展开</x:v>
      </x:c>
      <x:c r="S866" s="20"/>
      <x:c r="T866" s="31"/>
      <x:c r="U866" s="30" t="str">
        <x:f>IF(A866="","缺记录编号",IF(COUNTIFS(PathRecords[记录编号],A866)&lt;&gt;1,"记录编号重复",IF(OR(B866="",E866=""),"缺组合/功能",IF(COUNTIFS(Equipment[组合编号],B866)&lt;&gt;1,"组合编号无效",IF(COUNTIFS(FunctionMatrix[编号],E866)=0,"功能编号无效",IF(H866="不适用",IF(J866="已实测","适用性冲突",IF(I866="","待补不适用依据","不适用（非实测）")),IF(J866="阻塞",IF(I866="","待补阻塞原因","阻塞（非实测）"),IF(J866&lt;&gt;"已实测",IF(F866="","待展开路径","未实测"),IF(H866&lt;&gt;"适用","待确认适用性",IF(INDEX(Equipment[登记状态（自动）],MATCH(B866,Equipment[组合编号],0))&lt;&gt;"已登记","待补设备组合",IF(AND(F866&lt;&gt;"",G866&lt;&gt;"",K866&lt;&gt;"",L866&lt;&gt;"",M866&lt;&gt;"",N866&lt;&gt;"",ISNUMBER(O866),O866&gt;0,P866&lt;&gt;""),"记录齐全","待补实测记录")))))))))))</x:f>
        <x:v>待展开路径</x:v>
      </x:c>
    </x:row>
    <x:row r="867" ht="43.5" customHeight="1">
      <x:c r="A867" s="20" t="str">
        <x:v>REC-00858</x:v>
      </x:c>
      <x:c r="B867" s="20" t="str">
        <x:v>P2-B4-01</x:v>
      </x:c>
      <x:c r="C867" s="30" t="str">
        <x:f>IF(B867="","",IF(COUNTIFS(Equipment[组合编号],B867)&lt;&gt;1,"组合编号无效",INDEX(Equipment[PLC组],MATCH(B867,Equipment[组合编号],0))))</x:f>
        <x:v>汇川中大型</x:v>
      </x:c>
      <x:c r="D867" s="30" t="str">
        <x:f>IF(B867="","",IF(COUNTIFS(Equipment[组合编号],B867)&lt;&gt;1,"组合编号无效",INDEX(Equipment[驱动品牌],MATCH(B867,Equipment[组合编号],0))))</x:f>
        <x:v>Elmo</x:v>
      </x:c>
      <x:c r="E867" s="20" t="str">
        <x:v>D01</x:v>
      </x:c>
      <x:c r="F867" s="20"/>
      <x:c r="G867" s="20"/>
      <x:c r="H867" s="20" t="str">
        <x:v>待判定</x:v>
      </x:c>
      <x:c r="I867" s="20"/>
      <x:c r="J867" s="20" t="str">
        <x:v>未测试</x:v>
      </x:c>
      <x:c r="K867" s="20"/>
      <x:c r="L867" s="20"/>
      <x:c r="M867" s="20"/>
      <x:c r="N867" s="20"/>
      <x:c r="O867" s="31"/>
      <x:c r="P867" s="20"/>
      <x:c r="Q867" s="20"/>
      <x:c r="R867" s="20" t="str">
        <x:v>待展开</x:v>
      </x:c>
      <x:c r="S867" s="20"/>
      <x:c r="T867" s="31"/>
      <x:c r="U867" s="30" t="str">
        <x:f>IF(A867="","缺记录编号",IF(COUNTIFS(PathRecords[记录编号],A867)&lt;&gt;1,"记录编号重复",IF(OR(B867="",E867=""),"缺组合/功能",IF(COUNTIFS(Equipment[组合编号],B867)&lt;&gt;1,"组合编号无效",IF(COUNTIFS(FunctionMatrix[编号],E867)=0,"功能编号无效",IF(H867="不适用",IF(J867="已实测","适用性冲突",IF(I867="","待补不适用依据","不适用（非实测）")),IF(J867="阻塞",IF(I867="","待补阻塞原因","阻塞（非实测）"),IF(J867&lt;&gt;"已实测",IF(F867="","待展开路径","未实测"),IF(H867&lt;&gt;"适用","待确认适用性",IF(INDEX(Equipment[登记状态（自动）],MATCH(B867,Equipment[组合编号],0))&lt;&gt;"已登记","待补设备组合",IF(AND(F867&lt;&gt;"",G867&lt;&gt;"",K867&lt;&gt;"",L867&lt;&gt;"",M867&lt;&gt;"",N867&lt;&gt;"",ISNUMBER(O867),O867&gt;0,P867&lt;&gt;""),"记录齐全","待补实测记录")))))))))))</x:f>
        <x:v>待展开路径</x:v>
      </x:c>
    </x:row>
    <x:row r="868" ht="43.5" customHeight="1">
      <x:c r="A868" s="20" t="str">
        <x:v>REC-00859</x:v>
      </x:c>
      <x:c r="B868" s="20" t="str">
        <x:v>P2-B4-01</x:v>
      </x:c>
      <x:c r="C868" s="30" t="str">
        <x:f>IF(B868="","",IF(COUNTIFS(Equipment[组合编号],B868)&lt;&gt;1,"组合编号无效",INDEX(Equipment[PLC组],MATCH(B868,Equipment[组合编号],0))))</x:f>
        <x:v>汇川中大型</x:v>
      </x:c>
      <x:c r="D868" s="30" t="str">
        <x:f>IF(B868="","",IF(COUNTIFS(Equipment[组合编号],B868)&lt;&gt;1,"组合编号无效",INDEX(Equipment[驱动品牌],MATCH(B868,Equipment[组合编号],0))))</x:f>
        <x:v>Elmo</x:v>
      </x:c>
      <x:c r="E868" s="20" t="str">
        <x:v>D02</x:v>
      </x:c>
      <x:c r="F868" s="20"/>
      <x:c r="G868" s="20"/>
      <x:c r="H868" s="20" t="str">
        <x:v>待判定</x:v>
      </x:c>
      <x:c r="I868" s="20"/>
      <x:c r="J868" s="20" t="str">
        <x:v>未测试</x:v>
      </x:c>
      <x:c r="K868" s="20"/>
      <x:c r="L868" s="20"/>
      <x:c r="M868" s="20"/>
      <x:c r="N868" s="20"/>
      <x:c r="O868" s="31"/>
      <x:c r="P868" s="20"/>
      <x:c r="Q868" s="20"/>
      <x:c r="R868" s="20" t="str">
        <x:v>待展开</x:v>
      </x:c>
      <x:c r="S868" s="20"/>
      <x:c r="T868" s="31"/>
      <x:c r="U868" s="30" t="str">
        <x:f>IF(A868="","缺记录编号",IF(COUNTIFS(PathRecords[记录编号],A868)&lt;&gt;1,"记录编号重复",IF(OR(B868="",E868=""),"缺组合/功能",IF(COUNTIFS(Equipment[组合编号],B868)&lt;&gt;1,"组合编号无效",IF(COUNTIFS(FunctionMatrix[编号],E868)=0,"功能编号无效",IF(H868="不适用",IF(J868="已实测","适用性冲突",IF(I868="","待补不适用依据","不适用（非实测）")),IF(J868="阻塞",IF(I868="","待补阻塞原因","阻塞（非实测）"),IF(J868&lt;&gt;"已实测",IF(F868="","待展开路径","未实测"),IF(H868&lt;&gt;"适用","待确认适用性",IF(INDEX(Equipment[登记状态（自动）],MATCH(B868,Equipment[组合编号],0))&lt;&gt;"已登记","待补设备组合",IF(AND(F868&lt;&gt;"",G868&lt;&gt;"",K868&lt;&gt;"",L868&lt;&gt;"",M868&lt;&gt;"",N868&lt;&gt;"",ISNUMBER(O868),O868&gt;0,P868&lt;&gt;""),"记录齐全","待补实测记录")))))))))))</x:f>
        <x:v>待展开路径</x:v>
      </x:c>
    </x:row>
    <x:row r="869" ht="43.5" customHeight="1">
      <x:c r="A869" s="20" t="str">
        <x:v>REC-00860</x:v>
      </x:c>
      <x:c r="B869" s="20" t="str">
        <x:v>P2-B4-01</x:v>
      </x:c>
      <x:c r="C869" s="30" t="str">
        <x:f>IF(B869="","",IF(COUNTIFS(Equipment[组合编号],B869)&lt;&gt;1,"组合编号无效",INDEX(Equipment[PLC组],MATCH(B869,Equipment[组合编号],0))))</x:f>
        <x:v>汇川中大型</x:v>
      </x:c>
      <x:c r="D869" s="30" t="str">
        <x:f>IF(B869="","",IF(COUNTIFS(Equipment[组合编号],B869)&lt;&gt;1,"组合编号无效",INDEX(Equipment[驱动品牌],MATCH(B869,Equipment[组合编号],0))))</x:f>
        <x:v>Elmo</x:v>
      </x:c>
      <x:c r="E869" s="20" t="str">
        <x:v>D03</x:v>
      </x:c>
      <x:c r="F869" s="20"/>
      <x:c r="G869" s="20"/>
      <x:c r="H869" s="20" t="str">
        <x:v>待判定</x:v>
      </x:c>
      <x:c r="I869" s="20"/>
      <x:c r="J869" s="20" t="str">
        <x:v>未测试</x:v>
      </x:c>
      <x:c r="K869" s="20"/>
      <x:c r="L869" s="20"/>
      <x:c r="M869" s="20"/>
      <x:c r="N869" s="20"/>
      <x:c r="O869" s="31"/>
      <x:c r="P869" s="20"/>
      <x:c r="Q869" s="20"/>
      <x:c r="R869" s="20" t="str">
        <x:v>待展开</x:v>
      </x:c>
      <x:c r="S869" s="20"/>
      <x:c r="T869" s="31"/>
      <x:c r="U869" s="30" t="str">
        <x:f>IF(A869="","缺记录编号",IF(COUNTIFS(PathRecords[记录编号],A869)&lt;&gt;1,"记录编号重复",IF(OR(B869="",E869=""),"缺组合/功能",IF(COUNTIFS(Equipment[组合编号],B869)&lt;&gt;1,"组合编号无效",IF(COUNTIFS(FunctionMatrix[编号],E869)=0,"功能编号无效",IF(H869="不适用",IF(J869="已实测","适用性冲突",IF(I869="","待补不适用依据","不适用（非实测）")),IF(J869="阻塞",IF(I869="","待补阻塞原因","阻塞（非实测）"),IF(J869&lt;&gt;"已实测",IF(F869="","待展开路径","未实测"),IF(H869&lt;&gt;"适用","待确认适用性",IF(INDEX(Equipment[登记状态（自动）],MATCH(B869,Equipment[组合编号],0))&lt;&gt;"已登记","待补设备组合",IF(AND(F869&lt;&gt;"",G869&lt;&gt;"",K869&lt;&gt;"",L869&lt;&gt;"",M869&lt;&gt;"",N869&lt;&gt;"",ISNUMBER(O869),O869&gt;0,P869&lt;&gt;""),"记录齐全","待补实测记录")))))))))))</x:f>
        <x:v>待展开路径</x:v>
      </x:c>
    </x:row>
    <x:row r="870" ht="43.5" customHeight="1">
      <x:c r="A870" s="20" t="str">
        <x:v>REC-00861</x:v>
      </x:c>
      <x:c r="B870" s="20" t="str">
        <x:v>P2-B4-01</x:v>
      </x:c>
      <x:c r="C870" s="30" t="str">
        <x:f>IF(B870="","",IF(COUNTIFS(Equipment[组合编号],B870)&lt;&gt;1,"组合编号无效",INDEX(Equipment[PLC组],MATCH(B870,Equipment[组合编号],0))))</x:f>
        <x:v>汇川中大型</x:v>
      </x:c>
      <x:c r="D870" s="30" t="str">
        <x:f>IF(B870="","",IF(COUNTIFS(Equipment[组合编号],B870)&lt;&gt;1,"组合编号无效",INDEX(Equipment[驱动品牌],MATCH(B870,Equipment[组合编号],0))))</x:f>
        <x:v>Elmo</x:v>
      </x:c>
      <x:c r="E870" s="20" t="str">
        <x:v>D04</x:v>
      </x:c>
      <x:c r="F870" s="20"/>
      <x:c r="G870" s="20"/>
      <x:c r="H870" s="20" t="str">
        <x:v>待判定</x:v>
      </x:c>
      <x:c r="I870" s="20"/>
      <x:c r="J870" s="20" t="str">
        <x:v>未测试</x:v>
      </x:c>
      <x:c r="K870" s="20"/>
      <x:c r="L870" s="20"/>
      <x:c r="M870" s="20"/>
      <x:c r="N870" s="20"/>
      <x:c r="O870" s="31"/>
      <x:c r="P870" s="20"/>
      <x:c r="Q870" s="20"/>
      <x:c r="R870" s="20" t="str">
        <x:v>待展开</x:v>
      </x:c>
      <x:c r="S870" s="20"/>
      <x:c r="T870" s="31"/>
      <x:c r="U870" s="30" t="str">
        <x:f>IF(A870="","缺记录编号",IF(COUNTIFS(PathRecords[记录编号],A870)&lt;&gt;1,"记录编号重复",IF(OR(B870="",E870=""),"缺组合/功能",IF(COUNTIFS(Equipment[组合编号],B870)&lt;&gt;1,"组合编号无效",IF(COUNTIFS(FunctionMatrix[编号],E870)=0,"功能编号无效",IF(H870="不适用",IF(J870="已实测","适用性冲突",IF(I870="","待补不适用依据","不适用（非实测）")),IF(J870="阻塞",IF(I870="","待补阻塞原因","阻塞（非实测）"),IF(J870&lt;&gt;"已实测",IF(F870="","待展开路径","未实测"),IF(H870&lt;&gt;"适用","待确认适用性",IF(INDEX(Equipment[登记状态（自动）],MATCH(B870,Equipment[组合编号],0))&lt;&gt;"已登记","待补设备组合",IF(AND(F870&lt;&gt;"",G870&lt;&gt;"",K870&lt;&gt;"",L870&lt;&gt;"",M870&lt;&gt;"",N870&lt;&gt;"",ISNUMBER(O870),O870&gt;0,P870&lt;&gt;""),"记录齐全","待补实测记录")))))))))))</x:f>
        <x:v>待展开路径</x:v>
      </x:c>
    </x:row>
    <x:row r="871" ht="43.5" customHeight="1">
      <x:c r="A871" s="20" t="str">
        <x:v>REC-00862</x:v>
      </x:c>
      <x:c r="B871" s="20" t="str">
        <x:v>P2-B4-01</x:v>
      </x:c>
      <x:c r="C871" s="30" t="str">
        <x:f>IF(B871="","",IF(COUNTIFS(Equipment[组合编号],B871)&lt;&gt;1,"组合编号无效",INDEX(Equipment[PLC组],MATCH(B871,Equipment[组合编号],0))))</x:f>
        <x:v>汇川中大型</x:v>
      </x:c>
      <x:c r="D871" s="30" t="str">
        <x:f>IF(B871="","",IF(COUNTIFS(Equipment[组合编号],B871)&lt;&gt;1,"组合编号无效",INDEX(Equipment[驱动品牌],MATCH(B871,Equipment[组合编号],0))))</x:f>
        <x:v>Elmo</x:v>
      </x:c>
      <x:c r="E871" s="20" t="str">
        <x:v>D05</x:v>
      </x:c>
      <x:c r="F871" s="20"/>
      <x:c r="G871" s="20"/>
      <x:c r="H871" s="20" t="str">
        <x:v>待判定</x:v>
      </x:c>
      <x:c r="I871" s="20"/>
      <x:c r="J871" s="20" t="str">
        <x:v>未测试</x:v>
      </x:c>
      <x:c r="K871" s="20"/>
      <x:c r="L871" s="20"/>
      <x:c r="M871" s="20"/>
      <x:c r="N871" s="20"/>
      <x:c r="O871" s="31"/>
      <x:c r="P871" s="20"/>
      <x:c r="Q871" s="20"/>
      <x:c r="R871" s="20" t="str">
        <x:v>待展开</x:v>
      </x:c>
      <x:c r="S871" s="20"/>
      <x:c r="T871" s="31"/>
      <x:c r="U871" s="30" t="str">
        <x:f>IF(A871="","缺记录编号",IF(COUNTIFS(PathRecords[记录编号],A871)&lt;&gt;1,"记录编号重复",IF(OR(B871="",E871=""),"缺组合/功能",IF(COUNTIFS(Equipment[组合编号],B871)&lt;&gt;1,"组合编号无效",IF(COUNTIFS(FunctionMatrix[编号],E871)=0,"功能编号无效",IF(H871="不适用",IF(J871="已实测","适用性冲突",IF(I871="","待补不适用依据","不适用（非实测）")),IF(J871="阻塞",IF(I871="","待补阻塞原因","阻塞（非实测）"),IF(J871&lt;&gt;"已实测",IF(F871="","待展开路径","未实测"),IF(H871&lt;&gt;"适用","待确认适用性",IF(INDEX(Equipment[登记状态（自动）],MATCH(B871,Equipment[组合编号],0))&lt;&gt;"已登记","待补设备组合",IF(AND(F871&lt;&gt;"",G871&lt;&gt;"",K871&lt;&gt;"",L871&lt;&gt;"",M871&lt;&gt;"",N871&lt;&gt;"",ISNUMBER(O871),O871&gt;0,P871&lt;&gt;""),"记录齐全","待补实测记录")))))))))))</x:f>
        <x:v>待展开路径</x:v>
      </x:c>
    </x:row>
    <x:row r="872" ht="43.5" customHeight="1">
      <x:c r="A872" s="20" t="str">
        <x:v>REC-00863</x:v>
      </x:c>
      <x:c r="B872" s="20" t="str">
        <x:v>P2-B4-01</x:v>
      </x:c>
      <x:c r="C872" s="30" t="str">
        <x:f>IF(B872="","",IF(COUNTIFS(Equipment[组合编号],B872)&lt;&gt;1,"组合编号无效",INDEX(Equipment[PLC组],MATCH(B872,Equipment[组合编号],0))))</x:f>
        <x:v>汇川中大型</x:v>
      </x:c>
      <x:c r="D872" s="30" t="str">
        <x:f>IF(B872="","",IF(COUNTIFS(Equipment[组合编号],B872)&lt;&gt;1,"组合编号无效",INDEX(Equipment[驱动品牌],MATCH(B872,Equipment[组合编号],0))))</x:f>
        <x:v>Elmo</x:v>
      </x:c>
      <x:c r="E872" s="20" t="str">
        <x:v>D06</x:v>
      </x:c>
      <x:c r="F872" s="20"/>
      <x:c r="G872" s="20"/>
      <x:c r="H872" s="20" t="str">
        <x:v>待判定</x:v>
      </x:c>
      <x:c r="I872" s="20"/>
      <x:c r="J872" s="20" t="str">
        <x:v>未测试</x:v>
      </x:c>
      <x:c r="K872" s="20"/>
      <x:c r="L872" s="20"/>
      <x:c r="M872" s="20"/>
      <x:c r="N872" s="20"/>
      <x:c r="O872" s="31"/>
      <x:c r="P872" s="20"/>
      <x:c r="Q872" s="20"/>
      <x:c r="R872" s="20" t="str">
        <x:v>待展开</x:v>
      </x:c>
      <x:c r="S872" s="20"/>
      <x:c r="T872" s="31"/>
      <x:c r="U872" s="30" t="str">
        <x:f>IF(A872="","缺记录编号",IF(COUNTIFS(PathRecords[记录编号],A872)&lt;&gt;1,"记录编号重复",IF(OR(B872="",E872=""),"缺组合/功能",IF(COUNTIFS(Equipment[组合编号],B872)&lt;&gt;1,"组合编号无效",IF(COUNTIFS(FunctionMatrix[编号],E872)=0,"功能编号无效",IF(H872="不适用",IF(J872="已实测","适用性冲突",IF(I872="","待补不适用依据","不适用（非实测）")),IF(J872="阻塞",IF(I872="","待补阻塞原因","阻塞（非实测）"),IF(J872&lt;&gt;"已实测",IF(F872="","待展开路径","未实测"),IF(H872&lt;&gt;"适用","待确认适用性",IF(INDEX(Equipment[登记状态（自动）],MATCH(B872,Equipment[组合编号],0))&lt;&gt;"已登记","待补设备组合",IF(AND(F872&lt;&gt;"",G872&lt;&gt;"",K872&lt;&gt;"",L872&lt;&gt;"",M872&lt;&gt;"",N872&lt;&gt;"",ISNUMBER(O872),O872&gt;0,P872&lt;&gt;""),"记录齐全","待补实测记录")))))))))))</x:f>
        <x:v>待展开路径</x:v>
      </x:c>
    </x:row>
    <x:row r="873" ht="43.5" customHeight="1">
      <x:c r="A873" s="20" t="str">
        <x:v>REC-00864</x:v>
      </x:c>
      <x:c r="B873" s="20" t="str">
        <x:v>P2-B4-01</x:v>
      </x:c>
      <x:c r="C873" s="30" t="str">
        <x:f>IF(B873="","",IF(COUNTIFS(Equipment[组合编号],B873)&lt;&gt;1,"组合编号无效",INDEX(Equipment[PLC组],MATCH(B873,Equipment[组合编号],0))))</x:f>
        <x:v>汇川中大型</x:v>
      </x:c>
      <x:c r="D873" s="30" t="str">
        <x:f>IF(B873="","",IF(COUNTIFS(Equipment[组合编号],B873)&lt;&gt;1,"组合编号无效",INDEX(Equipment[驱动品牌],MATCH(B873,Equipment[组合编号],0))))</x:f>
        <x:v>Elmo</x:v>
      </x:c>
      <x:c r="E873" s="20" t="str">
        <x:v>D07</x:v>
      </x:c>
      <x:c r="F873" s="20"/>
      <x:c r="G873" s="20"/>
      <x:c r="H873" s="20" t="str">
        <x:v>待判定</x:v>
      </x:c>
      <x:c r="I873" s="20"/>
      <x:c r="J873" s="20" t="str">
        <x:v>未测试</x:v>
      </x:c>
      <x:c r="K873" s="20"/>
      <x:c r="L873" s="20"/>
      <x:c r="M873" s="20"/>
      <x:c r="N873" s="20"/>
      <x:c r="O873" s="31"/>
      <x:c r="P873" s="20"/>
      <x:c r="Q873" s="20"/>
      <x:c r="R873" s="20" t="str">
        <x:v>待展开</x:v>
      </x:c>
      <x:c r="S873" s="20"/>
      <x:c r="T873" s="31"/>
      <x:c r="U873" s="30" t="str">
        <x:f>IF(A873="","缺记录编号",IF(COUNTIFS(PathRecords[记录编号],A873)&lt;&gt;1,"记录编号重复",IF(OR(B873="",E873=""),"缺组合/功能",IF(COUNTIFS(Equipment[组合编号],B873)&lt;&gt;1,"组合编号无效",IF(COUNTIFS(FunctionMatrix[编号],E873)=0,"功能编号无效",IF(H873="不适用",IF(J873="已实测","适用性冲突",IF(I873="","待补不适用依据","不适用（非实测）")),IF(J873="阻塞",IF(I873="","待补阻塞原因","阻塞（非实测）"),IF(J873&lt;&gt;"已实测",IF(F873="","待展开路径","未实测"),IF(H873&lt;&gt;"适用","待确认适用性",IF(INDEX(Equipment[登记状态（自动）],MATCH(B873,Equipment[组合编号],0))&lt;&gt;"已登记","待补设备组合",IF(AND(F873&lt;&gt;"",G873&lt;&gt;"",K873&lt;&gt;"",L873&lt;&gt;"",M873&lt;&gt;"",N873&lt;&gt;"",ISNUMBER(O873),O873&gt;0,P873&lt;&gt;""),"记录齐全","待补实测记录")))))))))))</x:f>
        <x:v>待展开路径</x:v>
      </x:c>
    </x:row>
    <x:row r="874" ht="43.5" customHeight="1">
      <x:c r="A874" s="20" t="str">
        <x:v>REC-00865</x:v>
      </x:c>
      <x:c r="B874" s="20" t="str">
        <x:v>P2-B4-01</x:v>
      </x:c>
      <x:c r="C874" s="30" t="str">
        <x:f>IF(B874="","",IF(COUNTIFS(Equipment[组合编号],B874)&lt;&gt;1,"组合编号无效",INDEX(Equipment[PLC组],MATCH(B874,Equipment[组合编号],0))))</x:f>
        <x:v>汇川中大型</x:v>
      </x:c>
      <x:c r="D874" s="30" t="str">
        <x:f>IF(B874="","",IF(COUNTIFS(Equipment[组合编号],B874)&lt;&gt;1,"组合编号无效",INDEX(Equipment[驱动品牌],MATCH(B874,Equipment[组合编号],0))))</x:f>
        <x:v>Elmo</x:v>
      </x:c>
      <x:c r="E874" s="20" t="str">
        <x:v>D08</x:v>
      </x:c>
      <x:c r="F874" s="20"/>
      <x:c r="G874" s="20"/>
      <x:c r="H874" s="20" t="str">
        <x:v>待判定</x:v>
      </x:c>
      <x:c r="I874" s="20"/>
      <x:c r="J874" s="20" t="str">
        <x:v>未测试</x:v>
      </x:c>
      <x:c r="K874" s="20"/>
      <x:c r="L874" s="20"/>
      <x:c r="M874" s="20"/>
      <x:c r="N874" s="20"/>
      <x:c r="O874" s="31"/>
      <x:c r="P874" s="20"/>
      <x:c r="Q874" s="20"/>
      <x:c r="R874" s="20" t="str">
        <x:v>待展开</x:v>
      </x:c>
      <x:c r="S874" s="20"/>
      <x:c r="T874" s="31"/>
      <x:c r="U874" s="30" t="str">
        <x:f>IF(A874="","缺记录编号",IF(COUNTIFS(PathRecords[记录编号],A874)&lt;&gt;1,"记录编号重复",IF(OR(B874="",E874=""),"缺组合/功能",IF(COUNTIFS(Equipment[组合编号],B874)&lt;&gt;1,"组合编号无效",IF(COUNTIFS(FunctionMatrix[编号],E874)=0,"功能编号无效",IF(H874="不适用",IF(J874="已实测","适用性冲突",IF(I874="","待补不适用依据","不适用（非实测）")),IF(J874="阻塞",IF(I874="","待补阻塞原因","阻塞（非实测）"),IF(J874&lt;&gt;"已实测",IF(F874="","待展开路径","未实测"),IF(H874&lt;&gt;"适用","待确认适用性",IF(INDEX(Equipment[登记状态（自动）],MATCH(B874,Equipment[组合编号],0))&lt;&gt;"已登记","待补设备组合",IF(AND(F874&lt;&gt;"",G874&lt;&gt;"",K874&lt;&gt;"",L874&lt;&gt;"",M874&lt;&gt;"",N874&lt;&gt;"",ISNUMBER(O874),O874&gt;0,P874&lt;&gt;""),"记录齐全","待补实测记录")))))))))))</x:f>
        <x:v>待展开路径</x:v>
      </x:c>
    </x:row>
    <x:row r="875" ht="43.5" customHeight="1">
      <x:c r="A875" s="20" t="str">
        <x:v>REC-00866</x:v>
      </x:c>
      <x:c r="B875" s="20" t="str">
        <x:v>P2-B4-01</x:v>
      </x:c>
      <x:c r="C875" s="30" t="str">
        <x:f>IF(B875="","",IF(COUNTIFS(Equipment[组合编号],B875)&lt;&gt;1,"组合编号无效",INDEX(Equipment[PLC组],MATCH(B875,Equipment[组合编号],0))))</x:f>
        <x:v>汇川中大型</x:v>
      </x:c>
      <x:c r="D875" s="30" t="str">
        <x:f>IF(B875="","",IF(COUNTIFS(Equipment[组合编号],B875)&lt;&gt;1,"组合编号无效",INDEX(Equipment[驱动品牌],MATCH(B875,Equipment[组合编号],0))))</x:f>
        <x:v>Elmo</x:v>
      </x:c>
      <x:c r="E875" s="20" t="str">
        <x:v>D09</x:v>
      </x:c>
      <x:c r="F875" s="20"/>
      <x:c r="G875" s="20"/>
      <x:c r="H875" s="20" t="str">
        <x:v>待判定</x:v>
      </x:c>
      <x:c r="I875" s="20"/>
      <x:c r="J875" s="20" t="str">
        <x:v>未测试</x:v>
      </x:c>
      <x:c r="K875" s="20"/>
      <x:c r="L875" s="20"/>
      <x:c r="M875" s="20"/>
      <x:c r="N875" s="20"/>
      <x:c r="O875" s="31"/>
      <x:c r="P875" s="20"/>
      <x:c r="Q875" s="20"/>
      <x:c r="R875" s="20" t="str">
        <x:v>待展开</x:v>
      </x:c>
      <x:c r="S875" s="20"/>
      <x:c r="T875" s="31"/>
      <x:c r="U875" s="30" t="str">
        <x:f>IF(A875="","缺记录编号",IF(COUNTIFS(PathRecords[记录编号],A875)&lt;&gt;1,"记录编号重复",IF(OR(B875="",E875=""),"缺组合/功能",IF(COUNTIFS(Equipment[组合编号],B875)&lt;&gt;1,"组合编号无效",IF(COUNTIFS(FunctionMatrix[编号],E875)=0,"功能编号无效",IF(H875="不适用",IF(J875="已实测","适用性冲突",IF(I875="","待补不适用依据","不适用（非实测）")),IF(J875="阻塞",IF(I875="","待补阻塞原因","阻塞（非实测）"),IF(J875&lt;&gt;"已实测",IF(F875="","待展开路径","未实测"),IF(H875&lt;&gt;"适用","待确认适用性",IF(INDEX(Equipment[登记状态（自动）],MATCH(B875,Equipment[组合编号],0))&lt;&gt;"已登记","待补设备组合",IF(AND(F875&lt;&gt;"",G875&lt;&gt;"",K875&lt;&gt;"",L875&lt;&gt;"",M875&lt;&gt;"",N875&lt;&gt;"",ISNUMBER(O875),O875&gt;0,P875&lt;&gt;""),"记录齐全","待补实测记录")))))))))))</x:f>
        <x:v>待展开路径</x:v>
      </x:c>
    </x:row>
    <x:row r="876" ht="43.5" customHeight="1">
      <x:c r="A876" s="20" t="str">
        <x:v>REC-00867</x:v>
      </x:c>
      <x:c r="B876" s="20" t="str">
        <x:v>P2-B4-01</x:v>
      </x:c>
      <x:c r="C876" s="30" t="str">
        <x:f>IF(B876="","",IF(COUNTIFS(Equipment[组合编号],B876)&lt;&gt;1,"组合编号无效",INDEX(Equipment[PLC组],MATCH(B876,Equipment[组合编号],0))))</x:f>
        <x:v>汇川中大型</x:v>
      </x:c>
      <x:c r="D876" s="30" t="str">
        <x:f>IF(B876="","",IF(COUNTIFS(Equipment[组合编号],B876)&lt;&gt;1,"组合编号无效",INDEX(Equipment[驱动品牌],MATCH(B876,Equipment[组合编号],0))))</x:f>
        <x:v>Elmo</x:v>
      </x:c>
      <x:c r="E876" s="20" t="str">
        <x:v>S01</x:v>
      </x:c>
      <x:c r="F876" s="20"/>
      <x:c r="G876" s="20"/>
      <x:c r="H876" s="20" t="str">
        <x:v>待判定</x:v>
      </x:c>
      <x:c r="I876" s="20"/>
      <x:c r="J876" s="20" t="str">
        <x:v>未测试</x:v>
      </x:c>
      <x:c r="K876" s="20"/>
      <x:c r="L876" s="20"/>
      <x:c r="M876" s="20"/>
      <x:c r="N876" s="20"/>
      <x:c r="O876" s="31"/>
      <x:c r="P876" s="20"/>
      <x:c r="Q876" s="20"/>
      <x:c r="R876" s="20" t="str">
        <x:v>待展开</x:v>
      </x:c>
      <x:c r="S876" s="20"/>
      <x:c r="T876" s="31"/>
      <x:c r="U876" s="30" t="str">
        <x:f>IF(A876="","缺记录编号",IF(COUNTIFS(PathRecords[记录编号],A876)&lt;&gt;1,"记录编号重复",IF(OR(B876="",E876=""),"缺组合/功能",IF(COUNTIFS(Equipment[组合编号],B876)&lt;&gt;1,"组合编号无效",IF(COUNTIFS(FunctionMatrix[编号],E876)=0,"功能编号无效",IF(H876="不适用",IF(J876="已实测","适用性冲突",IF(I876="","待补不适用依据","不适用（非实测）")),IF(J876="阻塞",IF(I876="","待补阻塞原因","阻塞（非实测）"),IF(J876&lt;&gt;"已实测",IF(F876="","待展开路径","未实测"),IF(H876&lt;&gt;"适用","待确认适用性",IF(INDEX(Equipment[登记状态（自动）],MATCH(B876,Equipment[组合编号],0))&lt;&gt;"已登记","待补设备组合",IF(AND(F876&lt;&gt;"",G876&lt;&gt;"",K876&lt;&gt;"",L876&lt;&gt;"",M876&lt;&gt;"",N876&lt;&gt;"",ISNUMBER(O876),O876&gt;0,P876&lt;&gt;""),"记录齐全","待补实测记录")))))))))))</x:f>
        <x:v>待展开路径</x:v>
      </x:c>
    </x:row>
    <x:row r="877" ht="43.5" customHeight="1">
      <x:c r="A877" s="20" t="str">
        <x:v>REC-00868</x:v>
      </x:c>
      <x:c r="B877" s="20" t="str">
        <x:v>P2-B4-01</x:v>
      </x:c>
      <x:c r="C877" s="30" t="str">
        <x:f>IF(B877="","",IF(COUNTIFS(Equipment[组合编号],B877)&lt;&gt;1,"组合编号无效",INDEX(Equipment[PLC组],MATCH(B877,Equipment[组合编号],0))))</x:f>
        <x:v>汇川中大型</x:v>
      </x:c>
      <x:c r="D877" s="30" t="str">
        <x:f>IF(B877="","",IF(COUNTIFS(Equipment[组合编号],B877)&lt;&gt;1,"组合编号无效",INDEX(Equipment[驱动品牌],MATCH(B877,Equipment[组合编号],0))))</x:f>
        <x:v>Elmo</x:v>
      </x:c>
      <x:c r="E877" s="20" t="str">
        <x:v>S02</x:v>
      </x:c>
      <x:c r="F877" s="20"/>
      <x:c r="G877" s="20"/>
      <x:c r="H877" s="20" t="str">
        <x:v>待判定</x:v>
      </x:c>
      <x:c r="I877" s="20"/>
      <x:c r="J877" s="20" t="str">
        <x:v>未测试</x:v>
      </x:c>
      <x:c r="K877" s="20"/>
      <x:c r="L877" s="20"/>
      <x:c r="M877" s="20"/>
      <x:c r="N877" s="20"/>
      <x:c r="O877" s="31"/>
      <x:c r="P877" s="20"/>
      <x:c r="Q877" s="20"/>
      <x:c r="R877" s="20" t="str">
        <x:v>待展开</x:v>
      </x:c>
      <x:c r="S877" s="20"/>
      <x:c r="T877" s="31"/>
      <x:c r="U877" s="30" t="str">
        <x:f>IF(A877="","缺记录编号",IF(COUNTIFS(PathRecords[记录编号],A877)&lt;&gt;1,"记录编号重复",IF(OR(B877="",E877=""),"缺组合/功能",IF(COUNTIFS(Equipment[组合编号],B877)&lt;&gt;1,"组合编号无效",IF(COUNTIFS(FunctionMatrix[编号],E877)=0,"功能编号无效",IF(H877="不适用",IF(J877="已实测","适用性冲突",IF(I877="","待补不适用依据","不适用（非实测）")),IF(J877="阻塞",IF(I877="","待补阻塞原因","阻塞（非实测）"),IF(J877&lt;&gt;"已实测",IF(F877="","待展开路径","未实测"),IF(H877&lt;&gt;"适用","待确认适用性",IF(INDEX(Equipment[登记状态（自动）],MATCH(B877,Equipment[组合编号],0))&lt;&gt;"已登记","待补设备组合",IF(AND(F877&lt;&gt;"",G877&lt;&gt;"",K877&lt;&gt;"",L877&lt;&gt;"",M877&lt;&gt;"",N877&lt;&gt;"",ISNUMBER(O877),O877&gt;0,P877&lt;&gt;""),"记录齐全","待补实测记录")))))))))))</x:f>
        <x:v>待展开路径</x:v>
      </x:c>
    </x:row>
    <x:row r="878" ht="43.5" customHeight="1">
      <x:c r="A878" s="20" t="str">
        <x:v>REC-00869</x:v>
      </x:c>
      <x:c r="B878" s="20" t="str">
        <x:v>P2-B4-01</x:v>
      </x:c>
      <x:c r="C878" s="30" t="str">
        <x:f>IF(B878="","",IF(COUNTIFS(Equipment[组合编号],B878)&lt;&gt;1,"组合编号无效",INDEX(Equipment[PLC组],MATCH(B878,Equipment[组合编号],0))))</x:f>
        <x:v>汇川中大型</x:v>
      </x:c>
      <x:c r="D878" s="30" t="str">
        <x:f>IF(B878="","",IF(COUNTIFS(Equipment[组合编号],B878)&lt;&gt;1,"组合编号无效",INDEX(Equipment[驱动品牌],MATCH(B878,Equipment[组合编号],0))))</x:f>
        <x:v>Elmo</x:v>
      </x:c>
      <x:c r="E878" s="20" t="str">
        <x:v>S03</x:v>
      </x:c>
      <x:c r="F878" s="20"/>
      <x:c r="G878" s="20"/>
      <x:c r="H878" s="20" t="str">
        <x:v>待判定</x:v>
      </x:c>
      <x:c r="I878" s="20"/>
      <x:c r="J878" s="20" t="str">
        <x:v>未测试</x:v>
      </x:c>
      <x:c r="K878" s="20"/>
      <x:c r="L878" s="20"/>
      <x:c r="M878" s="20"/>
      <x:c r="N878" s="20"/>
      <x:c r="O878" s="31"/>
      <x:c r="P878" s="20"/>
      <x:c r="Q878" s="20"/>
      <x:c r="R878" s="20" t="str">
        <x:v>待展开</x:v>
      </x:c>
      <x:c r="S878" s="20"/>
      <x:c r="T878" s="31"/>
      <x:c r="U878" s="30" t="str">
        <x:f>IF(A878="","缺记录编号",IF(COUNTIFS(PathRecords[记录编号],A878)&lt;&gt;1,"记录编号重复",IF(OR(B878="",E878=""),"缺组合/功能",IF(COUNTIFS(Equipment[组合编号],B878)&lt;&gt;1,"组合编号无效",IF(COUNTIFS(FunctionMatrix[编号],E878)=0,"功能编号无效",IF(H878="不适用",IF(J878="已实测","适用性冲突",IF(I878="","待补不适用依据","不适用（非实测）")),IF(J878="阻塞",IF(I878="","待补阻塞原因","阻塞（非实测）"),IF(J878&lt;&gt;"已实测",IF(F878="","待展开路径","未实测"),IF(H878&lt;&gt;"适用","待确认适用性",IF(INDEX(Equipment[登记状态（自动）],MATCH(B878,Equipment[组合编号],0))&lt;&gt;"已登记","待补设备组合",IF(AND(F878&lt;&gt;"",G878&lt;&gt;"",K878&lt;&gt;"",L878&lt;&gt;"",M878&lt;&gt;"",N878&lt;&gt;"",ISNUMBER(O878),O878&gt;0,P878&lt;&gt;""),"记录齐全","待补实测记录")))))))))))</x:f>
        <x:v>待展开路径</x:v>
      </x:c>
    </x:row>
    <x:row r="879" ht="43.5" customHeight="1">
      <x:c r="A879" s="20" t="str">
        <x:v>REC-00870</x:v>
      </x:c>
      <x:c r="B879" s="20" t="str">
        <x:v>P2-B4-01</x:v>
      </x:c>
      <x:c r="C879" s="30" t="str">
        <x:f>IF(B879="","",IF(COUNTIFS(Equipment[组合编号],B879)&lt;&gt;1,"组合编号无效",INDEX(Equipment[PLC组],MATCH(B879,Equipment[组合编号],0))))</x:f>
        <x:v>汇川中大型</x:v>
      </x:c>
      <x:c r="D879" s="30" t="str">
        <x:f>IF(B879="","",IF(COUNTIFS(Equipment[组合编号],B879)&lt;&gt;1,"组合编号无效",INDEX(Equipment[驱动品牌],MATCH(B879,Equipment[组合编号],0))))</x:f>
        <x:v>Elmo</x:v>
      </x:c>
      <x:c r="E879" s="20" t="str">
        <x:v>S04</x:v>
      </x:c>
      <x:c r="F879" s="20"/>
      <x:c r="G879" s="20"/>
      <x:c r="H879" s="20" t="str">
        <x:v>待判定</x:v>
      </x:c>
      <x:c r="I879" s="20"/>
      <x:c r="J879" s="20" t="str">
        <x:v>未测试</x:v>
      </x:c>
      <x:c r="K879" s="20"/>
      <x:c r="L879" s="20"/>
      <x:c r="M879" s="20"/>
      <x:c r="N879" s="20"/>
      <x:c r="O879" s="31"/>
      <x:c r="P879" s="20"/>
      <x:c r="Q879" s="20"/>
      <x:c r="R879" s="20" t="str">
        <x:v>待展开</x:v>
      </x:c>
      <x:c r="S879" s="20"/>
      <x:c r="T879" s="31"/>
      <x:c r="U879" s="30" t="str">
        <x:f>IF(A879="","缺记录编号",IF(COUNTIFS(PathRecords[记录编号],A879)&lt;&gt;1,"记录编号重复",IF(OR(B879="",E879=""),"缺组合/功能",IF(COUNTIFS(Equipment[组合编号],B879)&lt;&gt;1,"组合编号无效",IF(COUNTIFS(FunctionMatrix[编号],E879)=0,"功能编号无效",IF(H879="不适用",IF(J879="已实测","适用性冲突",IF(I879="","待补不适用依据","不适用（非实测）")),IF(J879="阻塞",IF(I879="","待补阻塞原因","阻塞（非实测）"),IF(J879&lt;&gt;"已实测",IF(F879="","待展开路径","未实测"),IF(H879&lt;&gt;"适用","待确认适用性",IF(INDEX(Equipment[登记状态（自动）],MATCH(B879,Equipment[组合编号],0))&lt;&gt;"已登记","待补设备组合",IF(AND(F879&lt;&gt;"",G879&lt;&gt;"",K879&lt;&gt;"",L879&lt;&gt;"",M879&lt;&gt;"",N879&lt;&gt;"",ISNUMBER(O879),O879&gt;0,P879&lt;&gt;""),"记录齐全","待补实测记录")))))))))))</x:f>
        <x:v>待展开路径</x:v>
      </x:c>
    </x:row>
    <x:row r="880" ht="43.5" customHeight="1">
      <x:c r="A880" s="20" t="str">
        <x:v>REC-00871</x:v>
      </x:c>
      <x:c r="B880" s="20" t="str">
        <x:v>P2-B4-01</x:v>
      </x:c>
      <x:c r="C880" s="30" t="str">
        <x:f>IF(B880="","",IF(COUNTIFS(Equipment[组合编号],B880)&lt;&gt;1,"组合编号无效",INDEX(Equipment[PLC组],MATCH(B880,Equipment[组合编号],0))))</x:f>
        <x:v>汇川中大型</x:v>
      </x:c>
      <x:c r="D880" s="30" t="str">
        <x:f>IF(B880="","",IF(COUNTIFS(Equipment[组合编号],B880)&lt;&gt;1,"组合编号无效",INDEX(Equipment[驱动品牌],MATCH(B880,Equipment[组合编号],0))))</x:f>
        <x:v>Elmo</x:v>
      </x:c>
      <x:c r="E880" s="20" t="str">
        <x:v>S05</x:v>
      </x:c>
      <x:c r="F880" s="20"/>
      <x:c r="G880" s="20"/>
      <x:c r="H880" s="20" t="str">
        <x:v>待判定</x:v>
      </x:c>
      <x:c r="I880" s="20"/>
      <x:c r="J880" s="20" t="str">
        <x:v>未测试</x:v>
      </x:c>
      <x:c r="K880" s="20"/>
      <x:c r="L880" s="20"/>
      <x:c r="M880" s="20"/>
      <x:c r="N880" s="20"/>
      <x:c r="O880" s="31"/>
      <x:c r="P880" s="20"/>
      <x:c r="Q880" s="20"/>
      <x:c r="R880" s="20" t="str">
        <x:v>待展开</x:v>
      </x:c>
      <x:c r="S880" s="20"/>
      <x:c r="T880" s="31"/>
      <x:c r="U880" s="30" t="str">
        <x:f>IF(A880="","缺记录编号",IF(COUNTIFS(PathRecords[记录编号],A880)&lt;&gt;1,"记录编号重复",IF(OR(B880="",E880=""),"缺组合/功能",IF(COUNTIFS(Equipment[组合编号],B880)&lt;&gt;1,"组合编号无效",IF(COUNTIFS(FunctionMatrix[编号],E880)=0,"功能编号无效",IF(H880="不适用",IF(J880="已实测","适用性冲突",IF(I880="","待补不适用依据","不适用（非实测）")),IF(J880="阻塞",IF(I880="","待补阻塞原因","阻塞（非实测）"),IF(J880&lt;&gt;"已实测",IF(F880="","待展开路径","未实测"),IF(H880&lt;&gt;"适用","待确认适用性",IF(INDEX(Equipment[登记状态（自动）],MATCH(B880,Equipment[组合编号],0))&lt;&gt;"已登记","待补设备组合",IF(AND(F880&lt;&gt;"",G880&lt;&gt;"",K880&lt;&gt;"",L880&lt;&gt;"",M880&lt;&gt;"",N880&lt;&gt;"",ISNUMBER(O880),O880&gt;0,P880&lt;&gt;""),"记录齐全","待补实测记录")))))))))))</x:f>
        <x:v>待展开路径</x:v>
      </x:c>
    </x:row>
    <x:row r="881" ht="43.5" customHeight="1">
      <x:c r="A881" s="20" t="str">
        <x:v>REC-00872</x:v>
      </x:c>
      <x:c r="B881" s="20" t="str">
        <x:v>P2-B4-01</x:v>
      </x:c>
      <x:c r="C881" s="30" t="str">
        <x:f>IF(B881="","",IF(COUNTIFS(Equipment[组合编号],B881)&lt;&gt;1,"组合编号无效",INDEX(Equipment[PLC组],MATCH(B881,Equipment[组合编号],0))))</x:f>
        <x:v>汇川中大型</x:v>
      </x:c>
      <x:c r="D881" s="30" t="str">
        <x:f>IF(B881="","",IF(COUNTIFS(Equipment[组合编号],B881)&lt;&gt;1,"组合编号无效",INDEX(Equipment[驱动品牌],MATCH(B881,Equipment[组合编号],0))))</x:f>
        <x:v>Elmo</x:v>
      </x:c>
      <x:c r="E881" s="20" t="str">
        <x:v>S06</x:v>
      </x:c>
      <x:c r="F881" s="20"/>
      <x:c r="G881" s="20"/>
      <x:c r="H881" s="20" t="str">
        <x:v>待判定</x:v>
      </x:c>
      <x:c r="I881" s="20"/>
      <x:c r="J881" s="20" t="str">
        <x:v>未测试</x:v>
      </x:c>
      <x:c r="K881" s="20"/>
      <x:c r="L881" s="20"/>
      <x:c r="M881" s="20"/>
      <x:c r="N881" s="20"/>
      <x:c r="O881" s="31"/>
      <x:c r="P881" s="20"/>
      <x:c r="Q881" s="20"/>
      <x:c r="R881" s="20" t="str">
        <x:v>待展开</x:v>
      </x:c>
      <x:c r="S881" s="20"/>
      <x:c r="T881" s="31"/>
      <x:c r="U881" s="30" t="str">
        <x:f>IF(A881="","缺记录编号",IF(COUNTIFS(PathRecords[记录编号],A881)&lt;&gt;1,"记录编号重复",IF(OR(B881="",E881=""),"缺组合/功能",IF(COUNTIFS(Equipment[组合编号],B881)&lt;&gt;1,"组合编号无效",IF(COUNTIFS(FunctionMatrix[编号],E881)=0,"功能编号无效",IF(H881="不适用",IF(J881="已实测","适用性冲突",IF(I881="","待补不适用依据","不适用（非实测）")),IF(J881="阻塞",IF(I881="","待补阻塞原因","阻塞（非实测）"),IF(J881&lt;&gt;"已实测",IF(F881="","待展开路径","未实测"),IF(H881&lt;&gt;"适用","待确认适用性",IF(INDEX(Equipment[登记状态（自动）],MATCH(B881,Equipment[组合编号],0))&lt;&gt;"已登记","待补设备组合",IF(AND(F881&lt;&gt;"",G881&lt;&gt;"",K881&lt;&gt;"",L881&lt;&gt;"",M881&lt;&gt;"",N881&lt;&gt;"",ISNUMBER(O881),O881&gt;0,P881&lt;&gt;""),"记录齐全","待补实测记录")))))))))))</x:f>
        <x:v>待展开路径</x:v>
      </x:c>
    </x:row>
    <x:row r="882" ht="43.5" customHeight="1">
      <x:c r="A882" s="20" t="str">
        <x:v>REC-00873</x:v>
      </x:c>
      <x:c r="B882" s="20" t="str">
        <x:v>P2-B4-01</x:v>
      </x:c>
      <x:c r="C882" s="30" t="str">
        <x:f>IF(B882="","",IF(COUNTIFS(Equipment[组合编号],B882)&lt;&gt;1,"组合编号无效",INDEX(Equipment[PLC组],MATCH(B882,Equipment[组合编号],0))))</x:f>
        <x:v>汇川中大型</x:v>
      </x:c>
      <x:c r="D882" s="30" t="str">
        <x:f>IF(B882="","",IF(COUNTIFS(Equipment[组合编号],B882)&lt;&gt;1,"组合编号无效",INDEX(Equipment[驱动品牌],MATCH(B882,Equipment[组合编号],0))))</x:f>
        <x:v>Elmo</x:v>
      </x:c>
      <x:c r="E882" s="20" t="str">
        <x:v>S07</x:v>
      </x:c>
      <x:c r="F882" s="20"/>
      <x:c r="G882" s="20"/>
      <x:c r="H882" s="20" t="str">
        <x:v>待判定</x:v>
      </x:c>
      <x:c r="I882" s="20"/>
      <x:c r="J882" s="20" t="str">
        <x:v>未测试</x:v>
      </x:c>
      <x:c r="K882" s="20"/>
      <x:c r="L882" s="20"/>
      <x:c r="M882" s="20"/>
      <x:c r="N882" s="20"/>
      <x:c r="O882" s="31"/>
      <x:c r="P882" s="20"/>
      <x:c r="Q882" s="20"/>
      <x:c r="R882" s="20" t="str">
        <x:v>待展开</x:v>
      </x:c>
      <x:c r="S882" s="20"/>
      <x:c r="T882" s="31"/>
      <x:c r="U882" s="30" t="str">
        <x:f>IF(A882="","缺记录编号",IF(COUNTIFS(PathRecords[记录编号],A882)&lt;&gt;1,"记录编号重复",IF(OR(B882="",E882=""),"缺组合/功能",IF(COUNTIFS(Equipment[组合编号],B882)&lt;&gt;1,"组合编号无效",IF(COUNTIFS(FunctionMatrix[编号],E882)=0,"功能编号无效",IF(H882="不适用",IF(J882="已实测","适用性冲突",IF(I882="","待补不适用依据","不适用（非实测）")),IF(J882="阻塞",IF(I882="","待补阻塞原因","阻塞（非实测）"),IF(J882&lt;&gt;"已实测",IF(F882="","待展开路径","未实测"),IF(H882&lt;&gt;"适用","待确认适用性",IF(INDEX(Equipment[登记状态（自动）],MATCH(B882,Equipment[组合编号],0))&lt;&gt;"已登记","待补设备组合",IF(AND(F882&lt;&gt;"",G882&lt;&gt;"",K882&lt;&gt;"",L882&lt;&gt;"",M882&lt;&gt;"",N882&lt;&gt;"",ISNUMBER(O882),O882&gt;0,P882&lt;&gt;""),"记录齐全","待补实测记录")))))))))))</x:f>
        <x:v>待展开路径</x:v>
      </x:c>
    </x:row>
    <x:row r="883" ht="43.5" customHeight="1">
      <x:c r="A883" s="20" t="str">
        <x:v>REC-00874</x:v>
      </x:c>
      <x:c r="B883" s="20" t="str">
        <x:v>P2-B4-01</x:v>
      </x:c>
      <x:c r="C883" s="30" t="str">
        <x:f>IF(B883="","",IF(COUNTIFS(Equipment[组合编号],B883)&lt;&gt;1,"组合编号无效",INDEX(Equipment[PLC组],MATCH(B883,Equipment[组合编号],0))))</x:f>
        <x:v>汇川中大型</x:v>
      </x:c>
      <x:c r="D883" s="30" t="str">
        <x:f>IF(B883="","",IF(COUNTIFS(Equipment[组合编号],B883)&lt;&gt;1,"组合编号无效",INDEX(Equipment[驱动品牌],MATCH(B883,Equipment[组合编号],0))))</x:f>
        <x:v>Elmo</x:v>
      </x:c>
      <x:c r="E883" s="20" t="str">
        <x:v>S08</x:v>
      </x:c>
      <x:c r="F883" s="20"/>
      <x:c r="G883" s="20"/>
      <x:c r="H883" s="20" t="str">
        <x:v>待判定</x:v>
      </x:c>
      <x:c r="I883" s="20"/>
      <x:c r="J883" s="20" t="str">
        <x:v>未测试</x:v>
      </x:c>
      <x:c r="K883" s="20"/>
      <x:c r="L883" s="20"/>
      <x:c r="M883" s="20"/>
      <x:c r="N883" s="20"/>
      <x:c r="O883" s="31"/>
      <x:c r="P883" s="20"/>
      <x:c r="Q883" s="20"/>
      <x:c r="R883" s="20" t="str">
        <x:v>待展开</x:v>
      </x:c>
      <x:c r="S883" s="20"/>
      <x:c r="T883" s="31"/>
      <x:c r="U883" s="30" t="str">
        <x:f>IF(A883="","缺记录编号",IF(COUNTIFS(PathRecords[记录编号],A883)&lt;&gt;1,"记录编号重复",IF(OR(B883="",E883=""),"缺组合/功能",IF(COUNTIFS(Equipment[组合编号],B883)&lt;&gt;1,"组合编号无效",IF(COUNTIFS(FunctionMatrix[编号],E883)=0,"功能编号无效",IF(H883="不适用",IF(J883="已实测","适用性冲突",IF(I883="","待补不适用依据","不适用（非实测）")),IF(J883="阻塞",IF(I883="","待补阻塞原因","阻塞（非实测）"),IF(J883&lt;&gt;"已实测",IF(F883="","待展开路径","未实测"),IF(H883&lt;&gt;"适用","待确认适用性",IF(INDEX(Equipment[登记状态（自动）],MATCH(B883,Equipment[组合编号],0))&lt;&gt;"已登记","待补设备组合",IF(AND(F883&lt;&gt;"",G883&lt;&gt;"",K883&lt;&gt;"",L883&lt;&gt;"",M883&lt;&gt;"",N883&lt;&gt;"",ISNUMBER(O883),O883&gt;0,P883&lt;&gt;""),"记录齐全","待补实测记录")))))))))))</x:f>
        <x:v>待展开路径</x:v>
      </x:c>
    </x:row>
    <x:row r="884" ht="43.5" customHeight="1">
      <x:c r="A884" s="20" t="str">
        <x:v>REC-00875</x:v>
      </x:c>
      <x:c r="B884" s="20" t="str">
        <x:v>P2-B4-01</x:v>
      </x:c>
      <x:c r="C884" s="30" t="str">
        <x:f>IF(B884="","",IF(COUNTIFS(Equipment[组合编号],B884)&lt;&gt;1,"组合编号无效",INDEX(Equipment[PLC组],MATCH(B884,Equipment[组合编号],0))))</x:f>
        <x:v>汇川中大型</x:v>
      </x:c>
      <x:c r="D884" s="30" t="str">
        <x:f>IF(B884="","",IF(COUNTIFS(Equipment[组合编号],B884)&lt;&gt;1,"组合编号无效",INDEX(Equipment[驱动品牌],MATCH(B884,Equipment[组合编号],0))))</x:f>
        <x:v>Elmo</x:v>
      </x:c>
      <x:c r="E884" s="20" t="str">
        <x:v>S09</x:v>
      </x:c>
      <x:c r="F884" s="20"/>
      <x:c r="G884" s="20"/>
      <x:c r="H884" s="20" t="str">
        <x:v>待判定</x:v>
      </x:c>
      <x:c r="I884" s="20"/>
      <x:c r="J884" s="20" t="str">
        <x:v>未测试</x:v>
      </x:c>
      <x:c r="K884" s="20"/>
      <x:c r="L884" s="20"/>
      <x:c r="M884" s="20"/>
      <x:c r="N884" s="20"/>
      <x:c r="O884" s="31"/>
      <x:c r="P884" s="20"/>
      <x:c r="Q884" s="20"/>
      <x:c r="R884" s="20" t="str">
        <x:v>待展开</x:v>
      </x:c>
      <x:c r="S884" s="20"/>
      <x:c r="T884" s="31"/>
      <x:c r="U884" s="30" t="str">
        <x:f>IF(A884="","缺记录编号",IF(COUNTIFS(PathRecords[记录编号],A884)&lt;&gt;1,"记录编号重复",IF(OR(B884="",E884=""),"缺组合/功能",IF(COUNTIFS(Equipment[组合编号],B884)&lt;&gt;1,"组合编号无效",IF(COUNTIFS(FunctionMatrix[编号],E884)=0,"功能编号无效",IF(H884="不适用",IF(J884="已实测","适用性冲突",IF(I884="","待补不适用依据","不适用（非实测）")),IF(J884="阻塞",IF(I884="","待补阻塞原因","阻塞（非实测）"),IF(J884&lt;&gt;"已实测",IF(F884="","待展开路径","未实测"),IF(H884&lt;&gt;"适用","待确认适用性",IF(INDEX(Equipment[登记状态（自动）],MATCH(B884,Equipment[组合编号],0))&lt;&gt;"已登记","待补设备组合",IF(AND(F884&lt;&gt;"",G884&lt;&gt;"",K884&lt;&gt;"",L884&lt;&gt;"",M884&lt;&gt;"",N884&lt;&gt;"",ISNUMBER(O884),O884&gt;0,P884&lt;&gt;""),"记录齐全","待补实测记录")))))))))))</x:f>
        <x:v>待展开路径</x:v>
      </x:c>
    </x:row>
    <x:row r="885" ht="43.5" customHeight="1">
      <x:c r="A885" s="20" t="str">
        <x:v>REC-00876</x:v>
      </x:c>
      <x:c r="B885" s="20" t="str">
        <x:v>P2-B4-01</x:v>
      </x:c>
      <x:c r="C885" s="30" t="str">
        <x:f>IF(B885="","",IF(COUNTIFS(Equipment[组合编号],B885)&lt;&gt;1,"组合编号无效",INDEX(Equipment[PLC组],MATCH(B885,Equipment[组合编号],0))))</x:f>
        <x:v>汇川中大型</x:v>
      </x:c>
      <x:c r="D885" s="30" t="str">
        <x:f>IF(B885="","",IF(COUNTIFS(Equipment[组合编号],B885)&lt;&gt;1,"组合编号无效",INDEX(Equipment[驱动品牌],MATCH(B885,Equipment[组合编号],0))))</x:f>
        <x:v>Elmo</x:v>
      </x:c>
      <x:c r="E885" s="20" t="str">
        <x:v>U01</x:v>
      </x:c>
      <x:c r="F885" s="20"/>
      <x:c r="G885" s="20"/>
      <x:c r="H885" s="20" t="str">
        <x:v>待判定</x:v>
      </x:c>
      <x:c r="I885" s="20"/>
      <x:c r="J885" s="20" t="str">
        <x:v>未测试</x:v>
      </x:c>
      <x:c r="K885" s="20"/>
      <x:c r="L885" s="20"/>
      <x:c r="M885" s="20"/>
      <x:c r="N885" s="20"/>
      <x:c r="O885" s="31"/>
      <x:c r="P885" s="20"/>
      <x:c r="Q885" s="20"/>
      <x:c r="R885" s="20" t="str">
        <x:v>待展开</x:v>
      </x:c>
      <x:c r="S885" s="20"/>
      <x:c r="T885" s="31"/>
      <x:c r="U885" s="30" t="str">
        <x:f>IF(A885="","缺记录编号",IF(COUNTIFS(PathRecords[记录编号],A885)&lt;&gt;1,"记录编号重复",IF(OR(B885="",E885=""),"缺组合/功能",IF(COUNTIFS(Equipment[组合编号],B885)&lt;&gt;1,"组合编号无效",IF(COUNTIFS(FunctionMatrix[编号],E885)=0,"功能编号无效",IF(H885="不适用",IF(J885="已实测","适用性冲突",IF(I885="","待补不适用依据","不适用（非实测）")),IF(J885="阻塞",IF(I885="","待补阻塞原因","阻塞（非实测）"),IF(J885&lt;&gt;"已实测",IF(F885="","待展开路径","未实测"),IF(H885&lt;&gt;"适用","待确认适用性",IF(INDEX(Equipment[登记状态（自动）],MATCH(B885,Equipment[组合编号],0))&lt;&gt;"已登记","待补设备组合",IF(AND(F885&lt;&gt;"",G885&lt;&gt;"",K885&lt;&gt;"",L885&lt;&gt;"",M885&lt;&gt;"",N885&lt;&gt;"",ISNUMBER(O885),O885&gt;0,P885&lt;&gt;""),"记录齐全","待补实测记录")))))))))))</x:f>
        <x:v>待展开路径</x:v>
      </x:c>
    </x:row>
    <x:row r="886" ht="43.5" customHeight="1">
      <x:c r="A886" s="20" t="str">
        <x:v>REC-00877</x:v>
      </x:c>
      <x:c r="B886" s="20" t="str">
        <x:v>P2-B4-01</x:v>
      </x:c>
      <x:c r="C886" s="30" t="str">
        <x:f>IF(B886="","",IF(COUNTIFS(Equipment[组合编号],B886)&lt;&gt;1,"组合编号无效",INDEX(Equipment[PLC组],MATCH(B886,Equipment[组合编号],0))))</x:f>
        <x:v>汇川中大型</x:v>
      </x:c>
      <x:c r="D886" s="30" t="str">
        <x:f>IF(B886="","",IF(COUNTIFS(Equipment[组合编号],B886)&lt;&gt;1,"组合编号无效",INDEX(Equipment[驱动品牌],MATCH(B886,Equipment[组合编号],0))))</x:f>
        <x:v>Elmo</x:v>
      </x:c>
      <x:c r="E886" s="20" t="str">
        <x:v>U02</x:v>
      </x:c>
      <x:c r="F886" s="20"/>
      <x:c r="G886" s="20"/>
      <x:c r="H886" s="20" t="str">
        <x:v>待判定</x:v>
      </x:c>
      <x:c r="I886" s="20"/>
      <x:c r="J886" s="20" t="str">
        <x:v>未测试</x:v>
      </x:c>
      <x:c r="K886" s="20"/>
      <x:c r="L886" s="20"/>
      <x:c r="M886" s="20"/>
      <x:c r="N886" s="20"/>
      <x:c r="O886" s="31"/>
      <x:c r="P886" s="20"/>
      <x:c r="Q886" s="20"/>
      <x:c r="R886" s="20" t="str">
        <x:v>待展开</x:v>
      </x:c>
      <x:c r="S886" s="20"/>
      <x:c r="T886" s="31"/>
      <x:c r="U886" s="30" t="str">
        <x:f>IF(A886="","缺记录编号",IF(COUNTIFS(PathRecords[记录编号],A886)&lt;&gt;1,"记录编号重复",IF(OR(B886="",E886=""),"缺组合/功能",IF(COUNTIFS(Equipment[组合编号],B886)&lt;&gt;1,"组合编号无效",IF(COUNTIFS(FunctionMatrix[编号],E886)=0,"功能编号无效",IF(H886="不适用",IF(J886="已实测","适用性冲突",IF(I886="","待补不适用依据","不适用（非实测）")),IF(J886="阻塞",IF(I886="","待补阻塞原因","阻塞（非实测）"),IF(J886&lt;&gt;"已实测",IF(F886="","待展开路径","未实测"),IF(H886&lt;&gt;"适用","待确认适用性",IF(INDEX(Equipment[登记状态（自动）],MATCH(B886,Equipment[组合编号],0))&lt;&gt;"已登记","待补设备组合",IF(AND(F886&lt;&gt;"",G886&lt;&gt;"",K886&lt;&gt;"",L886&lt;&gt;"",M886&lt;&gt;"",N886&lt;&gt;"",ISNUMBER(O886),O886&gt;0,P886&lt;&gt;""),"记录齐全","待补实测记录")))))))))))</x:f>
        <x:v>待展开路径</x:v>
      </x:c>
    </x:row>
    <x:row r="887" ht="43.5" customHeight="1">
      <x:c r="A887" s="20" t="str">
        <x:v>REC-00878</x:v>
      </x:c>
      <x:c r="B887" s="20" t="str">
        <x:v>P2-B4-01</x:v>
      </x:c>
      <x:c r="C887" s="30" t="str">
        <x:f>IF(B887="","",IF(COUNTIFS(Equipment[组合编号],B887)&lt;&gt;1,"组合编号无效",INDEX(Equipment[PLC组],MATCH(B887,Equipment[组合编号],0))))</x:f>
        <x:v>汇川中大型</x:v>
      </x:c>
      <x:c r="D887" s="30" t="str">
        <x:f>IF(B887="","",IF(COUNTIFS(Equipment[组合编号],B887)&lt;&gt;1,"组合编号无效",INDEX(Equipment[驱动品牌],MATCH(B887,Equipment[组合编号],0))))</x:f>
        <x:v>Elmo</x:v>
      </x:c>
      <x:c r="E887" s="20" t="str">
        <x:v>U03</x:v>
      </x:c>
      <x:c r="F887" s="20"/>
      <x:c r="G887" s="20"/>
      <x:c r="H887" s="20" t="str">
        <x:v>待判定</x:v>
      </x:c>
      <x:c r="I887" s="20"/>
      <x:c r="J887" s="20" t="str">
        <x:v>未测试</x:v>
      </x:c>
      <x:c r="K887" s="20"/>
      <x:c r="L887" s="20"/>
      <x:c r="M887" s="20"/>
      <x:c r="N887" s="20"/>
      <x:c r="O887" s="31"/>
      <x:c r="P887" s="20"/>
      <x:c r="Q887" s="20"/>
      <x:c r="R887" s="20" t="str">
        <x:v>待展开</x:v>
      </x:c>
      <x:c r="S887" s="20"/>
      <x:c r="T887" s="31"/>
      <x:c r="U887" s="30" t="str">
        <x:f>IF(A887="","缺记录编号",IF(COUNTIFS(PathRecords[记录编号],A887)&lt;&gt;1,"记录编号重复",IF(OR(B887="",E887=""),"缺组合/功能",IF(COUNTIFS(Equipment[组合编号],B887)&lt;&gt;1,"组合编号无效",IF(COUNTIFS(FunctionMatrix[编号],E887)=0,"功能编号无效",IF(H887="不适用",IF(J887="已实测","适用性冲突",IF(I887="","待补不适用依据","不适用（非实测）")),IF(J887="阻塞",IF(I887="","待补阻塞原因","阻塞（非实测）"),IF(J887&lt;&gt;"已实测",IF(F887="","待展开路径","未实测"),IF(H887&lt;&gt;"适用","待确认适用性",IF(INDEX(Equipment[登记状态（自动）],MATCH(B887,Equipment[组合编号],0))&lt;&gt;"已登记","待补设备组合",IF(AND(F887&lt;&gt;"",G887&lt;&gt;"",K887&lt;&gt;"",L887&lt;&gt;"",M887&lt;&gt;"",N887&lt;&gt;"",ISNUMBER(O887),O887&gt;0,P887&lt;&gt;""),"记录齐全","待补实测记录")))))))))))</x:f>
        <x:v>待展开路径</x:v>
      </x:c>
    </x:row>
    <x:row r="888" ht="43.5" customHeight="1">
      <x:c r="A888" s="20" t="str">
        <x:v>REC-00879</x:v>
      </x:c>
      <x:c r="B888" s="20" t="str">
        <x:v>P2-B4-01</x:v>
      </x:c>
      <x:c r="C888" s="30" t="str">
        <x:f>IF(B888="","",IF(COUNTIFS(Equipment[组合编号],B888)&lt;&gt;1,"组合编号无效",INDEX(Equipment[PLC组],MATCH(B888,Equipment[组合编号],0))))</x:f>
        <x:v>汇川中大型</x:v>
      </x:c>
      <x:c r="D888" s="30" t="str">
        <x:f>IF(B888="","",IF(COUNTIFS(Equipment[组合编号],B888)&lt;&gt;1,"组合编号无效",INDEX(Equipment[驱动品牌],MATCH(B888,Equipment[组合编号],0))))</x:f>
        <x:v>Elmo</x:v>
      </x:c>
      <x:c r="E888" s="20" t="str">
        <x:v>U04</x:v>
      </x:c>
      <x:c r="F888" s="20"/>
      <x:c r="G888" s="20"/>
      <x:c r="H888" s="20" t="str">
        <x:v>待判定</x:v>
      </x:c>
      <x:c r="I888" s="20"/>
      <x:c r="J888" s="20" t="str">
        <x:v>未测试</x:v>
      </x:c>
      <x:c r="K888" s="20"/>
      <x:c r="L888" s="20"/>
      <x:c r="M888" s="20"/>
      <x:c r="N888" s="20"/>
      <x:c r="O888" s="31"/>
      <x:c r="P888" s="20"/>
      <x:c r="Q888" s="20"/>
      <x:c r="R888" s="20" t="str">
        <x:v>待展开</x:v>
      </x:c>
      <x:c r="S888" s="20"/>
      <x:c r="T888" s="31"/>
      <x:c r="U888" s="30" t="str">
        <x:f>IF(A888="","缺记录编号",IF(COUNTIFS(PathRecords[记录编号],A888)&lt;&gt;1,"记录编号重复",IF(OR(B888="",E888=""),"缺组合/功能",IF(COUNTIFS(Equipment[组合编号],B888)&lt;&gt;1,"组合编号无效",IF(COUNTIFS(FunctionMatrix[编号],E888)=0,"功能编号无效",IF(H888="不适用",IF(J888="已实测","适用性冲突",IF(I888="","待补不适用依据","不适用（非实测）")),IF(J888="阻塞",IF(I888="","待补阻塞原因","阻塞（非实测）"),IF(J888&lt;&gt;"已实测",IF(F888="","待展开路径","未实测"),IF(H888&lt;&gt;"适用","待确认适用性",IF(INDEX(Equipment[登记状态（自动）],MATCH(B888,Equipment[组合编号],0))&lt;&gt;"已登记","待补设备组合",IF(AND(F888&lt;&gt;"",G888&lt;&gt;"",K888&lt;&gt;"",L888&lt;&gt;"",M888&lt;&gt;"",N888&lt;&gt;"",ISNUMBER(O888),O888&gt;0,P888&lt;&gt;""),"记录齐全","待补实测记录")))))))))))</x:f>
        <x:v>待展开路径</x:v>
      </x:c>
    </x:row>
    <x:row r="889" ht="43.5" customHeight="1">
      <x:c r="A889" s="20" t="str">
        <x:v>REC-00880</x:v>
      </x:c>
      <x:c r="B889" s="20" t="str">
        <x:v>P2-B4-01</x:v>
      </x:c>
      <x:c r="C889" s="30" t="str">
        <x:f>IF(B889="","",IF(COUNTIFS(Equipment[组合编号],B889)&lt;&gt;1,"组合编号无效",INDEX(Equipment[PLC组],MATCH(B889,Equipment[组合编号],0))))</x:f>
        <x:v>汇川中大型</x:v>
      </x:c>
      <x:c r="D889" s="30" t="str">
        <x:f>IF(B889="","",IF(COUNTIFS(Equipment[组合编号],B889)&lt;&gt;1,"组合编号无效",INDEX(Equipment[驱动品牌],MATCH(B889,Equipment[组合编号],0))))</x:f>
        <x:v>Elmo</x:v>
      </x:c>
      <x:c r="E889" s="20" t="str">
        <x:v>U05</x:v>
      </x:c>
      <x:c r="F889" s="20"/>
      <x:c r="G889" s="20"/>
      <x:c r="H889" s="20" t="str">
        <x:v>待判定</x:v>
      </x:c>
      <x:c r="I889" s="20"/>
      <x:c r="J889" s="20" t="str">
        <x:v>未测试</x:v>
      </x:c>
      <x:c r="K889" s="20"/>
      <x:c r="L889" s="20"/>
      <x:c r="M889" s="20"/>
      <x:c r="N889" s="20"/>
      <x:c r="O889" s="31"/>
      <x:c r="P889" s="20"/>
      <x:c r="Q889" s="20"/>
      <x:c r="R889" s="20" t="str">
        <x:v>待展开</x:v>
      </x:c>
      <x:c r="S889" s="20"/>
      <x:c r="T889" s="31"/>
      <x:c r="U889" s="30" t="str">
        <x:f>IF(A889="","缺记录编号",IF(COUNTIFS(PathRecords[记录编号],A889)&lt;&gt;1,"记录编号重复",IF(OR(B889="",E889=""),"缺组合/功能",IF(COUNTIFS(Equipment[组合编号],B889)&lt;&gt;1,"组合编号无效",IF(COUNTIFS(FunctionMatrix[编号],E889)=0,"功能编号无效",IF(H889="不适用",IF(J889="已实测","适用性冲突",IF(I889="","待补不适用依据","不适用（非实测）")),IF(J889="阻塞",IF(I889="","待补阻塞原因","阻塞（非实测）"),IF(J889&lt;&gt;"已实测",IF(F889="","待展开路径","未实测"),IF(H889&lt;&gt;"适用","待确认适用性",IF(INDEX(Equipment[登记状态（自动）],MATCH(B889,Equipment[组合编号],0))&lt;&gt;"已登记","待补设备组合",IF(AND(F889&lt;&gt;"",G889&lt;&gt;"",K889&lt;&gt;"",L889&lt;&gt;"",M889&lt;&gt;"",N889&lt;&gt;"",ISNUMBER(O889),O889&gt;0,P889&lt;&gt;""),"记录齐全","待补实测记录")))))))))))</x:f>
        <x:v>待展开路径</x:v>
      </x:c>
    </x:row>
    <x:row r="890" ht="43.5" customHeight="1">
      <x:c r="A890" s="20" t="str">
        <x:v>REC-00881</x:v>
      </x:c>
      <x:c r="B890" s="20" t="str">
        <x:v>P2-B4-01</x:v>
      </x:c>
      <x:c r="C890" s="30" t="str">
        <x:f>IF(B890="","",IF(COUNTIFS(Equipment[组合编号],B890)&lt;&gt;1,"组合编号无效",INDEX(Equipment[PLC组],MATCH(B890,Equipment[组合编号],0))))</x:f>
        <x:v>汇川中大型</x:v>
      </x:c>
      <x:c r="D890" s="30" t="str">
        <x:f>IF(B890="","",IF(COUNTIFS(Equipment[组合编号],B890)&lt;&gt;1,"组合编号无效",INDEX(Equipment[驱动品牌],MATCH(B890,Equipment[组合编号],0))))</x:f>
        <x:v>Elmo</x:v>
      </x:c>
      <x:c r="E890" s="20" t="str">
        <x:v>U06</x:v>
      </x:c>
      <x:c r="F890" s="20"/>
      <x:c r="G890" s="20"/>
      <x:c r="H890" s="20" t="str">
        <x:v>待判定</x:v>
      </x:c>
      <x:c r="I890" s="20"/>
      <x:c r="J890" s="20" t="str">
        <x:v>未测试</x:v>
      </x:c>
      <x:c r="K890" s="20"/>
      <x:c r="L890" s="20"/>
      <x:c r="M890" s="20"/>
      <x:c r="N890" s="20"/>
      <x:c r="O890" s="31"/>
      <x:c r="P890" s="20"/>
      <x:c r="Q890" s="20"/>
      <x:c r="R890" s="20" t="str">
        <x:v>待展开</x:v>
      </x:c>
      <x:c r="S890" s="20"/>
      <x:c r="T890" s="31"/>
      <x:c r="U890" s="30" t="str">
        <x:f>IF(A890="","缺记录编号",IF(COUNTIFS(PathRecords[记录编号],A890)&lt;&gt;1,"记录编号重复",IF(OR(B890="",E890=""),"缺组合/功能",IF(COUNTIFS(Equipment[组合编号],B890)&lt;&gt;1,"组合编号无效",IF(COUNTIFS(FunctionMatrix[编号],E890)=0,"功能编号无效",IF(H890="不适用",IF(J890="已实测","适用性冲突",IF(I890="","待补不适用依据","不适用（非实测）")),IF(J890="阻塞",IF(I890="","待补阻塞原因","阻塞（非实测）"),IF(J890&lt;&gt;"已实测",IF(F890="","待展开路径","未实测"),IF(H890&lt;&gt;"适用","待确认适用性",IF(INDEX(Equipment[登记状态（自动）],MATCH(B890,Equipment[组合编号],0))&lt;&gt;"已登记","待补设备组合",IF(AND(F890&lt;&gt;"",G890&lt;&gt;"",K890&lt;&gt;"",L890&lt;&gt;"",M890&lt;&gt;"",N890&lt;&gt;"",ISNUMBER(O890),O890&gt;0,P890&lt;&gt;""),"记录齐全","待补实测记录")))))))))))</x:f>
        <x:v>待展开路径</x:v>
      </x:c>
    </x:row>
    <x:row r="891" ht="43.5" customHeight="1">
      <x:c r="A891" s="20" t="str">
        <x:v>REC-00882</x:v>
      </x:c>
      <x:c r="B891" s="20" t="str">
        <x:v>P2-B4-01</x:v>
      </x:c>
      <x:c r="C891" s="30" t="str">
        <x:f>IF(B891="","",IF(COUNTIFS(Equipment[组合编号],B891)&lt;&gt;1,"组合编号无效",INDEX(Equipment[PLC组],MATCH(B891,Equipment[组合编号],0))))</x:f>
        <x:v>汇川中大型</x:v>
      </x:c>
      <x:c r="D891" s="30" t="str">
        <x:f>IF(B891="","",IF(COUNTIFS(Equipment[组合编号],B891)&lt;&gt;1,"组合编号无效",INDEX(Equipment[驱动品牌],MATCH(B891,Equipment[组合编号],0))))</x:f>
        <x:v>Elmo</x:v>
      </x:c>
      <x:c r="E891" s="20" t="str">
        <x:v>U07</x:v>
      </x:c>
      <x:c r="F891" s="20"/>
      <x:c r="G891" s="20"/>
      <x:c r="H891" s="20" t="str">
        <x:v>待判定</x:v>
      </x:c>
      <x:c r="I891" s="20"/>
      <x:c r="J891" s="20" t="str">
        <x:v>未测试</x:v>
      </x:c>
      <x:c r="K891" s="20"/>
      <x:c r="L891" s="20"/>
      <x:c r="M891" s="20"/>
      <x:c r="N891" s="20"/>
      <x:c r="O891" s="31"/>
      <x:c r="P891" s="20"/>
      <x:c r="Q891" s="20"/>
      <x:c r="R891" s="20" t="str">
        <x:v>待展开</x:v>
      </x:c>
      <x:c r="S891" s="20"/>
      <x:c r="T891" s="31"/>
      <x:c r="U891" s="30" t="str">
        <x:f>IF(A891="","缺记录编号",IF(COUNTIFS(PathRecords[记录编号],A891)&lt;&gt;1,"记录编号重复",IF(OR(B891="",E891=""),"缺组合/功能",IF(COUNTIFS(Equipment[组合编号],B891)&lt;&gt;1,"组合编号无效",IF(COUNTIFS(FunctionMatrix[编号],E891)=0,"功能编号无效",IF(H891="不适用",IF(J891="已实测","适用性冲突",IF(I891="","待补不适用依据","不适用（非实测）")),IF(J891="阻塞",IF(I891="","待补阻塞原因","阻塞（非实测）"),IF(J891&lt;&gt;"已实测",IF(F891="","待展开路径","未实测"),IF(H891&lt;&gt;"适用","待确认适用性",IF(INDEX(Equipment[登记状态（自动）],MATCH(B891,Equipment[组合编号],0))&lt;&gt;"已登记","待补设备组合",IF(AND(F891&lt;&gt;"",G891&lt;&gt;"",K891&lt;&gt;"",L891&lt;&gt;"",M891&lt;&gt;"",N891&lt;&gt;"",ISNUMBER(O891),O891&gt;0,P891&lt;&gt;""),"记录齐全","待补实测记录")))))))))))</x:f>
        <x:v>待展开路径</x:v>
      </x:c>
    </x:row>
    <x:row r="892" ht="43.5" customHeight="1">
      <x:c r="A892" s="20" t="str">
        <x:v>REC-00883</x:v>
      </x:c>
      <x:c r="B892" s="20" t="str">
        <x:v>P2-B4-01</x:v>
      </x:c>
      <x:c r="C892" s="30" t="str">
        <x:f>IF(B892="","",IF(COUNTIFS(Equipment[组合编号],B892)&lt;&gt;1,"组合编号无效",INDEX(Equipment[PLC组],MATCH(B892,Equipment[组合编号],0))))</x:f>
        <x:v>汇川中大型</x:v>
      </x:c>
      <x:c r="D892" s="30" t="str">
        <x:f>IF(B892="","",IF(COUNTIFS(Equipment[组合编号],B892)&lt;&gt;1,"组合编号无效",INDEX(Equipment[驱动品牌],MATCH(B892,Equipment[组合编号],0))))</x:f>
        <x:v>Elmo</x:v>
      </x:c>
      <x:c r="E892" s="20" t="str">
        <x:v>U08</x:v>
      </x:c>
      <x:c r="F892" s="20"/>
      <x:c r="G892" s="20"/>
      <x:c r="H892" s="20" t="str">
        <x:v>待判定</x:v>
      </x:c>
      <x:c r="I892" s="20"/>
      <x:c r="J892" s="20" t="str">
        <x:v>未测试</x:v>
      </x:c>
      <x:c r="K892" s="20"/>
      <x:c r="L892" s="20"/>
      <x:c r="M892" s="20"/>
      <x:c r="N892" s="20"/>
      <x:c r="O892" s="31"/>
      <x:c r="P892" s="20"/>
      <x:c r="Q892" s="20"/>
      <x:c r="R892" s="20" t="str">
        <x:v>待展开</x:v>
      </x:c>
      <x:c r="S892" s="20"/>
      <x:c r="T892" s="31"/>
      <x:c r="U892" s="30" t="str">
        <x:f>IF(A892="","缺记录编号",IF(COUNTIFS(PathRecords[记录编号],A892)&lt;&gt;1,"记录编号重复",IF(OR(B892="",E892=""),"缺组合/功能",IF(COUNTIFS(Equipment[组合编号],B892)&lt;&gt;1,"组合编号无效",IF(COUNTIFS(FunctionMatrix[编号],E892)=0,"功能编号无效",IF(H892="不适用",IF(J892="已实测","适用性冲突",IF(I892="","待补不适用依据","不适用（非实测）")),IF(J892="阻塞",IF(I892="","待补阻塞原因","阻塞（非实测）"),IF(J892&lt;&gt;"已实测",IF(F892="","待展开路径","未实测"),IF(H892&lt;&gt;"适用","待确认适用性",IF(INDEX(Equipment[登记状态（自动）],MATCH(B892,Equipment[组合编号],0))&lt;&gt;"已登记","待补设备组合",IF(AND(F892&lt;&gt;"",G892&lt;&gt;"",K892&lt;&gt;"",L892&lt;&gt;"",M892&lt;&gt;"",N892&lt;&gt;"",ISNUMBER(O892),O892&gt;0,P892&lt;&gt;""),"记录齐全","待补实测记录")))))))))))</x:f>
        <x:v>待展开路径</x:v>
      </x:c>
    </x:row>
    <x:row r="893" ht="43.5" customHeight="1">
      <x:c r="A893" s="20" t="str">
        <x:v>REC-00884</x:v>
      </x:c>
      <x:c r="B893" s="20" t="str">
        <x:v>P2-B4-01</x:v>
      </x:c>
      <x:c r="C893" s="30" t="str">
        <x:f>IF(B893="","",IF(COUNTIFS(Equipment[组合编号],B893)&lt;&gt;1,"组合编号无效",INDEX(Equipment[PLC组],MATCH(B893,Equipment[组合编号],0))))</x:f>
        <x:v>汇川中大型</x:v>
      </x:c>
      <x:c r="D893" s="30" t="str">
        <x:f>IF(B893="","",IF(COUNTIFS(Equipment[组合编号],B893)&lt;&gt;1,"组合编号无效",INDEX(Equipment[驱动品牌],MATCH(B893,Equipment[组合编号],0))))</x:f>
        <x:v>Elmo</x:v>
      </x:c>
      <x:c r="E893" s="20" t="str">
        <x:v>U09</x:v>
      </x:c>
      <x:c r="F893" s="20"/>
      <x:c r="G893" s="20"/>
      <x:c r="H893" s="20" t="str">
        <x:v>待判定</x:v>
      </x:c>
      <x:c r="I893" s="20"/>
      <x:c r="J893" s="20" t="str">
        <x:v>未测试</x:v>
      </x:c>
      <x:c r="K893" s="20"/>
      <x:c r="L893" s="20"/>
      <x:c r="M893" s="20"/>
      <x:c r="N893" s="20"/>
      <x:c r="O893" s="31"/>
      <x:c r="P893" s="20"/>
      <x:c r="Q893" s="20"/>
      <x:c r="R893" s="20" t="str">
        <x:v>待展开</x:v>
      </x:c>
      <x:c r="S893" s="20"/>
      <x:c r="T893" s="31"/>
      <x:c r="U893" s="30" t="str">
        <x:f>IF(A893="","缺记录编号",IF(COUNTIFS(PathRecords[记录编号],A893)&lt;&gt;1,"记录编号重复",IF(OR(B893="",E893=""),"缺组合/功能",IF(COUNTIFS(Equipment[组合编号],B893)&lt;&gt;1,"组合编号无效",IF(COUNTIFS(FunctionMatrix[编号],E893)=0,"功能编号无效",IF(H893="不适用",IF(J893="已实测","适用性冲突",IF(I893="","待补不适用依据","不适用（非实测）")),IF(J893="阻塞",IF(I893="","待补阻塞原因","阻塞（非实测）"),IF(J893&lt;&gt;"已实测",IF(F893="","待展开路径","未实测"),IF(H893&lt;&gt;"适用","待确认适用性",IF(INDEX(Equipment[登记状态（自动）],MATCH(B893,Equipment[组合编号],0))&lt;&gt;"已登记","待补设备组合",IF(AND(F893&lt;&gt;"",G893&lt;&gt;"",K893&lt;&gt;"",L893&lt;&gt;"",M893&lt;&gt;"",N893&lt;&gt;"",ISNUMBER(O893),O893&gt;0,P893&lt;&gt;""),"记录齐全","待补实测记录")))))))))))</x:f>
        <x:v>待展开路径</x:v>
      </x:c>
    </x:row>
    <x:row r="894" ht="43.5" customHeight="1">
      <x:c r="A894" s="20" t="str">
        <x:v>REC-00885</x:v>
      </x:c>
      <x:c r="B894" s="20" t="str">
        <x:v>P2-B4-01</x:v>
      </x:c>
      <x:c r="C894" s="30" t="str">
        <x:f>IF(B894="","",IF(COUNTIFS(Equipment[组合编号],B894)&lt;&gt;1,"组合编号无效",INDEX(Equipment[PLC组],MATCH(B894,Equipment[组合编号],0))))</x:f>
        <x:v>汇川中大型</x:v>
      </x:c>
      <x:c r="D894" s="30" t="str">
        <x:f>IF(B894="","",IF(COUNTIFS(Equipment[组合编号],B894)&lt;&gt;1,"组合编号无效",INDEX(Equipment[驱动品牌],MATCH(B894,Equipment[组合编号],0))))</x:f>
        <x:v>Elmo</x:v>
      </x:c>
      <x:c r="E894" s="20" t="str">
        <x:v>U10</x:v>
      </x:c>
      <x:c r="F894" s="20"/>
      <x:c r="G894" s="20"/>
      <x:c r="H894" s="20" t="str">
        <x:v>待判定</x:v>
      </x:c>
      <x:c r="I894" s="20"/>
      <x:c r="J894" s="20" t="str">
        <x:v>未测试</x:v>
      </x:c>
      <x:c r="K894" s="20"/>
      <x:c r="L894" s="20"/>
      <x:c r="M894" s="20"/>
      <x:c r="N894" s="20"/>
      <x:c r="O894" s="31"/>
      <x:c r="P894" s="20"/>
      <x:c r="Q894" s="20"/>
      <x:c r="R894" s="20" t="str">
        <x:v>待展开</x:v>
      </x:c>
      <x:c r="S894" s="20"/>
      <x:c r="T894" s="31"/>
      <x:c r="U894" s="30" t="str">
        <x:f>IF(A894="","缺记录编号",IF(COUNTIFS(PathRecords[记录编号],A894)&lt;&gt;1,"记录编号重复",IF(OR(B894="",E894=""),"缺组合/功能",IF(COUNTIFS(Equipment[组合编号],B894)&lt;&gt;1,"组合编号无效",IF(COUNTIFS(FunctionMatrix[编号],E894)=0,"功能编号无效",IF(H894="不适用",IF(J894="已实测","适用性冲突",IF(I894="","待补不适用依据","不适用（非实测）")),IF(J894="阻塞",IF(I894="","待补阻塞原因","阻塞（非实测）"),IF(J894&lt;&gt;"已实测",IF(F894="","待展开路径","未实测"),IF(H894&lt;&gt;"适用","待确认适用性",IF(INDEX(Equipment[登记状态（自动）],MATCH(B894,Equipment[组合编号],0))&lt;&gt;"已登记","待补设备组合",IF(AND(F894&lt;&gt;"",G894&lt;&gt;"",K894&lt;&gt;"",L894&lt;&gt;"",M894&lt;&gt;"",N894&lt;&gt;"",ISNUMBER(O894),O894&gt;0,P894&lt;&gt;""),"记录齐全","待补实测记录")))))))))))</x:f>
        <x:v>待展开路径</x:v>
      </x:c>
    </x:row>
    <x:row r="895" ht="43.5" customHeight="1">
      <x:c r="A895" s="20" t="str">
        <x:v>REC-00886</x:v>
      </x:c>
      <x:c r="B895" s="20" t="str">
        <x:v>P2-B4-01</x:v>
      </x:c>
      <x:c r="C895" s="30" t="str">
        <x:f>IF(B895="","",IF(COUNTIFS(Equipment[组合编号],B895)&lt;&gt;1,"组合编号无效",INDEX(Equipment[PLC组],MATCH(B895,Equipment[组合编号],0))))</x:f>
        <x:v>汇川中大型</x:v>
      </x:c>
      <x:c r="D895" s="30" t="str">
        <x:f>IF(B895="","",IF(COUNTIFS(Equipment[组合编号],B895)&lt;&gt;1,"组合编号无效",INDEX(Equipment[驱动品牌],MATCH(B895,Equipment[组合编号],0))))</x:f>
        <x:v>Elmo</x:v>
      </x:c>
      <x:c r="E895" s="20" t="str">
        <x:v>H01</x:v>
      </x:c>
      <x:c r="F895" s="20"/>
      <x:c r="G895" s="20"/>
      <x:c r="H895" s="20" t="str">
        <x:v>待判定</x:v>
      </x:c>
      <x:c r="I895" s="20"/>
      <x:c r="J895" s="20" t="str">
        <x:v>未测试</x:v>
      </x:c>
      <x:c r="K895" s="20"/>
      <x:c r="L895" s="20"/>
      <x:c r="M895" s="20"/>
      <x:c r="N895" s="20"/>
      <x:c r="O895" s="31"/>
      <x:c r="P895" s="20"/>
      <x:c r="Q895" s="20"/>
      <x:c r="R895" s="20" t="str">
        <x:v>待展开</x:v>
      </x:c>
      <x:c r="S895" s="20"/>
      <x:c r="T895" s="31"/>
      <x:c r="U895" s="30" t="str">
        <x:f>IF(A895="","缺记录编号",IF(COUNTIFS(PathRecords[记录编号],A895)&lt;&gt;1,"记录编号重复",IF(OR(B895="",E895=""),"缺组合/功能",IF(COUNTIFS(Equipment[组合编号],B895)&lt;&gt;1,"组合编号无效",IF(COUNTIFS(FunctionMatrix[编号],E895)=0,"功能编号无效",IF(H895="不适用",IF(J895="已实测","适用性冲突",IF(I895="","待补不适用依据","不适用（非实测）")),IF(J895="阻塞",IF(I895="","待补阻塞原因","阻塞（非实测）"),IF(J895&lt;&gt;"已实测",IF(F895="","待展开路径","未实测"),IF(H895&lt;&gt;"适用","待确认适用性",IF(INDEX(Equipment[登记状态（自动）],MATCH(B895,Equipment[组合编号],0))&lt;&gt;"已登记","待补设备组合",IF(AND(F895&lt;&gt;"",G895&lt;&gt;"",K895&lt;&gt;"",L895&lt;&gt;"",M895&lt;&gt;"",N895&lt;&gt;"",ISNUMBER(O895),O895&gt;0,P895&lt;&gt;""),"记录齐全","待补实测记录")))))))))))</x:f>
        <x:v>待展开路径</x:v>
      </x:c>
    </x:row>
    <x:row r="896" ht="43.5" customHeight="1">
      <x:c r="A896" s="20" t="str">
        <x:v>REC-00887</x:v>
      </x:c>
      <x:c r="B896" s="20" t="str">
        <x:v>P2-B4-01</x:v>
      </x:c>
      <x:c r="C896" s="30" t="str">
        <x:f>IF(B896="","",IF(COUNTIFS(Equipment[组合编号],B896)&lt;&gt;1,"组合编号无效",INDEX(Equipment[PLC组],MATCH(B896,Equipment[组合编号],0))))</x:f>
        <x:v>汇川中大型</x:v>
      </x:c>
      <x:c r="D896" s="30" t="str">
        <x:f>IF(B896="","",IF(COUNTIFS(Equipment[组合编号],B896)&lt;&gt;1,"组合编号无效",INDEX(Equipment[驱动品牌],MATCH(B896,Equipment[组合编号],0))))</x:f>
        <x:v>Elmo</x:v>
      </x:c>
      <x:c r="E896" s="20" t="str">
        <x:v>H02</x:v>
      </x:c>
      <x:c r="F896" s="20"/>
      <x:c r="G896" s="20"/>
      <x:c r="H896" s="20" t="str">
        <x:v>待判定</x:v>
      </x:c>
      <x:c r="I896" s="20"/>
      <x:c r="J896" s="20" t="str">
        <x:v>未测试</x:v>
      </x:c>
      <x:c r="K896" s="20"/>
      <x:c r="L896" s="20"/>
      <x:c r="M896" s="20"/>
      <x:c r="N896" s="20"/>
      <x:c r="O896" s="31"/>
      <x:c r="P896" s="20"/>
      <x:c r="Q896" s="20"/>
      <x:c r="R896" s="20" t="str">
        <x:v>待展开</x:v>
      </x:c>
      <x:c r="S896" s="20"/>
      <x:c r="T896" s="31"/>
      <x:c r="U896" s="30" t="str">
        <x:f>IF(A896="","缺记录编号",IF(COUNTIFS(PathRecords[记录编号],A896)&lt;&gt;1,"记录编号重复",IF(OR(B896="",E896=""),"缺组合/功能",IF(COUNTIFS(Equipment[组合编号],B896)&lt;&gt;1,"组合编号无效",IF(COUNTIFS(FunctionMatrix[编号],E896)=0,"功能编号无效",IF(H896="不适用",IF(J896="已实测","适用性冲突",IF(I896="","待补不适用依据","不适用（非实测）")),IF(J896="阻塞",IF(I896="","待补阻塞原因","阻塞（非实测）"),IF(J896&lt;&gt;"已实测",IF(F896="","待展开路径","未实测"),IF(H896&lt;&gt;"适用","待确认适用性",IF(INDEX(Equipment[登记状态（自动）],MATCH(B896,Equipment[组合编号],0))&lt;&gt;"已登记","待补设备组合",IF(AND(F896&lt;&gt;"",G896&lt;&gt;"",K896&lt;&gt;"",L896&lt;&gt;"",M896&lt;&gt;"",N896&lt;&gt;"",ISNUMBER(O896),O896&gt;0,P896&lt;&gt;""),"记录齐全","待补实测记录")))))))))))</x:f>
        <x:v>待展开路径</x:v>
      </x:c>
    </x:row>
    <x:row r="897" ht="43.5" customHeight="1">
      <x:c r="A897" s="20" t="str">
        <x:v>REC-00888</x:v>
      </x:c>
      <x:c r="B897" s="20" t="str">
        <x:v>P2-B4-01</x:v>
      </x:c>
      <x:c r="C897" s="30" t="str">
        <x:f>IF(B897="","",IF(COUNTIFS(Equipment[组合编号],B897)&lt;&gt;1,"组合编号无效",INDEX(Equipment[PLC组],MATCH(B897,Equipment[组合编号],0))))</x:f>
        <x:v>汇川中大型</x:v>
      </x:c>
      <x:c r="D897" s="30" t="str">
        <x:f>IF(B897="","",IF(COUNTIFS(Equipment[组合编号],B897)&lt;&gt;1,"组合编号无效",INDEX(Equipment[驱动品牌],MATCH(B897,Equipment[组合编号],0))))</x:f>
        <x:v>Elmo</x:v>
      </x:c>
      <x:c r="E897" s="20" t="str">
        <x:v>H03</x:v>
      </x:c>
      <x:c r="F897" s="20"/>
      <x:c r="G897" s="20"/>
      <x:c r="H897" s="20" t="str">
        <x:v>待判定</x:v>
      </x:c>
      <x:c r="I897" s="20"/>
      <x:c r="J897" s="20" t="str">
        <x:v>未测试</x:v>
      </x:c>
      <x:c r="K897" s="20"/>
      <x:c r="L897" s="20"/>
      <x:c r="M897" s="20"/>
      <x:c r="N897" s="20"/>
      <x:c r="O897" s="31"/>
      <x:c r="P897" s="20"/>
      <x:c r="Q897" s="20"/>
      <x:c r="R897" s="20" t="str">
        <x:v>待展开</x:v>
      </x:c>
      <x:c r="S897" s="20"/>
      <x:c r="T897" s="31"/>
      <x:c r="U897" s="30" t="str">
        <x:f>IF(A897="","缺记录编号",IF(COUNTIFS(PathRecords[记录编号],A897)&lt;&gt;1,"记录编号重复",IF(OR(B897="",E897=""),"缺组合/功能",IF(COUNTIFS(Equipment[组合编号],B897)&lt;&gt;1,"组合编号无效",IF(COUNTIFS(FunctionMatrix[编号],E897)=0,"功能编号无效",IF(H897="不适用",IF(J897="已实测","适用性冲突",IF(I897="","待补不适用依据","不适用（非实测）")),IF(J897="阻塞",IF(I897="","待补阻塞原因","阻塞（非实测）"),IF(J897&lt;&gt;"已实测",IF(F897="","待展开路径","未实测"),IF(H897&lt;&gt;"适用","待确认适用性",IF(INDEX(Equipment[登记状态（自动）],MATCH(B897,Equipment[组合编号],0))&lt;&gt;"已登记","待补设备组合",IF(AND(F897&lt;&gt;"",G897&lt;&gt;"",K897&lt;&gt;"",L897&lt;&gt;"",M897&lt;&gt;"",N897&lt;&gt;"",ISNUMBER(O897),O897&gt;0,P897&lt;&gt;""),"记录齐全","待补实测记录")))))))))))</x:f>
        <x:v>待展开路径</x:v>
      </x:c>
    </x:row>
    <x:row r="898" ht="43.5" customHeight="1">
      <x:c r="A898" s="20" t="str">
        <x:v>REC-00889</x:v>
      </x:c>
      <x:c r="B898" s="20" t="str">
        <x:v>P2-B4-01</x:v>
      </x:c>
      <x:c r="C898" s="30" t="str">
        <x:f>IF(B898="","",IF(COUNTIFS(Equipment[组合编号],B898)&lt;&gt;1,"组合编号无效",INDEX(Equipment[PLC组],MATCH(B898,Equipment[组合编号],0))))</x:f>
        <x:v>汇川中大型</x:v>
      </x:c>
      <x:c r="D898" s="30" t="str">
        <x:f>IF(B898="","",IF(COUNTIFS(Equipment[组合编号],B898)&lt;&gt;1,"组合编号无效",INDEX(Equipment[驱动品牌],MATCH(B898,Equipment[组合编号],0))))</x:f>
        <x:v>Elmo</x:v>
      </x:c>
      <x:c r="E898" s="20" t="str">
        <x:v>H04</x:v>
      </x:c>
      <x:c r="F898" s="20"/>
      <x:c r="G898" s="20"/>
      <x:c r="H898" s="20" t="str">
        <x:v>待判定</x:v>
      </x:c>
      <x:c r="I898" s="20"/>
      <x:c r="J898" s="20" t="str">
        <x:v>未测试</x:v>
      </x:c>
      <x:c r="K898" s="20"/>
      <x:c r="L898" s="20"/>
      <x:c r="M898" s="20"/>
      <x:c r="N898" s="20"/>
      <x:c r="O898" s="31"/>
      <x:c r="P898" s="20"/>
      <x:c r="Q898" s="20"/>
      <x:c r="R898" s="20" t="str">
        <x:v>待展开</x:v>
      </x:c>
      <x:c r="S898" s="20"/>
      <x:c r="T898" s="31"/>
      <x:c r="U898" s="30" t="str">
        <x:f>IF(A898="","缺记录编号",IF(COUNTIFS(PathRecords[记录编号],A898)&lt;&gt;1,"记录编号重复",IF(OR(B898="",E898=""),"缺组合/功能",IF(COUNTIFS(Equipment[组合编号],B898)&lt;&gt;1,"组合编号无效",IF(COUNTIFS(FunctionMatrix[编号],E898)=0,"功能编号无效",IF(H898="不适用",IF(J898="已实测","适用性冲突",IF(I898="","待补不适用依据","不适用（非实测）")),IF(J898="阻塞",IF(I898="","待补阻塞原因","阻塞（非实测）"),IF(J898&lt;&gt;"已实测",IF(F898="","待展开路径","未实测"),IF(H898&lt;&gt;"适用","待确认适用性",IF(INDEX(Equipment[登记状态（自动）],MATCH(B898,Equipment[组合编号],0))&lt;&gt;"已登记","待补设备组合",IF(AND(F898&lt;&gt;"",G898&lt;&gt;"",K898&lt;&gt;"",L898&lt;&gt;"",M898&lt;&gt;"",N898&lt;&gt;"",ISNUMBER(O898),O898&gt;0,P898&lt;&gt;""),"记录齐全","待补实测记录")))))))))))</x:f>
        <x:v>待展开路径</x:v>
      </x:c>
    </x:row>
    <x:row r="899" ht="43.5" customHeight="1">
      <x:c r="A899" s="20" t="str">
        <x:v>REC-00890</x:v>
      </x:c>
      <x:c r="B899" s="20" t="str">
        <x:v>P2-B4-01</x:v>
      </x:c>
      <x:c r="C899" s="30" t="str">
        <x:f>IF(B899="","",IF(COUNTIFS(Equipment[组合编号],B899)&lt;&gt;1,"组合编号无效",INDEX(Equipment[PLC组],MATCH(B899,Equipment[组合编号],0))))</x:f>
        <x:v>汇川中大型</x:v>
      </x:c>
      <x:c r="D899" s="30" t="str">
        <x:f>IF(B899="","",IF(COUNTIFS(Equipment[组合编号],B899)&lt;&gt;1,"组合编号无效",INDEX(Equipment[驱动品牌],MATCH(B899,Equipment[组合编号],0))))</x:f>
        <x:v>Elmo</x:v>
      </x:c>
      <x:c r="E899" s="20" t="str">
        <x:v>H05</x:v>
      </x:c>
      <x:c r="F899" s="20"/>
      <x:c r="G899" s="20"/>
      <x:c r="H899" s="20" t="str">
        <x:v>待判定</x:v>
      </x:c>
      <x:c r="I899" s="20"/>
      <x:c r="J899" s="20" t="str">
        <x:v>未测试</x:v>
      </x:c>
      <x:c r="K899" s="20"/>
      <x:c r="L899" s="20"/>
      <x:c r="M899" s="20"/>
      <x:c r="N899" s="20"/>
      <x:c r="O899" s="31"/>
      <x:c r="P899" s="20"/>
      <x:c r="Q899" s="20"/>
      <x:c r="R899" s="20" t="str">
        <x:v>待展开</x:v>
      </x:c>
      <x:c r="S899" s="20"/>
      <x:c r="T899" s="31"/>
      <x:c r="U899" s="30" t="str">
        <x:f>IF(A899="","缺记录编号",IF(COUNTIFS(PathRecords[记录编号],A899)&lt;&gt;1,"记录编号重复",IF(OR(B899="",E899=""),"缺组合/功能",IF(COUNTIFS(Equipment[组合编号],B899)&lt;&gt;1,"组合编号无效",IF(COUNTIFS(FunctionMatrix[编号],E899)=0,"功能编号无效",IF(H899="不适用",IF(J899="已实测","适用性冲突",IF(I899="","待补不适用依据","不适用（非实测）")),IF(J899="阻塞",IF(I899="","待补阻塞原因","阻塞（非实测）"),IF(J899&lt;&gt;"已实测",IF(F899="","待展开路径","未实测"),IF(H899&lt;&gt;"适用","待确认适用性",IF(INDEX(Equipment[登记状态（自动）],MATCH(B899,Equipment[组合编号],0))&lt;&gt;"已登记","待补设备组合",IF(AND(F899&lt;&gt;"",G899&lt;&gt;"",K899&lt;&gt;"",L899&lt;&gt;"",M899&lt;&gt;"",N899&lt;&gt;"",ISNUMBER(O899),O899&gt;0,P899&lt;&gt;""),"记录齐全","待补实测记录")))))))))))</x:f>
        <x:v>待展开路径</x:v>
      </x:c>
    </x:row>
    <x:row r="900" ht="43.5" customHeight="1">
      <x:c r="A900" s="20" t="str">
        <x:v>REC-00891</x:v>
      </x:c>
      <x:c r="B900" s="20" t="str">
        <x:v>P2-B4-01</x:v>
      </x:c>
      <x:c r="C900" s="30" t="str">
        <x:f>IF(B900="","",IF(COUNTIFS(Equipment[组合编号],B900)&lt;&gt;1,"组合编号无效",INDEX(Equipment[PLC组],MATCH(B900,Equipment[组合编号],0))))</x:f>
        <x:v>汇川中大型</x:v>
      </x:c>
      <x:c r="D900" s="30" t="str">
        <x:f>IF(B900="","",IF(COUNTIFS(Equipment[组合编号],B900)&lt;&gt;1,"组合编号无效",INDEX(Equipment[驱动品牌],MATCH(B900,Equipment[组合编号],0))))</x:f>
        <x:v>Elmo</x:v>
      </x:c>
      <x:c r="E900" s="20" t="str">
        <x:v>H06</x:v>
      </x:c>
      <x:c r="F900" s="20"/>
      <x:c r="G900" s="20"/>
      <x:c r="H900" s="20" t="str">
        <x:v>待判定</x:v>
      </x:c>
      <x:c r="I900" s="20"/>
      <x:c r="J900" s="20" t="str">
        <x:v>未测试</x:v>
      </x:c>
      <x:c r="K900" s="20"/>
      <x:c r="L900" s="20"/>
      <x:c r="M900" s="20"/>
      <x:c r="N900" s="20"/>
      <x:c r="O900" s="31"/>
      <x:c r="P900" s="20"/>
      <x:c r="Q900" s="20"/>
      <x:c r="R900" s="20" t="str">
        <x:v>待展开</x:v>
      </x:c>
      <x:c r="S900" s="20"/>
      <x:c r="T900" s="31"/>
      <x:c r="U900" s="30" t="str">
        <x:f>IF(A900="","缺记录编号",IF(COUNTIFS(PathRecords[记录编号],A900)&lt;&gt;1,"记录编号重复",IF(OR(B900="",E900=""),"缺组合/功能",IF(COUNTIFS(Equipment[组合编号],B900)&lt;&gt;1,"组合编号无效",IF(COUNTIFS(FunctionMatrix[编号],E900)=0,"功能编号无效",IF(H900="不适用",IF(J900="已实测","适用性冲突",IF(I900="","待补不适用依据","不适用（非实测）")),IF(J900="阻塞",IF(I900="","待补阻塞原因","阻塞（非实测）"),IF(J900&lt;&gt;"已实测",IF(F900="","待展开路径","未实测"),IF(H900&lt;&gt;"适用","待确认适用性",IF(INDEX(Equipment[登记状态（自动）],MATCH(B900,Equipment[组合编号],0))&lt;&gt;"已登记","待补设备组合",IF(AND(F900&lt;&gt;"",G900&lt;&gt;"",K900&lt;&gt;"",L900&lt;&gt;"",M900&lt;&gt;"",N900&lt;&gt;"",ISNUMBER(O900),O900&gt;0,P900&lt;&gt;""),"记录齐全","待补实测记录")))))))))))</x:f>
        <x:v>待展开路径</x:v>
      </x:c>
    </x:row>
    <x:row r="901" ht="43.5" customHeight="1">
      <x:c r="A901" s="20" t="str">
        <x:v>REC-00892</x:v>
      </x:c>
      <x:c r="B901" s="20" t="str">
        <x:v>P2-B4-01</x:v>
      </x:c>
      <x:c r="C901" s="30" t="str">
        <x:f>IF(B901="","",IF(COUNTIFS(Equipment[组合编号],B901)&lt;&gt;1,"组合编号无效",INDEX(Equipment[PLC组],MATCH(B901,Equipment[组合编号],0))))</x:f>
        <x:v>汇川中大型</x:v>
      </x:c>
      <x:c r="D901" s="30" t="str">
        <x:f>IF(B901="","",IF(COUNTIFS(Equipment[组合编号],B901)&lt;&gt;1,"组合编号无效",INDEX(Equipment[驱动品牌],MATCH(B901,Equipment[组合编号],0))))</x:f>
        <x:v>Elmo</x:v>
      </x:c>
      <x:c r="E901" s="20" t="str">
        <x:v>H07</x:v>
      </x:c>
      <x:c r="F901" s="20"/>
      <x:c r="G901" s="20"/>
      <x:c r="H901" s="20" t="str">
        <x:v>待判定</x:v>
      </x:c>
      <x:c r="I901" s="20"/>
      <x:c r="J901" s="20" t="str">
        <x:v>未测试</x:v>
      </x:c>
      <x:c r="K901" s="20"/>
      <x:c r="L901" s="20"/>
      <x:c r="M901" s="20"/>
      <x:c r="N901" s="20"/>
      <x:c r="O901" s="31"/>
      <x:c r="P901" s="20"/>
      <x:c r="Q901" s="20"/>
      <x:c r="R901" s="20" t="str">
        <x:v>待展开</x:v>
      </x:c>
      <x:c r="S901" s="20"/>
      <x:c r="T901" s="31"/>
      <x:c r="U901" s="30" t="str">
        <x:f>IF(A901="","缺记录编号",IF(COUNTIFS(PathRecords[记录编号],A901)&lt;&gt;1,"记录编号重复",IF(OR(B901="",E901=""),"缺组合/功能",IF(COUNTIFS(Equipment[组合编号],B901)&lt;&gt;1,"组合编号无效",IF(COUNTIFS(FunctionMatrix[编号],E901)=0,"功能编号无效",IF(H901="不适用",IF(J901="已实测","适用性冲突",IF(I901="","待补不适用依据","不适用（非实测）")),IF(J901="阻塞",IF(I901="","待补阻塞原因","阻塞（非实测）"),IF(J901&lt;&gt;"已实测",IF(F901="","待展开路径","未实测"),IF(H901&lt;&gt;"适用","待确认适用性",IF(INDEX(Equipment[登记状态（自动）],MATCH(B901,Equipment[组合编号],0))&lt;&gt;"已登记","待补设备组合",IF(AND(F901&lt;&gt;"",G901&lt;&gt;"",K901&lt;&gt;"",L901&lt;&gt;"",M901&lt;&gt;"",N901&lt;&gt;"",ISNUMBER(O901),O901&gt;0,P901&lt;&gt;""),"记录齐全","待补实测记录")))))))))))</x:f>
        <x:v>待展开路径</x:v>
      </x:c>
    </x:row>
    <x:row r="902" ht="43.5" customHeight="1">
      <x:c r="A902" s="20" t="str">
        <x:v>REC-00893</x:v>
      </x:c>
      <x:c r="B902" s="20" t="str">
        <x:v>P2-B4-01</x:v>
      </x:c>
      <x:c r="C902" s="30" t="str">
        <x:f>IF(B902="","",IF(COUNTIFS(Equipment[组合编号],B902)&lt;&gt;1,"组合编号无效",INDEX(Equipment[PLC组],MATCH(B902,Equipment[组合编号],0))))</x:f>
        <x:v>汇川中大型</x:v>
      </x:c>
      <x:c r="D902" s="30" t="str">
        <x:f>IF(B902="","",IF(COUNTIFS(Equipment[组合编号],B902)&lt;&gt;1,"组合编号无效",INDEX(Equipment[驱动品牌],MATCH(B902,Equipment[组合编号],0))))</x:f>
        <x:v>Elmo</x:v>
      </x:c>
      <x:c r="E902" s="20" t="str">
        <x:v>H08</x:v>
      </x:c>
      <x:c r="F902" s="20"/>
      <x:c r="G902" s="20"/>
      <x:c r="H902" s="20" t="str">
        <x:v>待判定</x:v>
      </x:c>
      <x:c r="I902" s="20"/>
      <x:c r="J902" s="20" t="str">
        <x:v>未测试</x:v>
      </x:c>
      <x:c r="K902" s="20"/>
      <x:c r="L902" s="20"/>
      <x:c r="M902" s="20"/>
      <x:c r="N902" s="20"/>
      <x:c r="O902" s="31"/>
      <x:c r="P902" s="20"/>
      <x:c r="Q902" s="20"/>
      <x:c r="R902" s="20" t="str">
        <x:v>待展开</x:v>
      </x:c>
      <x:c r="S902" s="20"/>
      <x:c r="T902" s="31"/>
      <x:c r="U902" s="30" t="str">
        <x:f>IF(A902="","缺记录编号",IF(COUNTIFS(PathRecords[记录编号],A902)&lt;&gt;1,"记录编号重复",IF(OR(B902="",E902=""),"缺组合/功能",IF(COUNTIFS(Equipment[组合编号],B902)&lt;&gt;1,"组合编号无效",IF(COUNTIFS(FunctionMatrix[编号],E902)=0,"功能编号无效",IF(H902="不适用",IF(J902="已实测","适用性冲突",IF(I902="","待补不适用依据","不适用（非实测）")),IF(J902="阻塞",IF(I902="","待补阻塞原因","阻塞（非实测）"),IF(J902&lt;&gt;"已实测",IF(F902="","待展开路径","未实测"),IF(H902&lt;&gt;"适用","待确认适用性",IF(INDEX(Equipment[登记状态（自动）],MATCH(B902,Equipment[组合编号],0))&lt;&gt;"已登记","待补设备组合",IF(AND(F902&lt;&gt;"",G902&lt;&gt;"",K902&lt;&gt;"",L902&lt;&gt;"",M902&lt;&gt;"",N902&lt;&gt;"",ISNUMBER(O902),O902&gt;0,P902&lt;&gt;""),"记录齐全","待补实测记录")))))))))))</x:f>
        <x:v>待展开路径</x:v>
      </x:c>
    </x:row>
    <x:row r="903" ht="43.5" customHeight="1">
      <x:c r="A903" s="20" t="str">
        <x:v>REC-00894</x:v>
      </x:c>
      <x:c r="B903" s="20" t="str">
        <x:v>P2-B4-01</x:v>
      </x:c>
      <x:c r="C903" s="30" t="str">
        <x:f>IF(B903="","",IF(COUNTIFS(Equipment[组合编号],B903)&lt;&gt;1,"组合编号无效",INDEX(Equipment[PLC组],MATCH(B903,Equipment[组合编号],0))))</x:f>
        <x:v>汇川中大型</x:v>
      </x:c>
      <x:c r="D903" s="30" t="str">
        <x:f>IF(B903="","",IF(COUNTIFS(Equipment[组合编号],B903)&lt;&gt;1,"组合编号无效",INDEX(Equipment[驱动品牌],MATCH(B903,Equipment[组合编号],0))))</x:f>
        <x:v>Elmo</x:v>
      </x:c>
      <x:c r="E903" s="20" t="str">
        <x:v>H09</x:v>
      </x:c>
      <x:c r="F903" s="20"/>
      <x:c r="G903" s="20"/>
      <x:c r="H903" s="20" t="str">
        <x:v>待判定</x:v>
      </x:c>
      <x:c r="I903" s="20"/>
      <x:c r="J903" s="20" t="str">
        <x:v>未测试</x:v>
      </x:c>
      <x:c r="K903" s="20"/>
      <x:c r="L903" s="20"/>
      <x:c r="M903" s="20"/>
      <x:c r="N903" s="20"/>
      <x:c r="O903" s="31"/>
      <x:c r="P903" s="20"/>
      <x:c r="Q903" s="20"/>
      <x:c r="R903" s="20" t="str">
        <x:v>待展开</x:v>
      </x:c>
      <x:c r="S903" s="20"/>
      <x:c r="T903" s="31"/>
      <x:c r="U903" s="30" t="str">
        <x:f>IF(A903="","缺记录编号",IF(COUNTIFS(PathRecords[记录编号],A903)&lt;&gt;1,"记录编号重复",IF(OR(B903="",E903=""),"缺组合/功能",IF(COUNTIFS(Equipment[组合编号],B903)&lt;&gt;1,"组合编号无效",IF(COUNTIFS(FunctionMatrix[编号],E903)=0,"功能编号无效",IF(H903="不适用",IF(J903="已实测","适用性冲突",IF(I903="","待补不适用依据","不适用（非实测）")),IF(J903="阻塞",IF(I903="","待补阻塞原因","阻塞（非实测）"),IF(J903&lt;&gt;"已实测",IF(F903="","待展开路径","未实测"),IF(H903&lt;&gt;"适用","待确认适用性",IF(INDEX(Equipment[登记状态（自动）],MATCH(B903,Equipment[组合编号],0))&lt;&gt;"已登记","待补设备组合",IF(AND(F903&lt;&gt;"",G903&lt;&gt;"",K903&lt;&gt;"",L903&lt;&gt;"",M903&lt;&gt;"",N903&lt;&gt;"",ISNUMBER(O903),O903&gt;0,P903&lt;&gt;""),"记录齐全","待补实测记录")))))))))))</x:f>
        <x:v>待展开路径</x:v>
      </x:c>
    </x:row>
    <x:row r="904" ht="43.5" customHeight="1">
      <x:c r="A904" s="20" t="str">
        <x:v>REC-00895</x:v>
      </x:c>
      <x:c r="B904" s="20" t="str">
        <x:v>P2-B4-01</x:v>
      </x:c>
      <x:c r="C904" s="30" t="str">
        <x:f>IF(B904="","",IF(COUNTIFS(Equipment[组合编号],B904)&lt;&gt;1,"组合编号无效",INDEX(Equipment[PLC组],MATCH(B904,Equipment[组合编号],0))))</x:f>
        <x:v>汇川中大型</x:v>
      </x:c>
      <x:c r="D904" s="30" t="str">
        <x:f>IF(B904="","",IF(COUNTIFS(Equipment[组合编号],B904)&lt;&gt;1,"组合编号无效",INDEX(Equipment[驱动品牌],MATCH(B904,Equipment[组合编号],0))))</x:f>
        <x:v>Elmo</x:v>
      </x:c>
      <x:c r="E904" s="20" t="str">
        <x:v>H10</x:v>
      </x:c>
      <x:c r="F904" s="20"/>
      <x:c r="G904" s="20"/>
      <x:c r="H904" s="20" t="str">
        <x:v>待判定</x:v>
      </x:c>
      <x:c r="I904" s="20"/>
      <x:c r="J904" s="20" t="str">
        <x:v>未测试</x:v>
      </x:c>
      <x:c r="K904" s="20"/>
      <x:c r="L904" s="20"/>
      <x:c r="M904" s="20"/>
      <x:c r="N904" s="20"/>
      <x:c r="O904" s="31"/>
      <x:c r="P904" s="20"/>
      <x:c r="Q904" s="20"/>
      <x:c r="R904" s="20" t="str">
        <x:v>待展开</x:v>
      </x:c>
      <x:c r="S904" s="20"/>
      <x:c r="T904" s="31"/>
      <x:c r="U904" s="30" t="str">
        <x:f>IF(A904="","缺记录编号",IF(COUNTIFS(PathRecords[记录编号],A904)&lt;&gt;1,"记录编号重复",IF(OR(B904="",E904=""),"缺组合/功能",IF(COUNTIFS(Equipment[组合编号],B904)&lt;&gt;1,"组合编号无效",IF(COUNTIFS(FunctionMatrix[编号],E904)=0,"功能编号无效",IF(H904="不适用",IF(J904="已实测","适用性冲突",IF(I904="","待补不适用依据","不适用（非实测）")),IF(J904="阻塞",IF(I904="","待补阻塞原因","阻塞（非实测）"),IF(J904&lt;&gt;"已实测",IF(F904="","待展开路径","未实测"),IF(H904&lt;&gt;"适用","待确认适用性",IF(INDEX(Equipment[登记状态（自动）],MATCH(B904,Equipment[组合编号],0))&lt;&gt;"已登记","待补设备组合",IF(AND(F904&lt;&gt;"",G904&lt;&gt;"",K904&lt;&gt;"",L904&lt;&gt;"",M904&lt;&gt;"",N904&lt;&gt;"",ISNUMBER(O904),O904&gt;0,P904&lt;&gt;""),"记录齐全","待补实测记录")))))))))))</x:f>
        <x:v>待展开路径</x:v>
      </x:c>
    </x:row>
    <x:row r="905" ht="43.5" customHeight="1">
      <x:c r="A905" s="20" t="str">
        <x:v>REC-00896</x:v>
      </x:c>
      <x:c r="B905" s="20" t="str">
        <x:v>P2-B4-01</x:v>
      </x:c>
      <x:c r="C905" s="30" t="str">
        <x:f>IF(B905="","",IF(COUNTIFS(Equipment[组合编号],B905)&lt;&gt;1,"组合编号无效",INDEX(Equipment[PLC组],MATCH(B905,Equipment[组合编号],0))))</x:f>
        <x:v>汇川中大型</x:v>
      </x:c>
      <x:c r="D905" s="30" t="str">
        <x:f>IF(B905="","",IF(COUNTIFS(Equipment[组合编号],B905)&lt;&gt;1,"组合编号无效",INDEX(Equipment[驱动品牌],MATCH(B905,Equipment[组合编号],0))))</x:f>
        <x:v>Elmo</x:v>
      </x:c>
      <x:c r="E905" s="20" t="str">
        <x:v>H11</x:v>
      </x:c>
      <x:c r="F905" s="20"/>
      <x:c r="G905" s="20"/>
      <x:c r="H905" s="20" t="str">
        <x:v>待判定</x:v>
      </x:c>
      <x:c r="I905" s="20"/>
      <x:c r="J905" s="20" t="str">
        <x:v>未测试</x:v>
      </x:c>
      <x:c r="K905" s="20"/>
      <x:c r="L905" s="20"/>
      <x:c r="M905" s="20"/>
      <x:c r="N905" s="20"/>
      <x:c r="O905" s="31"/>
      <x:c r="P905" s="20"/>
      <x:c r="Q905" s="20"/>
      <x:c r="R905" s="20" t="str">
        <x:v>待展开</x:v>
      </x:c>
      <x:c r="S905" s="20"/>
      <x:c r="T905" s="31"/>
      <x:c r="U905" s="30" t="str">
        <x:f>IF(A905="","缺记录编号",IF(COUNTIFS(PathRecords[记录编号],A905)&lt;&gt;1,"记录编号重复",IF(OR(B905="",E905=""),"缺组合/功能",IF(COUNTIFS(Equipment[组合编号],B905)&lt;&gt;1,"组合编号无效",IF(COUNTIFS(FunctionMatrix[编号],E905)=0,"功能编号无效",IF(H905="不适用",IF(J905="已实测","适用性冲突",IF(I905="","待补不适用依据","不适用（非实测）")),IF(J905="阻塞",IF(I905="","待补阻塞原因","阻塞（非实测）"),IF(J905&lt;&gt;"已实测",IF(F905="","待展开路径","未实测"),IF(H905&lt;&gt;"适用","待确认适用性",IF(INDEX(Equipment[登记状态（自动）],MATCH(B905,Equipment[组合编号],0))&lt;&gt;"已登记","待补设备组合",IF(AND(F905&lt;&gt;"",G905&lt;&gt;"",K905&lt;&gt;"",L905&lt;&gt;"",M905&lt;&gt;"",N905&lt;&gt;"",ISNUMBER(O905),O905&gt;0,P905&lt;&gt;""),"记录齐全","待补实测记录")))))))))))</x:f>
        <x:v>待展开路径</x:v>
      </x:c>
    </x:row>
    <x:row r="906" ht="43.5" customHeight="1">
      <x:c r="A906" s="20" t="str">
        <x:v>REC-00897</x:v>
      </x:c>
      <x:c r="B906" s="20" t="str">
        <x:v>P2-B4-01</x:v>
      </x:c>
      <x:c r="C906" s="30" t="str">
        <x:f>IF(B906="","",IF(COUNTIFS(Equipment[组合编号],B906)&lt;&gt;1,"组合编号无效",INDEX(Equipment[PLC组],MATCH(B906,Equipment[组合编号],0))))</x:f>
        <x:v>汇川中大型</x:v>
      </x:c>
      <x:c r="D906" s="30" t="str">
        <x:f>IF(B906="","",IF(COUNTIFS(Equipment[组合编号],B906)&lt;&gt;1,"组合编号无效",INDEX(Equipment[驱动品牌],MATCH(B906,Equipment[组合编号],0))))</x:f>
        <x:v>Elmo</x:v>
      </x:c>
      <x:c r="E906" s="20" t="str">
        <x:v>N01</x:v>
      </x:c>
      <x:c r="F906" s="20"/>
      <x:c r="G906" s="20"/>
      <x:c r="H906" s="20" t="str">
        <x:v>待判定</x:v>
      </x:c>
      <x:c r="I906" s="20"/>
      <x:c r="J906" s="20" t="str">
        <x:v>未测试</x:v>
      </x:c>
      <x:c r="K906" s="20"/>
      <x:c r="L906" s="20"/>
      <x:c r="M906" s="20"/>
      <x:c r="N906" s="20"/>
      <x:c r="O906" s="31"/>
      <x:c r="P906" s="20"/>
      <x:c r="Q906" s="20"/>
      <x:c r="R906" s="20" t="str">
        <x:v>待展开</x:v>
      </x:c>
      <x:c r="S906" s="20"/>
      <x:c r="T906" s="31"/>
      <x:c r="U906" s="30" t="str">
        <x:f>IF(A906="","缺记录编号",IF(COUNTIFS(PathRecords[记录编号],A906)&lt;&gt;1,"记录编号重复",IF(OR(B906="",E906=""),"缺组合/功能",IF(COUNTIFS(Equipment[组合编号],B906)&lt;&gt;1,"组合编号无效",IF(COUNTIFS(FunctionMatrix[编号],E906)=0,"功能编号无效",IF(H906="不适用",IF(J906="已实测","适用性冲突",IF(I906="","待补不适用依据","不适用（非实测）")),IF(J906="阻塞",IF(I906="","待补阻塞原因","阻塞（非实测）"),IF(J906&lt;&gt;"已实测",IF(F906="","待展开路径","未实测"),IF(H906&lt;&gt;"适用","待确认适用性",IF(INDEX(Equipment[登记状态（自动）],MATCH(B906,Equipment[组合编号],0))&lt;&gt;"已登记","待补设备组合",IF(AND(F906&lt;&gt;"",G906&lt;&gt;"",K906&lt;&gt;"",L906&lt;&gt;"",M906&lt;&gt;"",N906&lt;&gt;"",ISNUMBER(O906),O906&gt;0,P906&lt;&gt;""),"记录齐全","待补实测记录")))))))))))</x:f>
        <x:v>待展开路径</x:v>
      </x:c>
    </x:row>
    <x:row r="907" ht="43.5" customHeight="1">
      <x:c r="A907" s="20" t="str">
        <x:v>REC-00898</x:v>
      </x:c>
      <x:c r="B907" s="20" t="str">
        <x:v>P2-B4-01</x:v>
      </x:c>
      <x:c r="C907" s="30" t="str">
        <x:f>IF(B907="","",IF(COUNTIFS(Equipment[组合编号],B907)&lt;&gt;1,"组合编号无效",INDEX(Equipment[PLC组],MATCH(B907,Equipment[组合编号],0))))</x:f>
        <x:v>汇川中大型</x:v>
      </x:c>
      <x:c r="D907" s="30" t="str">
        <x:f>IF(B907="","",IF(COUNTIFS(Equipment[组合编号],B907)&lt;&gt;1,"组合编号无效",INDEX(Equipment[驱动品牌],MATCH(B907,Equipment[组合编号],0))))</x:f>
        <x:v>Elmo</x:v>
      </x:c>
      <x:c r="E907" s="20" t="str">
        <x:v>N02</x:v>
      </x:c>
      <x:c r="F907" s="20"/>
      <x:c r="G907" s="20"/>
      <x:c r="H907" s="20" t="str">
        <x:v>待判定</x:v>
      </x:c>
      <x:c r="I907" s="20"/>
      <x:c r="J907" s="20" t="str">
        <x:v>未测试</x:v>
      </x:c>
      <x:c r="K907" s="20"/>
      <x:c r="L907" s="20"/>
      <x:c r="M907" s="20"/>
      <x:c r="N907" s="20"/>
      <x:c r="O907" s="31"/>
      <x:c r="P907" s="20"/>
      <x:c r="Q907" s="20"/>
      <x:c r="R907" s="20" t="str">
        <x:v>待展开</x:v>
      </x:c>
      <x:c r="S907" s="20"/>
      <x:c r="T907" s="31"/>
      <x:c r="U907" s="30" t="str">
        <x:f>IF(A907="","缺记录编号",IF(COUNTIFS(PathRecords[记录编号],A907)&lt;&gt;1,"记录编号重复",IF(OR(B907="",E907=""),"缺组合/功能",IF(COUNTIFS(Equipment[组合编号],B907)&lt;&gt;1,"组合编号无效",IF(COUNTIFS(FunctionMatrix[编号],E907)=0,"功能编号无效",IF(H907="不适用",IF(J907="已实测","适用性冲突",IF(I907="","待补不适用依据","不适用（非实测）")),IF(J907="阻塞",IF(I907="","待补阻塞原因","阻塞（非实测）"),IF(J907&lt;&gt;"已实测",IF(F907="","待展开路径","未实测"),IF(H907&lt;&gt;"适用","待确认适用性",IF(INDEX(Equipment[登记状态（自动）],MATCH(B907,Equipment[组合编号],0))&lt;&gt;"已登记","待补设备组合",IF(AND(F907&lt;&gt;"",G907&lt;&gt;"",K907&lt;&gt;"",L907&lt;&gt;"",M907&lt;&gt;"",N907&lt;&gt;"",ISNUMBER(O907),O907&gt;0,P907&lt;&gt;""),"记录齐全","待补实测记录")))))))))))</x:f>
        <x:v>待展开路径</x:v>
      </x:c>
    </x:row>
    <x:row r="908" ht="43.5" customHeight="1">
      <x:c r="A908" s="20" t="str">
        <x:v>REC-00899</x:v>
      </x:c>
      <x:c r="B908" s="20" t="str">
        <x:v>P2-B4-01</x:v>
      </x:c>
      <x:c r="C908" s="30" t="str">
        <x:f>IF(B908="","",IF(COUNTIFS(Equipment[组合编号],B908)&lt;&gt;1,"组合编号无效",INDEX(Equipment[PLC组],MATCH(B908,Equipment[组合编号],0))))</x:f>
        <x:v>汇川中大型</x:v>
      </x:c>
      <x:c r="D908" s="30" t="str">
        <x:f>IF(B908="","",IF(COUNTIFS(Equipment[组合编号],B908)&lt;&gt;1,"组合编号无效",INDEX(Equipment[驱动品牌],MATCH(B908,Equipment[组合编号],0))))</x:f>
        <x:v>Elmo</x:v>
      </x:c>
      <x:c r="E908" s="20" t="str">
        <x:v>N03</x:v>
      </x:c>
      <x:c r="F908" s="20"/>
      <x:c r="G908" s="20"/>
      <x:c r="H908" s="20" t="str">
        <x:v>待判定</x:v>
      </x:c>
      <x:c r="I908" s="20"/>
      <x:c r="J908" s="20" t="str">
        <x:v>未测试</x:v>
      </x:c>
      <x:c r="K908" s="20"/>
      <x:c r="L908" s="20"/>
      <x:c r="M908" s="20"/>
      <x:c r="N908" s="20"/>
      <x:c r="O908" s="31"/>
      <x:c r="P908" s="20"/>
      <x:c r="Q908" s="20"/>
      <x:c r="R908" s="20" t="str">
        <x:v>待展开</x:v>
      </x:c>
      <x:c r="S908" s="20"/>
      <x:c r="T908" s="31"/>
      <x:c r="U908" s="30" t="str">
        <x:f>IF(A908="","缺记录编号",IF(COUNTIFS(PathRecords[记录编号],A908)&lt;&gt;1,"记录编号重复",IF(OR(B908="",E908=""),"缺组合/功能",IF(COUNTIFS(Equipment[组合编号],B908)&lt;&gt;1,"组合编号无效",IF(COUNTIFS(FunctionMatrix[编号],E908)=0,"功能编号无效",IF(H908="不适用",IF(J908="已实测","适用性冲突",IF(I908="","待补不适用依据","不适用（非实测）")),IF(J908="阻塞",IF(I908="","待补阻塞原因","阻塞（非实测）"),IF(J908&lt;&gt;"已实测",IF(F908="","待展开路径","未实测"),IF(H908&lt;&gt;"适用","待确认适用性",IF(INDEX(Equipment[登记状态（自动）],MATCH(B908,Equipment[组合编号],0))&lt;&gt;"已登记","待补设备组合",IF(AND(F908&lt;&gt;"",G908&lt;&gt;"",K908&lt;&gt;"",L908&lt;&gt;"",M908&lt;&gt;"",N908&lt;&gt;"",ISNUMBER(O908),O908&gt;0,P908&lt;&gt;""),"记录齐全","待补实测记录")))))))))))</x:f>
        <x:v>待展开路径</x:v>
      </x:c>
    </x:row>
    <x:row r="909" ht="43.5" customHeight="1">
      <x:c r="A909" s="20" t="str">
        <x:v>REC-00900</x:v>
      </x:c>
      <x:c r="B909" s="20" t="str">
        <x:v>P2-B4-01</x:v>
      </x:c>
      <x:c r="C909" s="30" t="str">
        <x:f>IF(B909="","",IF(COUNTIFS(Equipment[组合编号],B909)&lt;&gt;1,"组合编号无效",INDEX(Equipment[PLC组],MATCH(B909,Equipment[组合编号],0))))</x:f>
        <x:v>汇川中大型</x:v>
      </x:c>
      <x:c r="D909" s="30" t="str">
        <x:f>IF(B909="","",IF(COUNTIFS(Equipment[组合编号],B909)&lt;&gt;1,"组合编号无效",INDEX(Equipment[驱动品牌],MATCH(B909,Equipment[组合编号],0))))</x:f>
        <x:v>Elmo</x:v>
      </x:c>
      <x:c r="E909" s="20" t="str">
        <x:v>N04</x:v>
      </x:c>
      <x:c r="F909" s="20"/>
      <x:c r="G909" s="20"/>
      <x:c r="H909" s="20" t="str">
        <x:v>待判定</x:v>
      </x:c>
      <x:c r="I909" s="20"/>
      <x:c r="J909" s="20" t="str">
        <x:v>未测试</x:v>
      </x:c>
      <x:c r="K909" s="20"/>
      <x:c r="L909" s="20"/>
      <x:c r="M909" s="20"/>
      <x:c r="N909" s="20"/>
      <x:c r="O909" s="31"/>
      <x:c r="P909" s="20"/>
      <x:c r="Q909" s="20"/>
      <x:c r="R909" s="20" t="str">
        <x:v>待展开</x:v>
      </x:c>
      <x:c r="S909" s="20"/>
      <x:c r="T909" s="31"/>
      <x:c r="U909" s="30" t="str">
        <x:f>IF(A909="","缺记录编号",IF(COUNTIFS(PathRecords[记录编号],A909)&lt;&gt;1,"记录编号重复",IF(OR(B909="",E909=""),"缺组合/功能",IF(COUNTIFS(Equipment[组合编号],B909)&lt;&gt;1,"组合编号无效",IF(COUNTIFS(FunctionMatrix[编号],E909)=0,"功能编号无效",IF(H909="不适用",IF(J909="已实测","适用性冲突",IF(I909="","待补不适用依据","不适用（非实测）")),IF(J909="阻塞",IF(I909="","待补阻塞原因","阻塞（非实测）"),IF(J909&lt;&gt;"已实测",IF(F909="","待展开路径","未实测"),IF(H909&lt;&gt;"适用","待确认适用性",IF(INDEX(Equipment[登记状态（自动）],MATCH(B909,Equipment[组合编号],0))&lt;&gt;"已登记","待补设备组合",IF(AND(F909&lt;&gt;"",G909&lt;&gt;"",K909&lt;&gt;"",L909&lt;&gt;"",M909&lt;&gt;"",N909&lt;&gt;"",ISNUMBER(O909),O909&gt;0,P909&lt;&gt;""),"记录齐全","待补实测记录")))))))))))</x:f>
        <x:v>待展开路径</x:v>
      </x:c>
    </x:row>
    <x:row r="910" ht="43.5" customHeight="1">
      <x:c r="A910" s="20" t="str">
        <x:v>REC-00901</x:v>
      </x:c>
      <x:c r="B910" s="20" t="str">
        <x:v>P2-B4-01</x:v>
      </x:c>
      <x:c r="C910" s="30" t="str">
        <x:f>IF(B910="","",IF(COUNTIFS(Equipment[组合编号],B910)&lt;&gt;1,"组合编号无效",INDEX(Equipment[PLC组],MATCH(B910,Equipment[组合编号],0))))</x:f>
        <x:v>汇川中大型</x:v>
      </x:c>
      <x:c r="D910" s="30" t="str">
        <x:f>IF(B910="","",IF(COUNTIFS(Equipment[组合编号],B910)&lt;&gt;1,"组合编号无效",INDEX(Equipment[驱动品牌],MATCH(B910,Equipment[组合编号],0))))</x:f>
        <x:v>Elmo</x:v>
      </x:c>
      <x:c r="E910" s="20" t="str">
        <x:v>N05</x:v>
      </x:c>
      <x:c r="F910" s="20"/>
      <x:c r="G910" s="20"/>
      <x:c r="H910" s="20" t="str">
        <x:v>待判定</x:v>
      </x:c>
      <x:c r="I910" s="20"/>
      <x:c r="J910" s="20" t="str">
        <x:v>未测试</x:v>
      </x:c>
      <x:c r="K910" s="20"/>
      <x:c r="L910" s="20"/>
      <x:c r="M910" s="20"/>
      <x:c r="N910" s="20"/>
      <x:c r="O910" s="31"/>
      <x:c r="P910" s="20"/>
      <x:c r="Q910" s="20"/>
      <x:c r="R910" s="20" t="str">
        <x:v>待展开</x:v>
      </x:c>
      <x:c r="S910" s="20"/>
      <x:c r="T910" s="31"/>
      <x:c r="U910" s="30" t="str">
        <x:f>IF(A910="","缺记录编号",IF(COUNTIFS(PathRecords[记录编号],A910)&lt;&gt;1,"记录编号重复",IF(OR(B910="",E910=""),"缺组合/功能",IF(COUNTIFS(Equipment[组合编号],B910)&lt;&gt;1,"组合编号无效",IF(COUNTIFS(FunctionMatrix[编号],E910)=0,"功能编号无效",IF(H910="不适用",IF(J910="已实测","适用性冲突",IF(I910="","待补不适用依据","不适用（非实测）")),IF(J910="阻塞",IF(I910="","待补阻塞原因","阻塞（非实测）"),IF(J910&lt;&gt;"已实测",IF(F910="","待展开路径","未实测"),IF(H910&lt;&gt;"适用","待确认适用性",IF(INDEX(Equipment[登记状态（自动）],MATCH(B910,Equipment[组合编号],0))&lt;&gt;"已登记","待补设备组合",IF(AND(F910&lt;&gt;"",G910&lt;&gt;"",K910&lt;&gt;"",L910&lt;&gt;"",M910&lt;&gt;"",N910&lt;&gt;"",ISNUMBER(O910),O910&gt;0,P910&lt;&gt;""),"记录齐全","待补实测记录")))))))))))</x:f>
        <x:v>待展开路径</x:v>
      </x:c>
    </x:row>
    <x:row r="911" ht="43.5" customHeight="1">
      <x:c r="A911" s="20" t="str">
        <x:v>REC-00902</x:v>
      </x:c>
      <x:c r="B911" s="20" t="str">
        <x:v>P2-B4-01</x:v>
      </x:c>
      <x:c r="C911" s="30" t="str">
        <x:f>IF(B911="","",IF(COUNTIFS(Equipment[组合编号],B911)&lt;&gt;1,"组合编号无效",INDEX(Equipment[PLC组],MATCH(B911,Equipment[组合编号],0))))</x:f>
        <x:v>汇川中大型</x:v>
      </x:c>
      <x:c r="D911" s="30" t="str">
        <x:f>IF(B911="","",IF(COUNTIFS(Equipment[组合编号],B911)&lt;&gt;1,"组合编号无效",INDEX(Equipment[驱动品牌],MATCH(B911,Equipment[组合编号],0))))</x:f>
        <x:v>Elmo</x:v>
      </x:c>
      <x:c r="E911" s="20" t="str">
        <x:v>N06</x:v>
      </x:c>
      <x:c r="F911" s="20"/>
      <x:c r="G911" s="20"/>
      <x:c r="H911" s="20" t="str">
        <x:v>待判定</x:v>
      </x:c>
      <x:c r="I911" s="20"/>
      <x:c r="J911" s="20" t="str">
        <x:v>未测试</x:v>
      </x:c>
      <x:c r="K911" s="20"/>
      <x:c r="L911" s="20"/>
      <x:c r="M911" s="20"/>
      <x:c r="N911" s="20"/>
      <x:c r="O911" s="31"/>
      <x:c r="P911" s="20"/>
      <x:c r="Q911" s="20"/>
      <x:c r="R911" s="20" t="str">
        <x:v>待展开</x:v>
      </x:c>
      <x:c r="S911" s="20"/>
      <x:c r="T911" s="31"/>
      <x:c r="U911" s="30" t="str">
        <x:f>IF(A911="","缺记录编号",IF(COUNTIFS(PathRecords[记录编号],A911)&lt;&gt;1,"记录编号重复",IF(OR(B911="",E911=""),"缺组合/功能",IF(COUNTIFS(Equipment[组合编号],B911)&lt;&gt;1,"组合编号无效",IF(COUNTIFS(FunctionMatrix[编号],E911)=0,"功能编号无效",IF(H911="不适用",IF(J911="已实测","适用性冲突",IF(I911="","待补不适用依据","不适用（非实测）")),IF(J911="阻塞",IF(I911="","待补阻塞原因","阻塞（非实测）"),IF(J911&lt;&gt;"已实测",IF(F911="","待展开路径","未实测"),IF(H911&lt;&gt;"适用","待确认适用性",IF(INDEX(Equipment[登记状态（自动）],MATCH(B911,Equipment[组合编号],0))&lt;&gt;"已登记","待补设备组合",IF(AND(F911&lt;&gt;"",G911&lt;&gt;"",K911&lt;&gt;"",L911&lt;&gt;"",M911&lt;&gt;"",N911&lt;&gt;"",ISNUMBER(O911),O911&gt;0,P911&lt;&gt;""),"记录齐全","待补实测记录")))))))))))</x:f>
        <x:v>待展开路径</x:v>
      </x:c>
    </x:row>
    <x:row r="912" ht="43.5" customHeight="1">
      <x:c r="A912" s="20" t="str">
        <x:v>REC-00903</x:v>
      </x:c>
      <x:c r="B912" s="20" t="str">
        <x:v>P2-B4-01</x:v>
      </x:c>
      <x:c r="C912" s="30" t="str">
        <x:f>IF(B912="","",IF(COUNTIFS(Equipment[组合编号],B912)&lt;&gt;1,"组合编号无效",INDEX(Equipment[PLC组],MATCH(B912,Equipment[组合编号],0))))</x:f>
        <x:v>汇川中大型</x:v>
      </x:c>
      <x:c r="D912" s="30" t="str">
        <x:f>IF(B912="","",IF(COUNTIFS(Equipment[组合编号],B912)&lt;&gt;1,"组合编号无效",INDEX(Equipment[驱动品牌],MATCH(B912,Equipment[组合编号],0))))</x:f>
        <x:v>Elmo</x:v>
      </x:c>
      <x:c r="E912" s="20" t="str">
        <x:v>N07</x:v>
      </x:c>
      <x:c r="F912" s="20"/>
      <x:c r="G912" s="20"/>
      <x:c r="H912" s="20" t="str">
        <x:v>待判定</x:v>
      </x:c>
      <x:c r="I912" s="20"/>
      <x:c r="J912" s="20" t="str">
        <x:v>未测试</x:v>
      </x:c>
      <x:c r="K912" s="20"/>
      <x:c r="L912" s="20"/>
      <x:c r="M912" s="20"/>
      <x:c r="N912" s="20"/>
      <x:c r="O912" s="31"/>
      <x:c r="P912" s="20"/>
      <x:c r="Q912" s="20"/>
      <x:c r="R912" s="20" t="str">
        <x:v>待展开</x:v>
      </x:c>
      <x:c r="S912" s="20"/>
      <x:c r="T912" s="31"/>
      <x:c r="U912" s="30" t="str">
        <x:f>IF(A912="","缺记录编号",IF(COUNTIFS(PathRecords[记录编号],A912)&lt;&gt;1,"记录编号重复",IF(OR(B912="",E912=""),"缺组合/功能",IF(COUNTIFS(Equipment[组合编号],B912)&lt;&gt;1,"组合编号无效",IF(COUNTIFS(FunctionMatrix[编号],E912)=0,"功能编号无效",IF(H912="不适用",IF(J912="已实测","适用性冲突",IF(I912="","待补不适用依据","不适用（非实测）")),IF(J912="阻塞",IF(I912="","待补阻塞原因","阻塞（非实测）"),IF(J912&lt;&gt;"已实测",IF(F912="","待展开路径","未实测"),IF(H912&lt;&gt;"适用","待确认适用性",IF(INDEX(Equipment[登记状态（自动）],MATCH(B912,Equipment[组合编号],0))&lt;&gt;"已登记","待补设备组合",IF(AND(F912&lt;&gt;"",G912&lt;&gt;"",K912&lt;&gt;"",L912&lt;&gt;"",M912&lt;&gt;"",N912&lt;&gt;"",ISNUMBER(O912),O912&gt;0,P912&lt;&gt;""),"记录齐全","待补实测记录")))))))))))</x:f>
        <x:v>待展开路径</x:v>
      </x:c>
    </x:row>
    <x:row r="913" ht="43.5" customHeight="1">
      <x:c r="A913" s="20" t="str">
        <x:v>REC-00904</x:v>
      </x:c>
      <x:c r="B913" s="20" t="str">
        <x:v>P2-B4-01</x:v>
      </x:c>
      <x:c r="C913" s="30" t="str">
        <x:f>IF(B913="","",IF(COUNTIFS(Equipment[组合编号],B913)&lt;&gt;1,"组合编号无效",INDEX(Equipment[PLC组],MATCH(B913,Equipment[组合编号],0))))</x:f>
        <x:v>汇川中大型</x:v>
      </x:c>
      <x:c r="D913" s="30" t="str">
        <x:f>IF(B913="","",IF(COUNTIFS(Equipment[组合编号],B913)&lt;&gt;1,"组合编号无效",INDEX(Equipment[驱动品牌],MATCH(B913,Equipment[组合编号],0))))</x:f>
        <x:v>Elmo</x:v>
      </x:c>
      <x:c r="E913" s="20" t="str">
        <x:v>N08</x:v>
      </x:c>
      <x:c r="F913" s="20"/>
      <x:c r="G913" s="20"/>
      <x:c r="H913" s="20" t="str">
        <x:v>待判定</x:v>
      </x:c>
      <x:c r="I913" s="20"/>
      <x:c r="J913" s="20" t="str">
        <x:v>未测试</x:v>
      </x:c>
      <x:c r="K913" s="20"/>
      <x:c r="L913" s="20"/>
      <x:c r="M913" s="20"/>
      <x:c r="N913" s="20"/>
      <x:c r="O913" s="31"/>
      <x:c r="P913" s="20"/>
      <x:c r="Q913" s="20"/>
      <x:c r="R913" s="20" t="str">
        <x:v>待展开</x:v>
      </x:c>
      <x:c r="S913" s="20"/>
      <x:c r="T913" s="31"/>
      <x:c r="U913" s="30" t="str">
        <x:f>IF(A913="","缺记录编号",IF(COUNTIFS(PathRecords[记录编号],A913)&lt;&gt;1,"记录编号重复",IF(OR(B913="",E913=""),"缺组合/功能",IF(COUNTIFS(Equipment[组合编号],B913)&lt;&gt;1,"组合编号无效",IF(COUNTIFS(FunctionMatrix[编号],E913)=0,"功能编号无效",IF(H913="不适用",IF(J913="已实测","适用性冲突",IF(I913="","待补不适用依据","不适用（非实测）")),IF(J913="阻塞",IF(I913="","待补阻塞原因","阻塞（非实测）"),IF(J913&lt;&gt;"已实测",IF(F913="","待展开路径","未实测"),IF(H913&lt;&gt;"适用","待确认适用性",IF(INDEX(Equipment[登记状态（自动）],MATCH(B913,Equipment[组合编号],0))&lt;&gt;"已登记","待补设备组合",IF(AND(F913&lt;&gt;"",G913&lt;&gt;"",K913&lt;&gt;"",L913&lt;&gt;"",M913&lt;&gt;"",N913&lt;&gt;"",ISNUMBER(O913),O913&gt;0,P913&lt;&gt;""),"记录齐全","待补实测记录")))))))))))</x:f>
        <x:v>待展开路径</x:v>
      </x:c>
    </x:row>
    <x:row r="914" ht="43.5" customHeight="1">
      <x:c r="A914" s="20" t="str">
        <x:v>REC-00905</x:v>
      </x:c>
      <x:c r="B914" s="20" t="str">
        <x:v>P2-B4-01</x:v>
      </x:c>
      <x:c r="C914" s="30" t="str">
        <x:f>IF(B914="","",IF(COUNTIFS(Equipment[组合编号],B914)&lt;&gt;1,"组合编号无效",INDEX(Equipment[PLC组],MATCH(B914,Equipment[组合编号],0))))</x:f>
        <x:v>汇川中大型</x:v>
      </x:c>
      <x:c r="D914" s="30" t="str">
        <x:f>IF(B914="","",IF(COUNTIFS(Equipment[组合编号],B914)&lt;&gt;1,"组合编号无效",INDEX(Equipment[驱动品牌],MATCH(B914,Equipment[组合编号],0))))</x:f>
        <x:v>Elmo</x:v>
      </x:c>
      <x:c r="E914" s="20" t="str">
        <x:v>N09</x:v>
      </x:c>
      <x:c r="F914" s="20"/>
      <x:c r="G914" s="20"/>
      <x:c r="H914" s="20" t="str">
        <x:v>待判定</x:v>
      </x:c>
      <x:c r="I914" s="20"/>
      <x:c r="J914" s="20" t="str">
        <x:v>未测试</x:v>
      </x:c>
      <x:c r="K914" s="20"/>
      <x:c r="L914" s="20"/>
      <x:c r="M914" s="20"/>
      <x:c r="N914" s="20"/>
      <x:c r="O914" s="31"/>
      <x:c r="P914" s="20"/>
      <x:c r="Q914" s="20"/>
      <x:c r="R914" s="20" t="str">
        <x:v>待展开</x:v>
      </x:c>
      <x:c r="S914" s="20"/>
      <x:c r="T914" s="31"/>
      <x:c r="U914" s="30" t="str">
        <x:f>IF(A914="","缺记录编号",IF(COUNTIFS(PathRecords[记录编号],A914)&lt;&gt;1,"记录编号重复",IF(OR(B914="",E914=""),"缺组合/功能",IF(COUNTIFS(Equipment[组合编号],B914)&lt;&gt;1,"组合编号无效",IF(COUNTIFS(FunctionMatrix[编号],E914)=0,"功能编号无效",IF(H914="不适用",IF(J914="已实测","适用性冲突",IF(I914="","待补不适用依据","不适用（非实测）")),IF(J914="阻塞",IF(I914="","待补阻塞原因","阻塞（非实测）"),IF(J914&lt;&gt;"已实测",IF(F914="","待展开路径","未实测"),IF(H914&lt;&gt;"适用","待确认适用性",IF(INDEX(Equipment[登记状态（自动）],MATCH(B914,Equipment[组合编号],0))&lt;&gt;"已登记","待补设备组合",IF(AND(F914&lt;&gt;"",G914&lt;&gt;"",K914&lt;&gt;"",L914&lt;&gt;"",M914&lt;&gt;"",N914&lt;&gt;"",ISNUMBER(O914),O914&gt;0,P914&lt;&gt;""),"记录齐全","待补实测记录")))))))))))</x:f>
        <x:v>待展开路径</x:v>
      </x:c>
    </x:row>
    <x:row r="915" ht="43.5" customHeight="1">
      <x:c r="A915" s="20" t="str">
        <x:v>REC-00906</x:v>
      </x:c>
      <x:c r="B915" s="20" t="str">
        <x:v>P2-B4-01</x:v>
      </x:c>
      <x:c r="C915" s="30" t="str">
        <x:f>IF(B915="","",IF(COUNTIFS(Equipment[组合编号],B915)&lt;&gt;1,"组合编号无效",INDEX(Equipment[PLC组],MATCH(B915,Equipment[组合编号],0))))</x:f>
        <x:v>汇川中大型</x:v>
      </x:c>
      <x:c r="D915" s="30" t="str">
        <x:f>IF(B915="","",IF(COUNTIFS(Equipment[组合编号],B915)&lt;&gt;1,"组合编号无效",INDEX(Equipment[驱动品牌],MATCH(B915,Equipment[组合编号],0))))</x:f>
        <x:v>Elmo</x:v>
      </x:c>
      <x:c r="E915" s="20" t="str">
        <x:v>N10</x:v>
      </x:c>
      <x:c r="F915" s="20"/>
      <x:c r="G915" s="20"/>
      <x:c r="H915" s="20" t="str">
        <x:v>待判定</x:v>
      </x:c>
      <x:c r="I915" s="20"/>
      <x:c r="J915" s="20" t="str">
        <x:v>未测试</x:v>
      </x:c>
      <x:c r="K915" s="20"/>
      <x:c r="L915" s="20"/>
      <x:c r="M915" s="20"/>
      <x:c r="N915" s="20"/>
      <x:c r="O915" s="31"/>
      <x:c r="P915" s="20"/>
      <x:c r="Q915" s="20"/>
      <x:c r="R915" s="20" t="str">
        <x:v>待展开</x:v>
      </x:c>
      <x:c r="S915" s="20"/>
      <x:c r="T915" s="31"/>
      <x:c r="U915" s="30" t="str">
        <x:f>IF(A915="","缺记录编号",IF(COUNTIFS(PathRecords[记录编号],A915)&lt;&gt;1,"记录编号重复",IF(OR(B915="",E915=""),"缺组合/功能",IF(COUNTIFS(Equipment[组合编号],B915)&lt;&gt;1,"组合编号无效",IF(COUNTIFS(FunctionMatrix[编号],E915)=0,"功能编号无效",IF(H915="不适用",IF(J915="已实测","适用性冲突",IF(I915="","待补不适用依据","不适用（非实测）")),IF(J915="阻塞",IF(I915="","待补阻塞原因","阻塞（非实测）"),IF(J915&lt;&gt;"已实测",IF(F915="","待展开路径","未实测"),IF(H915&lt;&gt;"适用","待确认适用性",IF(INDEX(Equipment[登记状态（自动）],MATCH(B915,Equipment[组合编号],0))&lt;&gt;"已登记","待补设备组合",IF(AND(F915&lt;&gt;"",G915&lt;&gt;"",K915&lt;&gt;"",L915&lt;&gt;"",M915&lt;&gt;"",N915&lt;&gt;"",ISNUMBER(O915),O915&gt;0,P915&lt;&gt;""),"记录齐全","待补实测记录")))))))))))</x:f>
        <x:v>待展开路径</x:v>
      </x:c>
    </x:row>
    <x:row r="916" ht="43.5" customHeight="1">
      <x:c r="A916" s="20" t="str">
        <x:v>REC-00907</x:v>
      </x:c>
      <x:c r="B916" s="20" t="str">
        <x:v>P2-B4-01</x:v>
      </x:c>
      <x:c r="C916" s="30" t="str">
        <x:f>IF(B916="","",IF(COUNTIFS(Equipment[组合编号],B916)&lt;&gt;1,"组合编号无效",INDEX(Equipment[PLC组],MATCH(B916,Equipment[组合编号],0))))</x:f>
        <x:v>汇川中大型</x:v>
      </x:c>
      <x:c r="D916" s="30" t="str">
        <x:f>IF(B916="","",IF(COUNTIFS(Equipment[组合编号],B916)&lt;&gt;1,"组合编号无效",INDEX(Equipment[驱动品牌],MATCH(B916,Equipment[组合编号],0))))</x:f>
        <x:v>Elmo</x:v>
      </x:c>
      <x:c r="E916" s="20" t="str">
        <x:v>N11</x:v>
      </x:c>
      <x:c r="F916" s="20"/>
      <x:c r="G916" s="20"/>
      <x:c r="H916" s="20" t="str">
        <x:v>待判定</x:v>
      </x:c>
      <x:c r="I916" s="20"/>
      <x:c r="J916" s="20" t="str">
        <x:v>未测试</x:v>
      </x:c>
      <x:c r="K916" s="20"/>
      <x:c r="L916" s="20"/>
      <x:c r="M916" s="20"/>
      <x:c r="N916" s="20"/>
      <x:c r="O916" s="31"/>
      <x:c r="P916" s="20"/>
      <x:c r="Q916" s="20"/>
      <x:c r="R916" s="20" t="str">
        <x:v>待展开</x:v>
      </x:c>
      <x:c r="S916" s="20"/>
      <x:c r="T916" s="31"/>
      <x:c r="U916" s="30" t="str">
        <x:f>IF(A916="","缺记录编号",IF(COUNTIFS(PathRecords[记录编号],A916)&lt;&gt;1,"记录编号重复",IF(OR(B916="",E916=""),"缺组合/功能",IF(COUNTIFS(Equipment[组合编号],B916)&lt;&gt;1,"组合编号无效",IF(COUNTIFS(FunctionMatrix[编号],E916)=0,"功能编号无效",IF(H916="不适用",IF(J916="已实测","适用性冲突",IF(I916="","待补不适用依据","不适用（非实测）")),IF(J916="阻塞",IF(I916="","待补阻塞原因","阻塞（非实测）"),IF(J916&lt;&gt;"已实测",IF(F916="","待展开路径","未实测"),IF(H916&lt;&gt;"适用","待确认适用性",IF(INDEX(Equipment[登记状态（自动）],MATCH(B916,Equipment[组合编号],0))&lt;&gt;"已登记","待补设备组合",IF(AND(F916&lt;&gt;"",G916&lt;&gt;"",K916&lt;&gt;"",L916&lt;&gt;"",M916&lt;&gt;"",N916&lt;&gt;"",ISNUMBER(O916),O916&gt;0,P916&lt;&gt;""),"记录齐全","待补实测记录")))))))))))</x:f>
        <x:v>待展开路径</x:v>
      </x:c>
    </x:row>
    <x:row r="917" ht="43.5" customHeight="1">
      <x:c r="A917" s="20" t="str">
        <x:v>REC-00908</x:v>
      </x:c>
      <x:c r="B917" s="20" t="str">
        <x:v>P2-B4-01</x:v>
      </x:c>
      <x:c r="C917" s="30" t="str">
        <x:f>IF(B917="","",IF(COUNTIFS(Equipment[组合编号],B917)&lt;&gt;1,"组合编号无效",INDEX(Equipment[PLC组],MATCH(B917,Equipment[组合编号],0))))</x:f>
        <x:v>汇川中大型</x:v>
      </x:c>
      <x:c r="D917" s="30" t="str">
        <x:f>IF(B917="","",IF(COUNTIFS(Equipment[组合编号],B917)&lt;&gt;1,"组合编号无效",INDEX(Equipment[驱动品牌],MATCH(B917,Equipment[组合编号],0))))</x:f>
        <x:v>Elmo</x:v>
      </x:c>
      <x:c r="E917" s="20" t="str">
        <x:v>N12</x:v>
      </x:c>
      <x:c r="F917" s="20"/>
      <x:c r="G917" s="20"/>
      <x:c r="H917" s="20" t="str">
        <x:v>待判定</x:v>
      </x:c>
      <x:c r="I917" s="20"/>
      <x:c r="J917" s="20" t="str">
        <x:v>未测试</x:v>
      </x:c>
      <x:c r="K917" s="20"/>
      <x:c r="L917" s="20"/>
      <x:c r="M917" s="20"/>
      <x:c r="N917" s="20"/>
      <x:c r="O917" s="31"/>
      <x:c r="P917" s="20"/>
      <x:c r="Q917" s="20"/>
      <x:c r="R917" s="20" t="str">
        <x:v>待展开</x:v>
      </x:c>
      <x:c r="S917" s="20"/>
      <x:c r="T917" s="31"/>
      <x:c r="U917" s="30" t="str">
        <x:f>IF(A917="","缺记录编号",IF(COUNTIFS(PathRecords[记录编号],A917)&lt;&gt;1,"记录编号重复",IF(OR(B917="",E917=""),"缺组合/功能",IF(COUNTIFS(Equipment[组合编号],B917)&lt;&gt;1,"组合编号无效",IF(COUNTIFS(FunctionMatrix[编号],E917)=0,"功能编号无效",IF(H917="不适用",IF(J917="已实测","适用性冲突",IF(I917="","待补不适用依据","不适用（非实测）")),IF(J917="阻塞",IF(I917="","待补阻塞原因","阻塞（非实测）"),IF(J917&lt;&gt;"已实测",IF(F917="","待展开路径","未实测"),IF(H917&lt;&gt;"适用","待确认适用性",IF(INDEX(Equipment[登记状态（自动）],MATCH(B917,Equipment[组合编号],0))&lt;&gt;"已登记","待补设备组合",IF(AND(F917&lt;&gt;"",G917&lt;&gt;"",K917&lt;&gt;"",L917&lt;&gt;"",M917&lt;&gt;"",N917&lt;&gt;"",ISNUMBER(O917),O917&gt;0,P917&lt;&gt;""),"记录齐全","待补实测记录")))))))))))</x:f>
        <x:v>待展开路径</x:v>
      </x:c>
    </x:row>
    <x:row r="918" ht="43.5" customHeight="1">
      <x:c r="A918" s="20" t="str">
        <x:v>REC-00909</x:v>
      </x:c>
      <x:c r="B918" s="20" t="str">
        <x:v>P2-B4-01</x:v>
      </x:c>
      <x:c r="C918" s="30" t="str">
        <x:f>IF(B918="","",IF(COUNTIFS(Equipment[组合编号],B918)&lt;&gt;1,"组合编号无效",INDEX(Equipment[PLC组],MATCH(B918,Equipment[组合编号],0))))</x:f>
        <x:v>汇川中大型</x:v>
      </x:c>
      <x:c r="D918" s="30" t="str">
        <x:f>IF(B918="","",IF(COUNTIFS(Equipment[组合编号],B918)&lt;&gt;1,"组合编号无效",INDEX(Equipment[驱动品牌],MATCH(B918,Equipment[组合编号],0))))</x:f>
        <x:v>Elmo</x:v>
      </x:c>
      <x:c r="E918" s="20" t="str">
        <x:v>P01</x:v>
      </x:c>
      <x:c r="F918" s="20"/>
      <x:c r="G918" s="20"/>
      <x:c r="H918" s="20" t="str">
        <x:v>待判定</x:v>
      </x:c>
      <x:c r="I918" s="20"/>
      <x:c r="J918" s="20" t="str">
        <x:v>未测试</x:v>
      </x:c>
      <x:c r="K918" s="20"/>
      <x:c r="L918" s="20"/>
      <x:c r="M918" s="20"/>
      <x:c r="N918" s="20"/>
      <x:c r="O918" s="31"/>
      <x:c r="P918" s="20"/>
      <x:c r="Q918" s="20"/>
      <x:c r="R918" s="20" t="str">
        <x:v>待展开</x:v>
      </x:c>
      <x:c r="S918" s="20"/>
      <x:c r="T918" s="31"/>
      <x:c r="U918" s="30" t="str">
        <x:f>IF(A918="","缺记录编号",IF(COUNTIFS(PathRecords[记录编号],A918)&lt;&gt;1,"记录编号重复",IF(OR(B918="",E918=""),"缺组合/功能",IF(COUNTIFS(Equipment[组合编号],B918)&lt;&gt;1,"组合编号无效",IF(COUNTIFS(FunctionMatrix[编号],E918)=0,"功能编号无效",IF(H918="不适用",IF(J918="已实测","适用性冲突",IF(I918="","待补不适用依据","不适用（非实测）")),IF(J918="阻塞",IF(I918="","待补阻塞原因","阻塞（非实测）"),IF(J918&lt;&gt;"已实测",IF(F918="","待展开路径","未实测"),IF(H918&lt;&gt;"适用","待确认适用性",IF(INDEX(Equipment[登记状态（自动）],MATCH(B918,Equipment[组合编号],0))&lt;&gt;"已登记","待补设备组合",IF(AND(F918&lt;&gt;"",G918&lt;&gt;"",K918&lt;&gt;"",L918&lt;&gt;"",M918&lt;&gt;"",N918&lt;&gt;"",ISNUMBER(O918),O918&gt;0,P918&lt;&gt;""),"记录齐全","待补实测记录")))))))))))</x:f>
        <x:v>待展开路径</x:v>
      </x:c>
    </x:row>
    <x:row r="919" ht="43.5" customHeight="1">
      <x:c r="A919" s="20" t="str">
        <x:v>REC-00910</x:v>
      </x:c>
      <x:c r="B919" s="20" t="str">
        <x:v>P2-B4-01</x:v>
      </x:c>
      <x:c r="C919" s="30" t="str">
        <x:f>IF(B919="","",IF(COUNTIFS(Equipment[组合编号],B919)&lt;&gt;1,"组合编号无效",INDEX(Equipment[PLC组],MATCH(B919,Equipment[组合编号],0))))</x:f>
        <x:v>汇川中大型</x:v>
      </x:c>
      <x:c r="D919" s="30" t="str">
        <x:f>IF(B919="","",IF(COUNTIFS(Equipment[组合编号],B919)&lt;&gt;1,"组合编号无效",INDEX(Equipment[驱动品牌],MATCH(B919,Equipment[组合编号],0))))</x:f>
        <x:v>Elmo</x:v>
      </x:c>
      <x:c r="E919" s="20" t="str">
        <x:v>P02</x:v>
      </x:c>
      <x:c r="F919" s="20"/>
      <x:c r="G919" s="20"/>
      <x:c r="H919" s="20" t="str">
        <x:v>待判定</x:v>
      </x:c>
      <x:c r="I919" s="20"/>
      <x:c r="J919" s="20" t="str">
        <x:v>未测试</x:v>
      </x:c>
      <x:c r="K919" s="20"/>
      <x:c r="L919" s="20"/>
      <x:c r="M919" s="20"/>
      <x:c r="N919" s="20"/>
      <x:c r="O919" s="31"/>
      <x:c r="P919" s="20"/>
      <x:c r="Q919" s="20"/>
      <x:c r="R919" s="20" t="str">
        <x:v>待展开</x:v>
      </x:c>
      <x:c r="S919" s="20"/>
      <x:c r="T919" s="31"/>
      <x:c r="U919" s="30" t="str">
        <x:f>IF(A919="","缺记录编号",IF(COUNTIFS(PathRecords[记录编号],A919)&lt;&gt;1,"记录编号重复",IF(OR(B919="",E919=""),"缺组合/功能",IF(COUNTIFS(Equipment[组合编号],B919)&lt;&gt;1,"组合编号无效",IF(COUNTIFS(FunctionMatrix[编号],E919)=0,"功能编号无效",IF(H919="不适用",IF(J919="已实测","适用性冲突",IF(I919="","待补不适用依据","不适用（非实测）")),IF(J919="阻塞",IF(I919="","待补阻塞原因","阻塞（非实测）"),IF(J919&lt;&gt;"已实测",IF(F919="","待展开路径","未实测"),IF(H919&lt;&gt;"适用","待确认适用性",IF(INDEX(Equipment[登记状态（自动）],MATCH(B919,Equipment[组合编号],0))&lt;&gt;"已登记","待补设备组合",IF(AND(F919&lt;&gt;"",G919&lt;&gt;"",K919&lt;&gt;"",L919&lt;&gt;"",M919&lt;&gt;"",N919&lt;&gt;"",ISNUMBER(O919),O919&gt;0,P919&lt;&gt;""),"记录齐全","待补实测记录")))))))))))</x:f>
        <x:v>待展开路径</x:v>
      </x:c>
    </x:row>
    <x:row r="920" ht="43.5" customHeight="1">
      <x:c r="A920" s="20" t="str">
        <x:v>REC-00911</x:v>
      </x:c>
      <x:c r="B920" s="20" t="str">
        <x:v>P2-B4-01</x:v>
      </x:c>
      <x:c r="C920" s="30" t="str">
        <x:f>IF(B920="","",IF(COUNTIFS(Equipment[组合编号],B920)&lt;&gt;1,"组合编号无效",INDEX(Equipment[PLC组],MATCH(B920,Equipment[组合编号],0))))</x:f>
        <x:v>汇川中大型</x:v>
      </x:c>
      <x:c r="D920" s="30" t="str">
        <x:f>IF(B920="","",IF(COUNTIFS(Equipment[组合编号],B920)&lt;&gt;1,"组合编号无效",INDEX(Equipment[驱动品牌],MATCH(B920,Equipment[组合编号],0))))</x:f>
        <x:v>Elmo</x:v>
      </x:c>
      <x:c r="E920" s="20" t="str">
        <x:v>P03</x:v>
      </x:c>
      <x:c r="F920" s="20"/>
      <x:c r="G920" s="20"/>
      <x:c r="H920" s="20" t="str">
        <x:v>待判定</x:v>
      </x:c>
      <x:c r="I920" s="20"/>
      <x:c r="J920" s="20" t="str">
        <x:v>未测试</x:v>
      </x:c>
      <x:c r="K920" s="20"/>
      <x:c r="L920" s="20"/>
      <x:c r="M920" s="20"/>
      <x:c r="N920" s="20"/>
      <x:c r="O920" s="31"/>
      <x:c r="P920" s="20"/>
      <x:c r="Q920" s="20"/>
      <x:c r="R920" s="20" t="str">
        <x:v>待展开</x:v>
      </x:c>
      <x:c r="S920" s="20"/>
      <x:c r="T920" s="31"/>
      <x:c r="U920" s="30" t="str">
        <x:f>IF(A920="","缺记录编号",IF(COUNTIFS(PathRecords[记录编号],A920)&lt;&gt;1,"记录编号重复",IF(OR(B920="",E920=""),"缺组合/功能",IF(COUNTIFS(Equipment[组合编号],B920)&lt;&gt;1,"组合编号无效",IF(COUNTIFS(FunctionMatrix[编号],E920)=0,"功能编号无效",IF(H920="不适用",IF(J920="已实测","适用性冲突",IF(I920="","待补不适用依据","不适用（非实测）")),IF(J920="阻塞",IF(I920="","待补阻塞原因","阻塞（非实测）"),IF(J920&lt;&gt;"已实测",IF(F920="","待展开路径","未实测"),IF(H920&lt;&gt;"适用","待确认适用性",IF(INDEX(Equipment[登记状态（自动）],MATCH(B920,Equipment[组合编号],0))&lt;&gt;"已登记","待补设备组合",IF(AND(F920&lt;&gt;"",G920&lt;&gt;"",K920&lt;&gt;"",L920&lt;&gt;"",M920&lt;&gt;"",N920&lt;&gt;"",ISNUMBER(O920),O920&gt;0,P920&lt;&gt;""),"记录齐全","待补实测记录")))))))))))</x:f>
        <x:v>待展开路径</x:v>
      </x:c>
    </x:row>
    <x:row r="921" ht="43.5" customHeight="1">
      <x:c r="A921" s="20" t="str">
        <x:v>REC-00912</x:v>
      </x:c>
      <x:c r="B921" s="20" t="str">
        <x:v>P2-B4-01</x:v>
      </x:c>
      <x:c r="C921" s="30" t="str">
        <x:f>IF(B921="","",IF(COUNTIFS(Equipment[组合编号],B921)&lt;&gt;1,"组合编号无效",INDEX(Equipment[PLC组],MATCH(B921,Equipment[组合编号],0))))</x:f>
        <x:v>汇川中大型</x:v>
      </x:c>
      <x:c r="D921" s="30" t="str">
        <x:f>IF(B921="","",IF(COUNTIFS(Equipment[组合编号],B921)&lt;&gt;1,"组合编号无效",INDEX(Equipment[驱动品牌],MATCH(B921,Equipment[组合编号],0))))</x:f>
        <x:v>Elmo</x:v>
      </x:c>
      <x:c r="E921" s="20" t="str">
        <x:v>P04</x:v>
      </x:c>
      <x:c r="F921" s="20"/>
      <x:c r="G921" s="20"/>
      <x:c r="H921" s="20" t="str">
        <x:v>待判定</x:v>
      </x:c>
      <x:c r="I921" s="20"/>
      <x:c r="J921" s="20" t="str">
        <x:v>未测试</x:v>
      </x:c>
      <x:c r="K921" s="20"/>
      <x:c r="L921" s="20"/>
      <x:c r="M921" s="20"/>
      <x:c r="N921" s="20"/>
      <x:c r="O921" s="31"/>
      <x:c r="P921" s="20"/>
      <x:c r="Q921" s="20"/>
      <x:c r="R921" s="20" t="str">
        <x:v>待展开</x:v>
      </x:c>
      <x:c r="S921" s="20"/>
      <x:c r="T921" s="31"/>
      <x:c r="U921" s="30" t="str">
        <x:f>IF(A921="","缺记录编号",IF(COUNTIFS(PathRecords[记录编号],A921)&lt;&gt;1,"记录编号重复",IF(OR(B921="",E921=""),"缺组合/功能",IF(COUNTIFS(Equipment[组合编号],B921)&lt;&gt;1,"组合编号无效",IF(COUNTIFS(FunctionMatrix[编号],E921)=0,"功能编号无效",IF(H921="不适用",IF(J921="已实测","适用性冲突",IF(I921="","待补不适用依据","不适用（非实测）")),IF(J921="阻塞",IF(I921="","待补阻塞原因","阻塞（非实测）"),IF(J921&lt;&gt;"已实测",IF(F921="","待展开路径","未实测"),IF(H921&lt;&gt;"适用","待确认适用性",IF(INDEX(Equipment[登记状态（自动）],MATCH(B921,Equipment[组合编号],0))&lt;&gt;"已登记","待补设备组合",IF(AND(F921&lt;&gt;"",G921&lt;&gt;"",K921&lt;&gt;"",L921&lt;&gt;"",M921&lt;&gt;"",N921&lt;&gt;"",ISNUMBER(O921),O921&gt;0,P921&lt;&gt;""),"记录齐全","待补实测记录")))))))))))</x:f>
        <x:v>待展开路径</x:v>
      </x:c>
    </x:row>
    <x:row r="922" ht="43.5" customHeight="1">
      <x:c r="A922" s="20" t="str">
        <x:v>REC-00913</x:v>
      </x:c>
      <x:c r="B922" s="20" t="str">
        <x:v>P2-B4-01</x:v>
      </x:c>
      <x:c r="C922" s="30" t="str">
        <x:f>IF(B922="","",IF(COUNTIFS(Equipment[组合编号],B922)&lt;&gt;1,"组合编号无效",INDEX(Equipment[PLC组],MATCH(B922,Equipment[组合编号],0))))</x:f>
        <x:v>汇川中大型</x:v>
      </x:c>
      <x:c r="D922" s="30" t="str">
        <x:f>IF(B922="","",IF(COUNTIFS(Equipment[组合编号],B922)&lt;&gt;1,"组合编号无效",INDEX(Equipment[驱动品牌],MATCH(B922,Equipment[组合编号],0))))</x:f>
        <x:v>Elmo</x:v>
      </x:c>
      <x:c r="E922" s="20" t="str">
        <x:v>P05</x:v>
      </x:c>
      <x:c r="F922" s="20"/>
      <x:c r="G922" s="20"/>
      <x:c r="H922" s="20" t="str">
        <x:v>待判定</x:v>
      </x:c>
      <x:c r="I922" s="20"/>
      <x:c r="J922" s="20" t="str">
        <x:v>未测试</x:v>
      </x:c>
      <x:c r="K922" s="20"/>
      <x:c r="L922" s="20"/>
      <x:c r="M922" s="20"/>
      <x:c r="N922" s="20"/>
      <x:c r="O922" s="31"/>
      <x:c r="P922" s="20"/>
      <x:c r="Q922" s="20"/>
      <x:c r="R922" s="20" t="str">
        <x:v>待展开</x:v>
      </x:c>
      <x:c r="S922" s="20"/>
      <x:c r="T922" s="31"/>
      <x:c r="U922" s="30" t="str">
        <x:f>IF(A922="","缺记录编号",IF(COUNTIFS(PathRecords[记录编号],A922)&lt;&gt;1,"记录编号重复",IF(OR(B922="",E922=""),"缺组合/功能",IF(COUNTIFS(Equipment[组合编号],B922)&lt;&gt;1,"组合编号无效",IF(COUNTIFS(FunctionMatrix[编号],E922)=0,"功能编号无效",IF(H922="不适用",IF(J922="已实测","适用性冲突",IF(I922="","待补不适用依据","不适用（非实测）")),IF(J922="阻塞",IF(I922="","待补阻塞原因","阻塞（非实测）"),IF(J922&lt;&gt;"已实测",IF(F922="","待展开路径","未实测"),IF(H922&lt;&gt;"适用","待确认适用性",IF(INDEX(Equipment[登记状态（自动）],MATCH(B922,Equipment[组合编号],0))&lt;&gt;"已登记","待补设备组合",IF(AND(F922&lt;&gt;"",G922&lt;&gt;"",K922&lt;&gt;"",L922&lt;&gt;"",M922&lt;&gt;"",N922&lt;&gt;"",ISNUMBER(O922),O922&gt;0,P922&lt;&gt;""),"记录齐全","待补实测记录")))))))))))</x:f>
        <x:v>待展开路径</x:v>
      </x:c>
    </x:row>
    <x:row r="923" ht="43.5" customHeight="1">
      <x:c r="A923" s="20" t="str">
        <x:v>REC-00914</x:v>
      </x:c>
      <x:c r="B923" s="20" t="str">
        <x:v>P2-B4-01</x:v>
      </x:c>
      <x:c r="C923" s="30" t="str">
        <x:f>IF(B923="","",IF(COUNTIFS(Equipment[组合编号],B923)&lt;&gt;1,"组合编号无效",INDEX(Equipment[PLC组],MATCH(B923,Equipment[组合编号],0))))</x:f>
        <x:v>汇川中大型</x:v>
      </x:c>
      <x:c r="D923" s="30" t="str">
        <x:f>IF(B923="","",IF(COUNTIFS(Equipment[组合编号],B923)&lt;&gt;1,"组合编号无效",INDEX(Equipment[驱动品牌],MATCH(B923,Equipment[组合编号],0))))</x:f>
        <x:v>Elmo</x:v>
      </x:c>
      <x:c r="E923" s="20" t="str">
        <x:v>P06</x:v>
      </x:c>
      <x:c r="F923" s="20"/>
      <x:c r="G923" s="20"/>
      <x:c r="H923" s="20" t="str">
        <x:v>待判定</x:v>
      </x:c>
      <x:c r="I923" s="20"/>
      <x:c r="J923" s="20" t="str">
        <x:v>未测试</x:v>
      </x:c>
      <x:c r="K923" s="20"/>
      <x:c r="L923" s="20"/>
      <x:c r="M923" s="20"/>
      <x:c r="N923" s="20"/>
      <x:c r="O923" s="31"/>
      <x:c r="P923" s="20"/>
      <x:c r="Q923" s="20"/>
      <x:c r="R923" s="20" t="str">
        <x:v>待展开</x:v>
      </x:c>
      <x:c r="S923" s="20"/>
      <x:c r="T923" s="31"/>
      <x:c r="U923" s="30" t="str">
        <x:f>IF(A923="","缺记录编号",IF(COUNTIFS(PathRecords[记录编号],A923)&lt;&gt;1,"记录编号重复",IF(OR(B923="",E923=""),"缺组合/功能",IF(COUNTIFS(Equipment[组合编号],B923)&lt;&gt;1,"组合编号无效",IF(COUNTIFS(FunctionMatrix[编号],E923)=0,"功能编号无效",IF(H923="不适用",IF(J923="已实测","适用性冲突",IF(I923="","待补不适用依据","不适用（非实测）")),IF(J923="阻塞",IF(I923="","待补阻塞原因","阻塞（非实测）"),IF(J923&lt;&gt;"已实测",IF(F923="","待展开路径","未实测"),IF(H923&lt;&gt;"适用","待确认适用性",IF(INDEX(Equipment[登记状态（自动）],MATCH(B923,Equipment[组合编号],0))&lt;&gt;"已登记","待补设备组合",IF(AND(F923&lt;&gt;"",G923&lt;&gt;"",K923&lt;&gt;"",L923&lt;&gt;"",M923&lt;&gt;"",N923&lt;&gt;"",ISNUMBER(O923),O923&gt;0,P923&lt;&gt;""),"记录齐全","待补实测记录")))))))))))</x:f>
        <x:v>待展开路径</x:v>
      </x:c>
    </x:row>
    <x:row r="924" ht="43.5" customHeight="1">
      <x:c r="A924" s="20" t="str">
        <x:v>REC-00915</x:v>
      </x:c>
      <x:c r="B924" s="20" t="str">
        <x:v>P2-B4-01</x:v>
      </x:c>
      <x:c r="C924" s="30" t="str">
        <x:f>IF(B924="","",IF(COUNTIFS(Equipment[组合编号],B924)&lt;&gt;1,"组合编号无效",INDEX(Equipment[PLC组],MATCH(B924,Equipment[组合编号],0))))</x:f>
        <x:v>汇川中大型</x:v>
      </x:c>
      <x:c r="D924" s="30" t="str">
        <x:f>IF(B924="","",IF(COUNTIFS(Equipment[组合编号],B924)&lt;&gt;1,"组合编号无效",INDEX(Equipment[驱动品牌],MATCH(B924,Equipment[组合编号],0))))</x:f>
        <x:v>Elmo</x:v>
      </x:c>
      <x:c r="E924" s="20" t="str">
        <x:v>P07</x:v>
      </x:c>
      <x:c r="F924" s="20"/>
      <x:c r="G924" s="20"/>
      <x:c r="H924" s="20" t="str">
        <x:v>待判定</x:v>
      </x:c>
      <x:c r="I924" s="20"/>
      <x:c r="J924" s="20" t="str">
        <x:v>未测试</x:v>
      </x:c>
      <x:c r="K924" s="20"/>
      <x:c r="L924" s="20"/>
      <x:c r="M924" s="20"/>
      <x:c r="N924" s="20"/>
      <x:c r="O924" s="31"/>
      <x:c r="P924" s="20"/>
      <x:c r="Q924" s="20"/>
      <x:c r="R924" s="20" t="str">
        <x:v>待展开</x:v>
      </x:c>
      <x:c r="S924" s="20"/>
      <x:c r="T924" s="31"/>
      <x:c r="U924" s="30" t="str">
        <x:f>IF(A924="","缺记录编号",IF(COUNTIFS(PathRecords[记录编号],A924)&lt;&gt;1,"记录编号重复",IF(OR(B924="",E924=""),"缺组合/功能",IF(COUNTIFS(Equipment[组合编号],B924)&lt;&gt;1,"组合编号无效",IF(COUNTIFS(FunctionMatrix[编号],E924)=0,"功能编号无效",IF(H924="不适用",IF(J924="已实测","适用性冲突",IF(I924="","待补不适用依据","不适用（非实测）")),IF(J924="阻塞",IF(I924="","待补阻塞原因","阻塞（非实测）"),IF(J924&lt;&gt;"已实测",IF(F924="","待展开路径","未实测"),IF(H924&lt;&gt;"适用","待确认适用性",IF(INDEX(Equipment[登记状态（自动）],MATCH(B924,Equipment[组合编号],0))&lt;&gt;"已登记","待补设备组合",IF(AND(F924&lt;&gt;"",G924&lt;&gt;"",K924&lt;&gt;"",L924&lt;&gt;"",M924&lt;&gt;"",N924&lt;&gt;"",ISNUMBER(O924),O924&gt;0,P924&lt;&gt;""),"记录齐全","待补实测记录")))))))))))</x:f>
        <x:v>待展开路径</x:v>
      </x:c>
    </x:row>
    <x:row r="925" ht="43.5" customHeight="1">
      <x:c r="A925" s="20" t="str">
        <x:v>REC-00916</x:v>
      </x:c>
      <x:c r="B925" s="20" t="str">
        <x:v>P2-B4-01</x:v>
      </x:c>
      <x:c r="C925" s="30" t="str">
        <x:f>IF(B925="","",IF(COUNTIFS(Equipment[组合编号],B925)&lt;&gt;1,"组合编号无效",INDEX(Equipment[PLC组],MATCH(B925,Equipment[组合编号],0))))</x:f>
        <x:v>汇川中大型</x:v>
      </x:c>
      <x:c r="D925" s="30" t="str">
        <x:f>IF(B925="","",IF(COUNTIFS(Equipment[组合编号],B925)&lt;&gt;1,"组合编号无效",INDEX(Equipment[驱动品牌],MATCH(B925,Equipment[组合编号],0))))</x:f>
        <x:v>Elmo</x:v>
      </x:c>
      <x:c r="E925" s="20" t="str">
        <x:v>P08</x:v>
      </x:c>
      <x:c r="F925" s="20"/>
      <x:c r="G925" s="20"/>
      <x:c r="H925" s="20" t="str">
        <x:v>待判定</x:v>
      </x:c>
      <x:c r="I925" s="20"/>
      <x:c r="J925" s="20" t="str">
        <x:v>未测试</x:v>
      </x:c>
      <x:c r="K925" s="20"/>
      <x:c r="L925" s="20"/>
      <x:c r="M925" s="20"/>
      <x:c r="N925" s="20"/>
      <x:c r="O925" s="31"/>
      <x:c r="P925" s="20"/>
      <x:c r="Q925" s="20"/>
      <x:c r="R925" s="20" t="str">
        <x:v>待展开</x:v>
      </x:c>
      <x:c r="S925" s="20"/>
      <x:c r="T925" s="31"/>
      <x:c r="U925" s="30" t="str">
        <x:f>IF(A925="","缺记录编号",IF(COUNTIFS(PathRecords[记录编号],A925)&lt;&gt;1,"记录编号重复",IF(OR(B925="",E925=""),"缺组合/功能",IF(COUNTIFS(Equipment[组合编号],B925)&lt;&gt;1,"组合编号无效",IF(COUNTIFS(FunctionMatrix[编号],E925)=0,"功能编号无效",IF(H925="不适用",IF(J925="已实测","适用性冲突",IF(I925="","待补不适用依据","不适用（非实测）")),IF(J925="阻塞",IF(I925="","待补阻塞原因","阻塞（非实测）"),IF(J925&lt;&gt;"已实测",IF(F925="","待展开路径","未实测"),IF(H925&lt;&gt;"适用","待确认适用性",IF(INDEX(Equipment[登记状态（自动）],MATCH(B925,Equipment[组合编号],0))&lt;&gt;"已登记","待补设备组合",IF(AND(F925&lt;&gt;"",G925&lt;&gt;"",K925&lt;&gt;"",L925&lt;&gt;"",M925&lt;&gt;"",N925&lt;&gt;"",ISNUMBER(O925),O925&gt;0,P925&lt;&gt;""),"记录齐全","待补实测记录")))))))))))</x:f>
        <x:v>待展开路径</x:v>
      </x:c>
    </x:row>
    <x:row r="926" ht="43.5" customHeight="1">
      <x:c r="A926" s="20" t="str">
        <x:v>REC-00917</x:v>
      </x:c>
      <x:c r="B926" s="20" t="str">
        <x:v>P2-B4-01</x:v>
      </x:c>
      <x:c r="C926" s="30" t="str">
        <x:f>IF(B926="","",IF(COUNTIFS(Equipment[组合编号],B926)&lt;&gt;1,"组合编号无效",INDEX(Equipment[PLC组],MATCH(B926,Equipment[组合编号],0))))</x:f>
        <x:v>汇川中大型</x:v>
      </x:c>
      <x:c r="D926" s="30" t="str">
        <x:f>IF(B926="","",IF(COUNTIFS(Equipment[组合编号],B926)&lt;&gt;1,"组合编号无效",INDEX(Equipment[驱动品牌],MATCH(B926,Equipment[组合编号],0))))</x:f>
        <x:v>Elmo</x:v>
      </x:c>
      <x:c r="E926" s="20" t="str">
        <x:v>P09</x:v>
      </x:c>
      <x:c r="F926" s="20"/>
      <x:c r="G926" s="20"/>
      <x:c r="H926" s="20" t="str">
        <x:v>待判定</x:v>
      </x:c>
      <x:c r="I926" s="20"/>
      <x:c r="J926" s="20" t="str">
        <x:v>未测试</x:v>
      </x:c>
      <x:c r="K926" s="20"/>
      <x:c r="L926" s="20"/>
      <x:c r="M926" s="20"/>
      <x:c r="N926" s="20"/>
      <x:c r="O926" s="31"/>
      <x:c r="P926" s="20"/>
      <x:c r="Q926" s="20"/>
      <x:c r="R926" s="20" t="str">
        <x:v>待展开</x:v>
      </x:c>
      <x:c r="S926" s="20"/>
      <x:c r="T926" s="31"/>
      <x:c r="U926" s="30" t="str">
        <x:f>IF(A926="","缺记录编号",IF(COUNTIFS(PathRecords[记录编号],A926)&lt;&gt;1,"记录编号重复",IF(OR(B926="",E926=""),"缺组合/功能",IF(COUNTIFS(Equipment[组合编号],B926)&lt;&gt;1,"组合编号无效",IF(COUNTIFS(FunctionMatrix[编号],E926)=0,"功能编号无效",IF(H926="不适用",IF(J926="已实测","适用性冲突",IF(I926="","待补不适用依据","不适用（非实测）")),IF(J926="阻塞",IF(I926="","待补阻塞原因","阻塞（非实测）"),IF(J926&lt;&gt;"已实测",IF(F926="","待展开路径","未实测"),IF(H926&lt;&gt;"适用","待确认适用性",IF(INDEX(Equipment[登记状态（自动）],MATCH(B926,Equipment[组合编号],0))&lt;&gt;"已登记","待补设备组合",IF(AND(F926&lt;&gt;"",G926&lt;&gt;"",K926&lt;&gt;"",L926&lt;&gt;"",M926&lt;&gt;"",N926&lt;&gt;"",ISNUMBER(O926),O926&gt;0,P926&lt;&gt;""),"记录齐全","待补实测记录")))))))))))</x:f>
        <x:v>待展开路径</x:v>
      </x:c>
    </x:row>
    <x:row r="927" ht="43.5" customHeight="1">
      <x:c r="A927" s="20" t="str">
        <x:v>REC-00918</x:v>
      </x:c>
      <x:c r="B927" s="20" t="str">
        <x:v>P2-B4-01</x:v>
      </x:c>
      <x:c r="C927" s="30" t="str">
        <x:f>IF(B927="","",IF(COUNTIFS(Equipment[组合编号],B927)&lt;&gt;1,"组合编号无效",INDEX(Equipment[PLC组],MATCH(B927,Equipment[组合编号],0))))</x:f>
        <x:v>汇川中大型</x:v>
      </x:c>
      <x:c r="D927" s="30" t="str">
        <x:f>IF(B927="","",IF(COUNTIFS(Equipment[组合编号],B927)&lt;&gt;1,"组合编号无效",INDEX(Equipment[驱动品牌],MATCH(B927,Equipment[组合编号],0))))</x:f>
        <x:v>Elmo</x:v>
      </x:c>
      <x:c r="E927" s="20" t="str">
        <x:v>P10</x:v>
      </x:c>
      <x:c r="F927" s="20"/>
      <x:c r="G927" s="20"/>
      <x:c r="H927" s="20" t="str">
        <x:v>待判定</x:v>
      </x:c>
      <x:c r="I927" s="20"/>
      <x:c r="J927" s="20" t="str">
        <x:v>未测试</x:v>
      </x:c>
      <x:c r="K927" s="20"/>
      <x:c r="L927" s="20"/>
      <x:c r="M927" s="20"/>
      <x:c r="N927" s="20"/>
      <x:c r="O927" s="31"/>
      <x:c r="P927" s="20"/>
      <x:c r="Q927" s="20"/>
      <x:c r="R927" s="20" t="str">
        <x:v>待展开</x:v>
      </x:c>
      <x:c r="S927" s="20"/>
      <x:c r="T927" s="31"/>
      <x:c r="U927" s="30" t="str">
        <x:f>IF(A927="","缺记录编号",IF(COUNTIFS(PathRecords[记录编号],A927)&lt;&gt;1,"记录编号重复",IF(OR(B927="",E927=""),"缺组合/功能",IF(COUNTIFS(Equipment[组合编号],B927)&lt;&gt;1,"组合编号无效",IF(COUNTIFS(FunctionMatrix[编号],E927)=0,"功能编号无效",IF(H927="不适用",IF(J927="已实测","适用性冲突",IF(I927="","待补不适用依据","不适用（非实测）")),IF(J927="阻塞",IF(I927="","待补阻塞原因","阻塞（非实测）"),IF(J927&lt;&gt;"已实测",IF(F927="","待展开路径","未实测"),IF(H927&lt;&gt;"适用","待确认适用性",IF(INDEX(Equipment[登记状态（自动）],MATCH(B927,Equipment[组合编号],0))&lt;&gt;"已登记","待补设备组合",IF(AND(F927&lt;&gt;"",G927&lt;&gt;"",K927&lt;&gt;"",L927&lt;&gt;"",M927&lt;&gt;"",N927&lt;&gt;"",ISNUMBER(O927),O927&gt;0,P927&lt;&gt;""),"记录齐全","待补实测记录")))))))))))</x:f>
        <x:v>待展开路径</x:v>
      </x:c>
    </x:row>
    <x:row r="928" ht="43.5" customHeight="1">
      <x:c r="A928" s="20" t="str">
        <x:v>REC-00919</x:v>
      </x:c>
      <x:c r="B928" s="20" t="str">
        <x:v>P2-B4-01</x:v>
      </x:c>
      <x:c r="C928" s="30" t="str">
        <x:f>IF(B928="","",IF(COUNTIFS(Equipment[组合编号],B928)&lt;&gt;1,"组合编号无效",INDEX(Equipment[PLC组],MATCH(B928,Equipment[组合编号],0))))</x:f>
        <x:v>汇川中大型</x:v>
      </x:c>
      <x:c r="D928" s="30" t="str">
        <x:f>IF(B928="","",IF(COUNTIFS(Equipment[组合编号],B928)&lt;&gt;1,"组合编号无效",INDEX(Equipment[驱动品牌],MATCH(B928,Equipment[组合编号],0))))</x:f>
        <x:v>Elmo</x:v>
      </x:c>
      <x:c r="E928" s="20" t="str">
        <x:v>A01</x:v>
      </x:c>
      <x:c r="F928" s="20"/>
      <x:c r="G928" s="20"/>
      <x:c r="H928" s="20" t="str">
        <x:v>待判定</x:v>
      </x:c>
      <x:c r="I928" s="20"/>
      <x:c r="J928" s="20" t="str">
        <x:v>未测试</x:v>
      </x:c>
      <x:c r="K928" s="20"/>
      <x:c r="L928" s="20"/>
      <x:c r="M928" s="20"/>
      <x:c r="N928" s="20"/>
      <x:c r="O928" s="31"/>
      <x:c r="P928" s="20"/>
      <x:c r="Q928" s="20"/>
      <x:c r="R928" s="20" t="str">
        <x:v>待展开</x:v>
      </x:c>
      <x:c r="S928" s="20"/>
      <x:c r="T928" s="31"/>
      <x:c r="U928" s="30" t="str">
        <x:f>IF(A928="","缺记录编号",IF(COUNTIFS(PathRecords[记录编号],A928)&lt;&gt;1,"记录编号重复",IF(OR(B928="",E928=""),"缺组合/功能",IF(COUNTIFS(Equipment[组合编号],B928)&lt;&gt;1,"组合编号无效",IF(COUNTIFS(FunctionMatrix[编号],E928)=0,"功能编号无效",IF(H928="不适用",IF(J928="已实测","适用性冲突",IF(I928="","待补不适用依据","不适用（非实测）")),IF(J928="阻塞",IF(I928="","待补阻塞原因","阻塞（非实测）"),IF(J928&lt;&gt;"已实测",IF(F928="","待展开路径","未实测"),IF(H928&lt;&gt;"适用","待确认适用性",IF(INDEX(Equipment[登记状态（自动）],MATCH(B928,Equipment[组合编号],0))&lt;&gt;"已登记","待补设备组合",IF(AND(F928&lt;&gt;"",G928&lt;&gt;"",K928&lt;&gt;"",L928&lt;&gt;"",M928&lt;&gt;"",N928&lt;&gt;"",ISNUMBER(O928),O928&gt;0,P928&lt;&gt;""),"记录齐全","待补实测记录")))))))))))</x:f>
        <x:v>待展开路径</x:v>
      </x:c>
    </x:row>
    <x:row r="929" ht="43.5" customHeight="1">
      <x:c r="A929" s="20" t="str">
        <x:v>REC-00920</x:v>
      </x:c>
      <x:c r="B929" s="20" t="str">
        <x:v>P2-B4-01</x:v>
      </x:c>
      <x:c r="C929" s="30" t="str">
        <x:f>IF(B929="","",IF(COUNTIFS(Equipment[组合编号],B929)&lt;&gt;1,"组合编号无效",INDEX(Equipment[PLC组],MATCH(B929,Equipment[组合编号],0))))</x:f>
        <x:v>汇川中大型</x:v>
      </x:c>
      <x:c r="D929" s="30" t="str">
        <x:f>IF(B929="","",IF(COUNTIFS(Equipment[组合编号],B929)&lt;&gt;1,"组合编号无效",INDEX(Equipment[驱动品牌],MATCH(B929,Equipment[组合编号],0))))</x:f>
        <x:v>Elmo</x:v>
      </x:c>
      <x:c r="E929" s="20" t="str">
        <x:v>A02</x:v>
      </x:c>
      <x:c r="F929" s="20"/>
      <x:c r="G929" s="20"/>
      <x:c r="H929" s="20" t="str">
        <x:v>待判定</x:v>
      </x:c>
      <x:c r="I929" s="20"/>
      <x:c r="J929" s="20" t="str">
        <x:v>未测试</x:v>
      </x:c>
      <x:c r="K929" s="20"/>
      <x:c r="L929" s="20"/>
      <x:c r="M929" s="20"/>
      <x:c r="N929" s="20"/>
      <x:c r="O929" s="31"/>
      <x:c r="P929" s="20"/>
      <x:c r="Q929" s="20"/>
      <x:c r="R929" s="20" t="str">
        <x:v>待展开</x:v>
      </x:c>
      <x:c r="S929" s="20"/>
      <x:c r="T929" s="31"/>
      <x:c r="U929" s="30" t="str">
        <x:f>IF(A929="","缺记录编号",IF(COUNTIFS(PathRecords[记录编号],A929)&lt;&gt;1,"记录编号重复",IF(OR(B929="",E929=""),"缺组合/功能",IF(COUNTIFS(Equipment[组合编号],B929)&lt;&gt;1,"组合编号无效",IF(COUNTIFS(FunctionMatrix[编号],E929)=0,"功能编号无效",IF(H929="不适用",IF(J929="已实测","适用性冲突",IF(I929="","待补不适用依据","不适用（非实测）")),IF(J929="阻塞",IF(I929="","待补阻塞原因","阻塞（非实测）"),IF(J929&lt;&gt;"已实测",IF(F929="","待展开路径","未实测"),IF(H929&lt;&gt;"适用","待确认适用性",IF(INDEX(Equipment[登记状态（自动）],MATCH(B929,Equipment[组合编号],0))&lt;&gt;"已登记","待补设备组合",IF(AND(F929&lt;&gt;"",G929&lt;&gt;"",K929&lt;&gt;"",L929&lt;&gt;"",M929&lt;&gt;"",N929&lt;&gt;"",ISNUMBER(O929),O929&gt;0,P929&lt;&gt;""),"记录齐全","待补实测记录")))))))))))</x:f>
        <x:v>待展开路径</x:v>
      </x:c>
    </x:row>
    <x:row r="930" ht="43.5" customHeight="1">
      <x:c r="A930" s="20" t="str">
        <x:v>REC-00921</x:v>
      </x:c>
      <x:c r="B930" s="20" t="str">
        <x:v>P2-B4-01</x:v>
      </x:c>
      <x:c r="C930" s="30" t="str">
        <x:f>IF(B930="","",IF(COUNTIFS(Equipment[组合编号],B930)&lt;&gt;1,"组合编号无效",INDEX(Equipment[PLC组],MATCH(B930,Equipment[组合编号],0))))</x:f>
        <x:v>汇川中大型</x:v>
      </x:c>
      <x:c r="D930" s="30" t="str">
        <x:f>IF(B930="","",IF(COUNTIFS(Equipment[组合编号],B930)&lt;&gt;1,"组合编号无效",INDEX(Equipment[驱动品牌],MATCH(B930,Equipment[组合编号],0))))</x:f>
        <x:v>Elmo</x:v>
      </x:c>
      <x:c r="E930" s="20" t="str">
        <x:v>A03</x:v>
      </x:c>
      <x:c r="F930" s="20"/>
      <x:c r="G930" s="20"/>
      <x:c r="H930" s="20" t="str">
        <x:v>待判定</x:v>
      </x:c>
      <x:c r="I930" s="20"/>
      <x:c r="J930" s="20" t="str">
        <x:v>未测试</x:v>
      </x:c>
      <x:c r="K930" s="20"/>
      <x:c r="L930" s="20"/>
      <x:c r="M930" s="20"/>
      <x:c r="N930" s="20"/>
      <x:c r="O930" s="31"/>
      <x:c r="P930" s="20"/>
      <x:c r="Q930" s="20"/>
      <x:c r="R930" s="20" t="str">
        <x:v>待展开</x:v>
      </x:c>
      <x:c r="S930" s="20"/>
      <x:c r="T930" s="31"/>
      <x:c r="U930" s="30" t="str">
        <x:f>IF(A930="","缺记录编号",IF(COUNTIFS(PathRecords[记录编号],A930)&lt;&gt;1,"记录编号重复",IF(OR(B930="",E930=""),"缺组合/功能",IF(COUNTIFS(Equipment[组合编号],B930)&lt;&gt;1,"组合编号无效",IF(COUNTIFS(FunctionMatrix[编号],E930)=0,"功能编号无效",IF(H930="不适用",IF(J930="已实测","适用性冲突",IF(I930="","待补不适用依据","不适用（非实测）")),IF(J930="阻塞",IF(I930="","待补阻塞原因","阻塞（非实测）"),IF(J930&lt;&gt;"已实测",IF(F930="","待展开路径","未实测"),IF(H930&lt;&gt;"适用","待确认适用性",IF(INDEX(Equipment[登记状态（自动）],MATCH(B930,Equipment[组合编号],0))&lt;&gt;"已登记","待补设备组合",IF(AND(F930&lt;&gt;"",G930&lt;&gt;"",K930&lt;&gt;"",L930&lt;&gt;"",M930&lt;&gt;"",N930&lt;&gt;"",ISNUMBER(O930),O930&gt;0,P930&lt;&gt;""),"记录齐全","待补实测记录")))))))))))</x:f>
        <x:v>待展开路径</x:v>
      </x:c>
    </x:row>
    <x:row r="931" ht="43.5" customHeight="1">
      <x:c r="A931" s="20" t="str">
        <x:v>REC-00922</x:v>
      </x:c>
      <x:c r="B931" s="20" t="str">
        <x:v>P2-B4-01</x:v>
      </x:c>
      <x:c r="C931" s="30" t="str">
        <x:f>IF(B931="","",IF(COUNTIFS(Equipment[组合编号],B931)&lt;&gt;1,"组合编号无效",INDEX(Equipment[PLC组],MATCH(B931,Equipment[组合编号],0))))</x:f>
        <x:v>汇川中大型</x:v>
      </x:c>
      <x:c r="D931" s="30" t="str">
        <x:f>IF(B931="","",IF(COUNTIFS(Equipment[组合编号],B931)&lt;&gt;1,"组合编号无效",INDEX(Equipment[驱动品牌],MATCH(B931,Equipment[组合编号],0))))</x:f>
        <x:v>Elmo</x:v>
      </x:c>
      <x:c r="E931" s="20" t="str">
        <x:v>A04</x:v>
      </x:c>
      <x:c r="F931" s="20"/>
      <x:c r="G931" s="20"/>
      <x:c r="H931" s="20" t="str">
        <x:v>待判定</x:v>
      </x:c>
      <x:c r="I931" s="20"/>
      <x:c r="J931" s="20" t="str">
        <x:v>未测试</x:v>
      </x:c>
      <x:c r="K931" s="20"/>
      <x:c r="L931" s="20"/>
      <x:c r="M931" s="20"/>
      <x:c r="N931" s="20"/>
      <x:c r="O931" s="31"/>
      <x:c r="P931" s="20"/>
      <x:c r="Q931" s="20"/>
      <x:c r="R931" s="20" t="str">
        <x:v>待展开</x:v>
      </x:c>
      <x:c r="S931" s="20"/>
      <x:c r="T931" s="31"/>
      <x:c r="U931" s="30" t="str">
        <x:f>IF(A931="","缺记录编号",IF(COUNTIFS(PathRecords[记录编号],A931)&lt;&gt;1,"记录编号重复",IF(OR(B931="",E931=""),"缺组合/功能",IF(COUNTIFS(Equipment[组合编号],B931)&lt;&gt;1,"组合编号无效",IF(COUNTIFS(FunctionMatrix[编号],E931)=0,"功能编号无效",IF(H931="不适用",IF(J931="已实测","适用性冲突",IF(I931="","待补不适用依据","不适用（非实测）")),IF(J931="阻塞",IF(I931="","待补阻塞原因","阻塞（非实测）"),IF(J931&lt;&gt;"已实测",IF(F931="","待展开路径","未实测"),IF(H931&lt;&gt;"适用","待确认适用性",IF(INDEX(Equipment[登记状态（自动）],MATCH(B931,Equipment[组合编号],0))&lt;&gt;"已登记","待补设备组合",IF(AND(F931&lt;&gt;"",G931&lt;&gt;"",K931&lt;&gt;"",L931&lt;&gt;"",M931&lt;&gt;"",N931&lt;&gt;"",ISNUMBER(O931),O931&gt;0,P931&lt;&gt;""),"记录齐全","待补实测记录")))))))))))</x:f>
        <x:v>待展开路径</x:v>
      </x:c>
    </x:row>
    <x:row r="932" ht="43.5" customHeight="1">
      <x:c r="A932" s="20" t="str">
        <x:v>REC-00923</x:v>
      </x:c>
      <x:c r="B932" s="20" t="str">
        <x:v>P2-B4-01</x:v>
      </x:c>
      <x:c r="C932" s="30" t="str">
        <x:f>IF(B932="","",IF(COUNTIFS(Equipment[组合编号],B932)&lt;&gt;1,"组合编号无效",INDEX(Equipment[PLC组],MATCH(B932,Equipment[组合编号],0))))</x:f>
        <x:v>汇川中大型</x:v>
      </x:c>
      <x:c r="D932" s="30" t="str">
        <x:f>IF(B932="","",IF(COUNTIFS(Equipment[组合编号],B932)&lt;&gt;1,"组合编号无效",INDEX(Equipment[驱动品牌],MATCH(B932,Equipment[组合编号],0))))</x:f>
        <x:v>Elmo</x:v>
      </x:c>
      <x:c r="E932" s="20" t="str">
        <x:v>A05</x:v>
      </x:c>
      <x:c r="F932" s="20"/>
      <x:c r="G932" s="20"/>
      <x:c r="H932" s="20" t="str">
        <x:v>待判定</x:v>
      </x:c>
      <x:c r="I932" s="20"/>
      <x:c r="J932" s="20" t="str">
        <x:v>未测试</x:v>
      </x:c>
      <x:c r="K932" s="20"/>
      <x:c r="L932" s="20"/>
      <x:c r="M932" s="20"/>
      <x:c r="N932" s="20"/>
      <x:c r="O932" s="31"/>
      <x:c r="P932" s="20"/>
      <x:c r="Q932" s="20"/>
      <x:c r="R932" s="20" t="str">
        <x:v>待展开</x:v>
      </x:c>
      <x:c r="S932" s="20"/>
      <x:c r="T932" s="31"/>
      <x:c r="U932" s="30" t="str">
        <x:f>IF(A932="","缺记录编号",IF(COUNTIFS(PathRecords[记录编号],A932)&lt;&gt;1,"记录编号重复",IF(OR(B932="",E932=""),"缺组合/功能",IF(COUNTIFS(Equipment[组合编号],B932)&lt;&gt;1,"组合编号无效",IF(COUNTIFS(FunctionMatrix[编号],E932)=0,"功能编号无效",IF(H932="不适用",IF(J932="已实测","适用性冲突",IF(I932="","待补不适用依据","不适用（非实测）")),IF(J932="阻塞",IF(I932="","待补阻塞原因","阻塞（非实测）"),IF(J932&lt;&gt;"已实测",IF(F932="","待展开路径","未实测"),IF(H932&lt;&gt;"适用","待确认适用性",IF(INDEX(Equipment[登记状态（自动）],MATCH(B932,Equipment[组合编号],0))&lt;&gt;"已登记","待补设备组合",IF(AND(F932&lt;&gt;"",G932&lt;&gt;"",K932&lt;&gt;"",L932&lt;&gt;"",M932&lt;&gt;"",N932&lt;&gt;"",ISNUMBER(O932),O932&gt;0,P932&lt;&gt;""),"记录齐全","待补实测记录")))))))))))</x:f>
        <x:v>待展开路径</x:v>
      </x:c>
    </x:row>
    <x:row r="933" ht="43.5" customHeight="1">
      <x:c r="A933" s="20" t="str">
        <x:v>REC-00924</x:v>
      </x:c>
      <x:c r="B933" s="20" t="str">
        <x:v>P2-B4-01</x:v>
      </x:c>
      <x:c r="C933" s="30" t="str">
        <x:f>IF(B933="","",IF(COUNTIFS(Equipment[组合编号],B933)&lt;&gt;1,"组合编号无效",INDEX(Equipment[PLC组],MATCH(B933,Equipment[组合编号],0))))</x:f>
        <x:v>汇川中大型</x:v>
      </x:c>
      <x:c r="D933" s="30" t="str">
        <x:f>IF(B933="","",IF(COUNTIFS(Equipment[组合编号],B933)&lt;&gt;1,"组合编号无效",INDEX(Equipment[驱动品牌],MATCH(B933,Equipment[组合编号],0))))</x:f>
        <x:v>Elmo</x:v>
      </x:c>
      <x:c r="E933" s="20" t="str">
        <x:v>A06</x:v>
      </x:c>
      <x:c r="F933" s="20"/>
      <x:c r="G933" s="20"/>
      <x:c r="H933" s="20" t="str">
        <x:v>待判定</x:v>
      </x:c>
      <x:c r="I933" s="20"/>
      <x:c r="J933" s="20" t="str">
        <x:v>未测试</x:v>
      </x:c>
      <x:c r="K933" s="20"/>
      <x:c r="L933" s="20"/>
      <x:c r="M933" s="20"/>
      <x:c r="N933" s="20"/>
      <x:c r="O933" s="31"/>
      <x:c r="P933" s="20"/>
      <x:c r="Q933" s="20"/>
      <x:c r="R933" s="20" t="str">
        <x:v>待展开</x:v>
      </x:c>
      <x:c r="S933" s="20"/>
      <x:c r="T933" s="31"/>
      <x:c r="U933" s="30" t="str">
        <x:f>IF(A933="","缺记录编号",IF(COUNTIFS(PathRecords[记录编号],A933)&lt;&gt;1,"记录编号重复",IF(OR(B933="",E933=""),"缺组合/功能",IF(COUNTIFS(Equipment[组合编号],B933)&lt;&gt;1,"组合编号无效",IF(COUNTIFS(FunctionMatrix[编号],E933)=0,"功能编号无效",IF(H933="不适用",IF(J933="已实测","适用性冲突",IF(I933="","待补不适用依据","不适用（非实测）")),IF(J933="阻塞",IF(I933="","待补阻塞原因","阻塞（非实测）"),IF(J933&lt;&gt;"已实测",IF(F933="","待展开路径","未实测"),IF(H933&lt;&gt;"适用","待确认适用性",IF(INDEX(Equipment[登记状态（自动）],MATCH(B933,Equipment[组合编号],0))&lt;&gt;"已登记","待补设备组合",IF(AND(F933&lt;&gt;"",G933&lt;&gt;"",K933&lt;&gt;"",L933&lt;&gt;"",M933&lt;&gt;"",N933&lt;&gt;"",ISNUMBER(O933),O933&gt;0,P933&lt;&gt;""),"记录齐全","待补实测记录")))))))))))</x:f>
        <x:v>待展开路径</x:v>
      </x:c>
    </x:row>
    <x:row r="934" ht="43.5" customHeight="1">
      <x:c r="A934" s="20" t="str">
        <x:v>REC-00925</x:v>
      </x:c>
      <x:c r="B934" s="20" t="str">
        <x:v>P2-B4-01</x:v>
      </x:c>
      <x:c r="C934" s="30" t="str">
        <x:f>IF(B934="","",IF(COUNTIFS(Equipment[组合编号],B934)&lt;&gt;1,"组合编号无效",INDEX(Equipment[PLC组],MATCH(B934,Equipment[组合编号],0))))</x:f>
        <x:v>汇川中大型</x:v>
      </x:c>
      <x:c r="D934" s="30" t="str">
        <x:f>IF(B934="","",IF(COUNTIFS(Equipment[组合编号],B934)&lt;&gt;1,"组合编号无效",INDEX(Equipment[驱动品牌],MATCH(B934,Equipment[组合编号],0))))</x:f>
        <x:v>Elmo</x:v>
      </x:c>
      <x:c r="E934" s="20" t="str">
        <x:v>A07</x:v>
      </x:c>
      <x:c r="F934" s="20"/>
      <x:c r="G934" s="20"/>
      <x:c r="H934" s="20" t="str">
        <x:v>待判定</x:v>
      </x:c>
      <x:c r="I934" s="20"/>
      <x:c r="J934" s="20" t="str">
        <x:v>未测试</x:v>
      </x:c>
      <x:c r="K934" s="20"/>
      <x:c r="L934" s="20"/>
      <x:c r="M934" s="20"/>
      <x:c r="N934" s="20"/>
      <x:c r="O934" s="31"/>
      <x:c r="P934" s="20"/>
      <x:c r="Q934" s="20"/>
      <x:c r="R934" s="20" t="str">
        <x:v>待展开</x:v>
      </x:c>
      <x:c r="S934" s="20"/>
      <x:c r="T934" s="31"/>
      <x:c r="U934" s="30" t="str">
        <x:f>IF(A934="","缺记录编号",IF(COUNTIFS(PathRecords[记录编号],A934)&lt;&gt;1,"记录编号重复",IF(OR(B934="",E934=""),"缺组合/功能",IF(COUNTIFS(Equipment[组合编号],B934)&lt;&gt;1,"组合编号无效",IF(COUNTIFS(FunctionMatrix[编号],E934)=0,"功能编号无效",IF(H934="不适用",IF(J934="已实测","适用性冲突",IF(I934="","待补不适用依据","不适用（非实测）")),IF(J934="阻塞",IF(I934="","待补阻塞原因","阻塞（非实测）"),IF(J934&lt;&gt;"已实测",IF(F934="","待展开路径","未实测"),IF(H934&lt;&gt;"适用","待确认适用性",IF(INDEX(Equipment[登记状态（自动）],MATCH(B934,Equipment[组合编号],0))&lt;&gt;"已登记","待补设备组合",IF(AND(F934&lt;&gt;"",G934&lt;&gt;"",K934&lt;&gt;"",L934&lt;&gt;"",M934&lt;&gt;"",N934&lt;&gt;"",ISNUMBER(O934),O934&gt;0,P934&lt;&gt;""),"记录齐全","待补实测记录")))))))))))</x:f>
        <x:v>待展开路径</x:v>
      </x:c>
    </x:row>
    <x:row r="935" ht="43.5" customHeight="1">
      <x:c r="A935" s="20" t="str">
        <x:v>REC-00926</x:v>
      </x:c>
      <x:c r="B935" s="20" t="str">
        <x:v>P2-B4-01</x:v>
      </x:c>
      <x:c r="C935" s="30" t="str">
        <x:f>IF(B935="","",IF(COUNTIFS(Equipment[组合编号],B935)&lt;&gt;1,"组合编号无效",INDEX(Equipment[PLC组],MATCH(B935,Equipment[组合编号],0))))</x:f>
        <x:v>汇川中大型</x:v>
      </x:c>
      <x:c r="D935" s="30" t="str">
        <x:f>IF(B935="","",IF(COUNTIFS(Equipment[组合编号],B935)&lt;&gt;1,"组合编号无效",INDEX(Equipment[驱动品牌],MATCH(B935,Equipment[组合编号],0))))</x:f>
        <x:v>Elmo</x:v>
      </x:c>
      <x:c r="E935" s="20" t="str">
        <x:v>A08</x:v>
      </x:c>
      <x:c r="F935" s="20"/>
      <x:c r="G935" s="20"/>
      <x:c r="H935" s="20" t="str">
        <x:v>待判定</x:v>
      </x:c>
      <x:c r="I935" s="20"/>
      <x:c r="J935" s="20" t="str">
        <x:v>未测试</x:v>
      </x:c>
      <x:c r="K935" s="20"/>
      <x:c r="L935" s="20"/>
      <x:c r="M935" s="20"/>
      <x:c r="N935" s="20"/>
      <x:c r="O935" s="31"/>
      <x:c r="P935" s="20"/>
      <x:c r="Q935" s="20"/>
      <x:c r="R935" s="20" t="str">
        <x:v>待展开</x:v>
      </x:c>
      <x:c r="S935" s="20"/>
      <x:c r="T935" s="31"/>
      <x:c r="U935" s="30" t="str">
        <x:f>IF(A935="","缺记录编号",IF(COUNTIFS(PathRecords[记录编号],A935)&lt;&gt;1,"记录编号重复",IF(OR(B935="",E935=""),"缺组合/功能",IF(COUNTIFS(Equipment[组合编号],B935)&lt;&gt;1,"组合编号无效",IF(COUNTIFS(FunctionMatrix[编号],E935)=0,"功能编号无效",IF(H935="不适用",IF(J935="已实测","适用性冲突",IF(I935="","待补不适用依据","不适用（非实测）")),IF(J935="阻塞",IF(I935="","待补阻塞原因","阻塞（非实测）"),IF(J935&lt;&gt;"已实测",IF(F935="","待展开路径","未实测"),IF(H935&lt;&gt;"适用","待确认适用性",IF(INDEX(Equipment[登记状态（自动）],MATCH(B935,Equipment[组合编号],0))&lt;&gt;"已登记","待补设备组合",IF(AND(F935&lt;&gt;"",G935&lt;&gt;"",K935&lt;&gt;"",L935&lt;&gt;"",M935&lt;&gt;"",N935&lt;&gt;"",ISNUMBER(O935),O935&gt;0,P935&lt;&gt;""),"记录齐全","待补实测记录")))))))))))</x:f>
        <x:v>待展开路径</x:v>
      </x:c>
    </x:row>
    <x:row r="936" ht="43.5" customHeight="1">
      <x:c r="A936" s="20" t="str">
        <x:v>REC-00927</x:v>
      </x:c>
      <x:c r="B936" s="20" t="str">
        <x:v>P2-B4-01</x:v>
      </x:c>
      <x:c r="C936" s="30" t="str">
        <x:f>IF(B936="","",IF(COUNTIFS(Equipment[组合编号],B936)&lt;&gt;1,"组合编号无效",INDEX(Equipment[PLC组],MATCH(B936,Equipment[组合编号],0))))</x:f>
        <x:v>汇川中大型</x:v>
      </x:c>
      <x:c r="D936" s="30" t="str">
        <x:f>IF(B936="","",IF(COUNTIFS(Equipment[组合编号],B936)&lt;&gt;1,"组合编号无效",INDEX(Equipment[驱动品牌],MATCH(B936,Equipment[组合编号],0))))</x:f>
        <x:v>Elmo</x:v>
      </x:c>
      <x:c r="E936" s="20" t="str">
        <x:v>A09</x:v>
      </x:c>
      <x:c r="F936" s="20"/>
      <x:c r="G936" s="20"/>
      <x:c r="H936" s="20" t="str">
        <x:v>待判定</x:v>
      </x:c>
      <x:c r="I936" s="20"/>
      <x:c r="J936" s="20" t="str">
        <x:v>未测试</x:v>
      </x:c>
      <x:c r="K936" s="20"/>
      <x:c r="L936" s="20"/>
      <x:c r="M936" s="20"/>
      <x:c r="N936" s="20"/>
      <x:c r="O936" s="31"/>
      <x:c r="P936" s="20"/>
      <x:c r="Q936" s="20"/>
      <x:c r="R936" s="20" t="str">
        <x:v>待展开</x:v>
      </x:c>
      <x:c r="S936" s="20"/>
      <x:c r="T936" s="31"/>
      <x:c r="U936" s="30" t="str">
        <x:f>IF(A936="","缺记录编号",IF(COUNTIFS(PathRecords[记录编号],A936)&lt;&gt;1,"记录编号重复",IF(OR(B936="",E936=""),"缺组合/功能",IF(COUNTIFS(Equipment[组合编号],B936)&lt;&gt;1,"组合编号无效",IF(COUNTIFS(FunctionMatrix[编号],E936)=0,"功能编号无效",IF(H936="不适用",IF(J936="已实测","适用性冲突",IF(I936="","待补不适用依据","不适用（非实测）")),IF(J936="阻塞",IF(I936="","待补阻塞原因","阻塞（非实测）"),IF(J936&lt;&gt;"已实测",IF(F936="","待展开路径","未实测"),IF(H936&lt;&gt;"适用","待确认适用性",IF(INDEX(Equipment[登记状态（自动）],MATCH(B936,Equipment[组合编号],0))&lt;&gt;"已登记","待补设备组合",IF(AND(F936&lt;&gt;"",G936&lt;&gt;"",K936&lt;&gt;"",L936&lt;&gt;"",M936&lt;&gt;"",N936&lt;&gt;"",ISNUMBER(O936),O936&gt;0,P936&lt;&gt;""),"记录齐全","待补实测记录")))))))))))</x:f>
        <x:v>待展开路径</x:v>
      </x:c>
    </x:row>
    <x:row r="937" ht="43.5" customHeight="1">
      <x:c r="A937" s="20" t="str">
        <x:v>REC-00928</x:v>
      </x:c>
      <x:c r="B937" s="20" t="str">
        <x:v>P2-B4-01</x:v>
      </x:c>
      <x:c r="C937" s="30" t="str">
        <x:f>IF(B937="","",IF(COUNTIFS(Equipment[组合编号],B937)&lt;&gt;1,"组合编号无效",INDEX(Equipment[PLC组],MATCH(B937,Equipment[组合编号],0))))</x:f>
        <x:v>汇川中大型</x:v>
      </x:c>
      <x:c r="D937" s="30" t="str">
        <x:f>IF(B937="","",IF(COUNTIFS(Equipment[组合编号],B937)&lt;&gt;1,"组合编号无效",INDEX(Equipment[驱动品牌],MATCH(B937,Equipment[组合编号],0))))</x:f>
        <x:v>Elmo</x:v>
      </x:c>
      <x:c r="E937" s="20" t="str">
        <x:v>C01</x:v>
      </x:c>
      <x:c r="F937" s="20"/>
      <x:c r="G937" s="20"/>
      <x:c r="H937" s="20" t="str">
        <x:v>待判定</x:v>
      </x:c>
      <x:c r="I937" s="20"/>
      <x:c r="J937" s="20" t="str">
        <x:v>未测试</x:v>
      </x:c>
      <x:c r="K937" s="20"/>
      <x:c r="L937" s="20"/>
      <x:c r="M937" s="20"/>
      <x:c r="N937" s="20"/>
      <x:c r="O937" s="31"/>
      <x:c r="P937" s="20"/>
      <x:c r="Q937" s="20"/>
      <x:c r="R937" s="20" t="str">
        <x:v>待展开</x:v>
      </x:c>
      <x:c r="S937" s="20"/>
      <x:c r="T937" s="31"/>
      <x:c r="U937" s="30" t="str">
        <x:f>IF(A937="","缺记录编号",IF(COUNTIFS(PathRecords[记录编号],A937)&lt;&gt;1,"记录编号重复",IF(OR(B937="",E937=""),"缺组合/功能",IF(COUNTIFS(Equipment[组合编号],B937)&lt;&gt;1,"组合编号无效",IF(COUNTIFS(FunctionMatrix[编号],E937)=0,"功能编号无效",IF(H937="不适用",IF(J937="已实测","适用性冲突",IF(I937="","待补不适用依据","不适用（非实测）")),IF(J937="阻塞",IF(I937="","待补阻塞原因","阻塞（非实测）"),IF(J937&lt;&gt;"已实测",IF(F937="","待展开路径","未实测"),IF(H937&lt;&gt;"适用","待确认适用性",IF(INDEX(Equipment[登记状态（自动）],MATCH(B937,Equipment[组合编号],0))&lt;&gt;"已登记","待补设备组合",IF(AND(F937&lt;&gt;"",G937&lt;&gt;"",K937&lt;&gt;"",L937&lt;&gt;"",M937&lt;&gt;"",N937&lt;&gt;"",ISNUMBER(O937),O937&gt;0,P937&lt;&gt;""),"记录齐全","待补实测记录")))))))))))</x:f>
        <x:v>待展开路径</x:v>
      </x:c>
    </x:row>
    <x:row r="938" ht="43.5" customHeight="1">
      <x:c r="A938" s="20" t="str">
        <x:v>REC-00929</x:v>
      </x:c>
      <x:c r="B938" s="20" t="str">
        <x:v>P2-B4-01</x:v>
      </x:c>
      <x:c r="C938" s="30" t="str">
        <x:f>IF(B938="","",IF(COUNTIFS(Equipment[组合编号],B938)&lt;&gt;1,"组合编号无效",INDEX(Equipment[PLC组],MATCH(B938,Equipment[组合编号],0))))</x:f>
        <x:v>汇川中大型</x:v>
      </x:c>
      <x:c r="D938" s="30" t="str">
        <x:f>IF(B938="","",IF(COUNTIFS(Equipment[组合编号],B938)&lt;&gt;1,"组合编号无效",INDEX(Equipment[驱动品牌],MATCH(B938,Equipment[组合编号],0))))</x:f>
        <x:v>Elmo</x:v>
      </x:c>
      <x:c r="E938" s="20" t="str">
        <x:v>C02</x:v>
      </x:c>
      <x:c r="F938" s="20"/>
      <x:c r="G938" s="20"/>
      <x:c r="H938" s="20" t="str">
        <x:v>待判定</x:v>
      </x:c>
      <x:c r="I938" s="20"/>
      <x:c r="J938" s="20" t="str">
        <x:v>未测试</x:v>
      </x:c>
      <x:c r="K938" s="20"/>
      <x:c r="L938" s="20"/>
      <x:c r="M938" s="20"/>
      <x:c r="N938" s="20"/>
      <x:c r="O938" s="31"/>
      <x:c r="P938" s="20"/>
      <x:c r="Q938" s="20"/>
      <x:c r="R938" s="20" t="str">
        <x:v>待展开</x:v>
      </x:c>
      <x:c r="S938" s="20"/>
      <x:c r="T938" s="31"/>
      <x:c r="U938" s="30" t="str">
        <x:f>IF(A938="","缺记录编号",IF(COUNTIFS(PathRecords[记录编号],A938)&lt;&gt;1,"记录编号重复",IF(OR(B938="",E938=""),"缺组合/功能",IF(COUNTIFS(Equipment[组合编号],B938)&lt;&gt;1,"组合编号无效",IF(COUNTIFS(FunctionMatrix[编号],E938)=0,"功能编号无效",IF(H938="不适用",IF(J938="已实测","适用性冲突",IF(I938="","待补不适用依据","不适用（非实测）")),IF(J938="阻塞",IF(I938="","待补阻塞原因","阻塞（非实测）"),IF(J938&lt;&gt;"已实测",IF(F938="","待展开路径","未实测"),IF(H938&lt;&gt;"适用","待确认适用性",IF(INDEX(Equipment[登记状态（自动）],MATCH(B938,Equipment[组合编号],0))&lt;&gt;"已登记","待补设备组合",IF(AND(F938&lt;&gt;"",G938&lt;&gt;"",K938&lt;&gt;"",L938&lt;&gt;"",M938&lt;&gt;"",N938&lt;&gt;"",ISNUMBER(O938),O938&gt;0,P938&lt;&gt;""),"记录齐全","待补实测记录")))))))))))</x:f>
        <x:v>待展开路径</x:v>
      </x:c>
    </x:row>
    <x:row r="939" ht="43.5" customHeight="1">
      <x:c r="A939" s="20" t="str">
        <x:v>REC-00930</x:v>
      </x:c>
      <x:c r="B939" s="20" t="str">
        <x:v>P2-B4-01</x:v>
      </x:c>
      <x:c r="C939" s="30" t="str">
        <x:f>IF(B939="","",IF(COUNTIFS(Equipment[组合编号],B939)&lt;&gt;1,"组合编号无效",INDEX(Equipment[PLC组],MATCH(B939,Equipment[组合编号],0))))</x:f>
        <x:v>汇川中大型</x:v>
      </x:c>
      <x:c r="D939" s="30" t="str">
        <x:f>IF(B939="","",IF(COUNTIFS(Equipment[组合编号],B939)&lt;&gt;1,"组合编号无效",INDEX(Equipment[驱动品牌],MATCH(B939,Equipment[组合编号],0))))</x:f>
        <x:v>Elmo</x:v>
      </x:c>
      <x:c r="E939" s="20" t="str">
        <x:v>C03</x:v>
      </x:c>
      <x:c r="F939" s="20"/>
      <x:c r="G939" s="20"/>
      <x:c r="H939" s="20" t="str">
        <x:v>待判定</x:v>
      </x:c>
      <x:c r="I939" s="20"/>
      <x:c r="J939" s="20" t="str">
        <x:v>未测试</x:v>
      </x:c>
      <x:c r="K939" s="20"/>
      <x:c r="L939" s="20"/>
      <x:c r="M939" s="20"/>
      <x:c r="N939" s="20"/>
      <x:c r="O939" s="31"/>
      <x:c r="P939" s="20"/>
      <x:c r="Q939" s="20"/>
      <x:c r="R939" s="20" t="str">
        <x:v>待展开</x:v>
      </x:c>
      <x:c r="S939" s="20"/>
      <x:c r="T939" s="31"/>
      <x:c r="U939" s="30" t="str">
        <x:f>IF(A939="","缺记录编号",IF(COUNTIFS(PathRecords[记录编号],A939)&lt;&gt;1,"记录编号重复",IF(OR(B939="",E939=""),"缺组合/功能",IF(COUNTIFS(Equipment[组合编号],B939)&lt;&gt;1,"组合编号无效",IF(COUNTIFS(FunctionMatrix[编号],E939)=0,"功能编号无效",IF(H939="不适用",IF(J939="已实测","适用性冲突",IF(I939="","待补不适用依据","不适用（非实测）")),IF(J939="阻塞",IF(I939="","待补阻塞原因","阻塞（非实测）"),IF(J939&lt;&gt;"已实测",IF(F939="","待展开路径","未实测"),IF(H939&lt;&gt;"适用","待确认适用性",IF(INDEX(Equipment[登记状态（自动）],MATCH(B939,Equipment[组合编号],0))&lt;&gt;"已登记","待补设备组合",IF(AND(F939&lt;&gt;"",G939&lt;&gt;"",K939&lt;&gt;"",L939&lt;&gt;"",M939&lt;&gt;"",N939&lt;&gt;"",ISNUMBER(O939),O939&gt;0,P939&lt;&gt;""),"记录齐全","待补实测记录")))))))))))</x:f>
        <x:v>待展开路径</x:v>
      </x:c>
    </x:row>
    <x:row r="940" ht="43.5" customHeight="1">
      <x:c r="A940" s="20" t="str">
        <x:v>REC-00931</x:v>
      </x:c>
      <x:c r="B940" s="20" t="str">
        <x:v>P2-B4-01</x:v>
      </x:c>
      <x:c r="C940" s="30" t="str">
        <x:f>IF(B940="","",IF(COUNTIFS(Equipment[组合编号],B940)&lt;&gt;1,"组合编号无效",INDEX(Equipment[PLC组],MATCH(B940,Equipment[组合编号],0))))</x:f>
        <x:v>汇川中大型</x:v>
      </x:c>
      <x:c r="D940" s="30" t="str">
        <x:f>IF(B940="","",IF(COUNTIFS(Equipment[组合编号],B940)&lt;&gt;1,"组合编号无效",INDEX(Equipment[驱动品牌],MATCH(B940,Equipment[组合编号],0))))</x:f>
        <x:v>Elmo</x:v>
      </x:c>
      <x:c r="E940" s="20" t="str">
        <x:v>C04</x:v>
      </x:c>
      <x:c r="F940" s="20"/>
      <x:c r="G940" s="20"/>
      <x:c r="H940" s="20" t="str">
        <x:v>待判定</x:v>
      </x:c>
      <x:c r="I940" s="20"/>
      <x:c r="J940" s="20" t="str">
        <x:v>未测试</x:v>
      </x:c>
      <x:c r="K940" s="20"/>
      <x:c r="L940" s="20"/>
      <x:c r="M940" s="20"/>
      <x:c r="N940" s="20"/>
      <x:c r="O940" s="31"/>
      <x:c r="P940" s="20"/>
      <x:c r="Q940" s="20"/>
      <x:c r="R940" s="20" t="str">
        <x:v>待展开</x:v>
      </x:c>
      <x:c r="S940" s="20"/>
      <x:c r="T940" s="31"/>
      <x:c r="U940" s="30" t="str">
        <x:f>IF(A940="","缺记录编号",IF(COUNTIFS(PathRecords[记录编号],A940)&lt;&gt;1,"记录编号重复",IF(OR(B940="",E940=""),"缺组合/功能",IF(COUNTIFS(Equipment[组合编号],B940)&lt;&gt;1,"组合编号无效",IF(COUNTIFS(FunctionMatrix[编号],E940)=0,"功能编号无效",IF(H940="不适用",IF(J940="已实测","适用性冲突",IF(I940="","待补不适用依据","不适用（非实测）")),IF(J940="阻塞",IF(I940="","待补阻塞原因","阻塞（非实测）"),IF(J940&lt;&gt;"已实测",IF(F940="","待展开路径","未实测"),IF(H940&lt;&gt;"适用","待确认适用性",IF(INDEX(Equipment[登记状态（自动）],MATCH(B940,Equipment[组合编号],0))&lt;&gt;"已登记","待补设备组合",IF(AND(F940&lt;&gt;"",G940&lt;&gt;"",K940&lt;&gt;"",L940&lt;&gt;"",M940&lt;&gt;"",N940&lt;&gt;"",ISNUMBER(O940),O940&gt;0,P940&lt;&gt;""),"记录齐全","待补实测记录")))))))))))</x:f>
        <x:v>待展开路径</x:v>
      </x:c>
    </x:row>
    <x:row r="941" ht="43.5" customHeight="1">
      <x:c r="A941" s="20" t="str">
        <x:v>REC-00932</x:v>
      </x:c>
      <x:c r="B941" s="20" t="str">
        <x:v>P2-B4-01</x:v>
      </x:c>
      <x:c r="C941" s="30" t="str">
        <x:f>IF(B941="","",IF(COUNTIFS(Equipment[组合编号],B941)&lt;&gt;1,"组合编号无效",INDEX(Equipment[PLC组],MATCH(B941,Equipment[组合编号],0))))</x:f>
        <x:v>汇川中大型</x:v>
      </x:c>
      <x:c r="D941" s="30" t="str">
        <x:f>IF(B941="","",IF(COUNTIFS(Equipment[组合编号],B941)&lt;&gt;1,"组合编号无效",INDEX(Equipment[驱动品牌],MATCH(B941,Equipment[组合编号],0))))</x:f>
        <x:v>Elmo</x:v>
      </x:c>
      <x:c r="E941" s="20" t="str">
        <x:v>C05</x:v>
      </x:c>
      <x:c r="F941" s="20"/>
      <x:c r="G941" s="20"/>
      <x:c r="H941" s="20" t="str">
        <x:v>待判定</x:v>
      </x:c>
      <x:c r="I941" s="20"/>
      <x:c r="J941" s="20" t="str">
        <x:v>未测试</x:v>
      </x:c>
      <x:c r="K941" s="20"/>
      <x:c r="L941" s="20"/>
      <x:c r="M941" s="20"/>
      <x:c r="N941" s="20"/>
      <x:c r="O941" s="31"/>
      <x:c r="P941" s="20"/>
      <x:c r="Q941" s="20"/>
      <x:c r="R941" s="20" t="str">
        <x:v>待展开</x:v>
      </x:c>
      <x:c r="S941" s="20"/>
      <x:c r="T941" s="31"/>
      <x:c r="U941" s="30" t="str">
        <x:f>IF(A941="","缺记录编号",IF(COUNTIFS(PathRecords[记录编号],A941)&lt;&gt;1,"记录编号重复",IF(OR(B941="",E941=""),"缺组合/功能",IF(COUNTIFS(Equipment[组合编号],B941)&lt;&gt;1,"组合编号无效",IF(COUNTIFS(FunctionMatrix[编号],E941)=0,"功能编号无效",IF(H941="不适用",IF(J941="已实测","适用性冲突",IF(I941="","待补不适用依据","不适用（非实测）")),IF(J941="阻塞",IF(I941="","待补阻塞原因","阻塞（非实测）"),IF(J941&lt;&gt;"已实测",IF(F941="","待展开路径","未实测"),IF(H941&lt;&gt;"适用","待确认适用性",IF(INDEX(Equipment[登记状态（自动）],MATCH(B941,Equipment[组合编号],0))&lt;&gt;"已登记","待补设备组合",IF(AND(F941&lt;&gt;"",G941&lt;&gt;"",K941&lt;&gt;"",L941&lt;&gt;"",M941&lt;&gt;"",N941&lt;&gt;"",ISNUMBER(O941),O941&gt;0,P941&lt;&gt;""),"记录齐全","待补实测记录")))))))))))</x:f>
        <x:v>待展开路径</x:v>
      </x:c>
    </x:row>
    <x:row r="942" ht="43.5" customHeight="1">
      <x:c r="A942" s="20" t="str">
        <x:v>REC-00933</x:v>
      </x:c>
      <x:c r="B942" s="20" t="str">
        <x:v>P2-B4-01</x:v>
      </x:c>
      <x:c r="C942" s="30" t="str">
        <x:f>IF(B942="","",IF(COUNTIFS(Equipment[组合编号],B942)&lt;&gt;1,"组合编号无效",INDEX(Equipment[PLC组],MATCH(B942,Equipment[组合编号],0))))</x:f>
        <x:v>汇川中大型</x:v>
      </x:c>
      <x:c r="D942" s="30" t="str">
        <x:f>IF(B942="","",IF(COUNTIFS(Equipment[组合编号],B942)&lt;&gt;1,"组合编号无效",INDEX(Equipment[驱动品牌],MATCH(B942,Equipment[组合编号],0))))</x:f>
        <x:v>Elmo</x:v>
      </x:c>
      <x:c r="E942" s="20" t="str">
        <x:v>C06</x:v>
      </x:c>
      <x:c r="F942" s="20"/>
      <x:c r="G942" s="20"/>
      <x:c r="H942" s="20" t="str">
        <x:v>待判定</x:v>
      </x:c>
      <x:c r="I942" s="20"/>
      <x:c r="J942" s="20" t="str">
        <x:v>未测试</x:v>
      </x:c>
      <x:c r="K942" s="20"/>
      <x:c r="L942" s="20"/>
      <x:c r="M942" s="20"/>
      <x:c r="N942" s="20"/>
      <x:c r="O942" s="31"/>
      <x:c r="P942" s="20"/>
      <x:c r="Q942" s="20"/>
      <x:c r="R942" s="20" t="str">
        <x:v>待展开</x:v>
      </x:c>
      <x:c r="S942" s="20"/>
      <x:c r="T942" s="31"/>
      <x:c r="U942" s="30" t="str">
        <x:f>IF(A942="","缺记录编号",IF(COUNTIFS(PathRecords[记录编号],A942)&lt;&gt;1,"记录编号重复",IF(OR(B942="",E942=""),"缺组合/功能",IF(COUNTIFS(Equipment[组合编号],B942)&lt;&gt;1,"组合编号无效",IF(COUNTIFS(FunctionMatrix[编号],E942)=0,"功能编号无效",IF(H942="不适用",IF(J942="已实测","适用性冲突",IF(I942="","待补不适用依据","不适用（非实测）")),IF(J942="阻塞",IF(I942="","待补阻塞原因","阻塞（非实测）"),IF(J942&lt;&gt;"已实测",IF(F942="","待展开路径","未实测"),IF(H942&lt;&gt;"适用","待确认适用性",IF(INDEX(Equipment[登记状态（自动）],MATCH(B942,Equipment[组合编号],0))&lt;&gt;"已登记","待补设备组合",IF(AND(F942&lt;&gt;"",G942&lt;&gt;"",K942&lt;&gt;"",L942&lt;&gt;"",M942&lt;&gt;"",N942&lt;&gt;"",ISNUMBER(O942),O942&gt;0,P942&lt;&gt;""),"记录齐全","待补实测记录")))))))))))</x:f>
        <x:v>待展开路径</x:v>
      </x:c>
    </x:row>
    <x:row r="943" ht="43.5" customHeight="1">
      <x:c r="A943" s="20" t="str">
        <x:v>REC-00934</x:v>
      </x:c>
      <x:c r="B943" s="20" t="str">
        <x:v>P2-B4-01</x:v>
      </x:c>
      <x:c r="C943" s="30" t="str">
        <x:f>IF(B943="","",IF(COUNTIFS(Equipment[组合编号],B943)&lt;&gt;1,"组合编号无效",INDEX(Equipment[PLC组],MATCH(B943,Equipment[组合编号],0))))</x:f>
        <x:v>汇川中大型</x:v>
      </x:c>
      <x:c r="D943" s="30" t="str">
        <x:f>IF(B943="","",IF(COUNTIFS(Equipment[组合编号],B943)&lt;&gt;1,"组合编号无效",INDEX(Equipment[驱动品牌],MATCH(B943,Equipment[组合编号],0))))</x:f>
        <x:v>Elmo</x:v>
      </x:c>
      <x:c r="E943" s="20" t="str">
        <x:v>C07</x:v>
      </x:c>
      <x:c r="F943" s="20"/>
      <x:c r="G943" s="20"/>
      <x:c r="H943" s="20" t="str">
        <x:v>待判定</x:v>
      </x:c>
      <x:c r="I943" s="20"/>
      <x:c r="J943" s="20" t="str">
        <x:v>未测试</x:v>
      </x:c>
      <x:c r="K943" s="20"/>
      <x:c r="L943" s="20"/>
      <x:c r="M943" s="20"/>
      <x:c r="N943" s="20"/>
      <x:c r="O943" s="31"/>
      <x:c r="P943" s="20"/>
      <x:c r="Q943" s="20"/>
      <x:c r="R943" s="20" t="str">
        <x:v>待展开</x:v>
      </x:c>
      <x:c r="S943" s="20"/>
      <x:c r="T943" s="31"/>
      <x:c r="U943" s="30" t="str">
        <x:f>IF(A943="","缺记录编号",IF(COUNTIFS(PathRecords[记录编号],A943)&lt;&gt;1,"记录编号重复",IF(OR(B943="",E943=""),"缺组合/功能",IF(COUNTIFS(Equipment[组合编号],B943)&lt;&gt;1,"组合编号无效",IF(COUNTIFS(FunctionMatrix[编号],E943)=0,"功能编号无效",IF(H943="不适用",IF(J943="已实测","适用性冲突",IF(I943="","待补不适用依据","不适用（非实测）")),IF(J943="阻塞",IF(I943="","待补阻塞原因","阻塞（非实测）"),IF(J943&lt;&gt;"已实测",IF(F943="","待展开路径","未实测"),IF(H943&lt;&gt;"适用","待确认适用性",IF(INDEX(Equipment[登记状态（自动）],MATCH(B943,Equipment[组合编号],0))&lt;&gt;"已登记","待补设备组合",IF(AND(F943&lt;&gt;"",G943&lt;&gt;"",K943&lt;&gt;"",L943&lt;&gt;"",M943&lt;&gt;"",N943&lt;&gt;"",ISNUMBER(O943),O943&gt;0,P943&lt;&gt;""),"记录齐全","待补实测记录")))))))))))</x:f>
        <x:v>待展开路径</x:v>
      </x:c>
    </x:row>
    <x:row r="944" ht="43.5" customHeight="1">
      <x:c r="A944" s="20" t="str">
        <x:v>REC-00935</x:v>
      </x:c>
      <x:c r="B944" s="20" t="str">
        <x:v>P2-B4-01</x:v>
      </x:c>
      <x:c r="C944" s="30" t="str">
        <x:f>IF(B944="","",IF(COUNTIFS(Equipment[组合编号],B944)&lt;&gt;1,"组合编号无效",INDEX(Equipment[PLC组],MATCH(B944,Equipment[组合编号],0))))</x:f>
        <x:v>汇川中大型</x:v>
      </x:c>
      <x:c r="D944" s="30" t="str">
        <x:f>IF(B944="","",IF(COUNTIFS(Equipment[组合编号],B944)&lt;&gt;1,"组合编号无效",INDEX(Equipment[驱动品牌],MATCH(B944,Equipment[组合编号],0))))</x:f>
        <x:v>Elmo</x:v>
      </x:c>
      <x:c r="E944" s="20" t="str">
        <x:v>C08</x:v>
      </x:c>
      <x:c r="F944" s="20"/>
      <x:c r="G944" s="20"/>
      <x:c r="H944" s="20" t="str">
        <x:v>待判定</x:v>
      </x:c>
      <x:c r="I944" s="20"/>
      <x:c r="J944" s="20" t="str">
        <x:v>未测试</x:v>
      </x:c>
      <x:c r="K944" s="20"/>
      <x:c r="L944" s="20"/>
      <x:c r="M944" s="20"/>
      <x:c r="N944" s="20"/>
      <x:c r="O944" s="31"/>
      <x:c r="P944" s="20"/>
      <x:c r="Q944" s="20"/>
      <x:c r="R944" s="20" t="str">
        <x:v>待展开</x:v>
      </x:c>
      <x:c r="S944" s="20"/>
      <x:c r="T944" s="31"/>
      <x:c r="U944" s="30" t="str">
        <x:f>IF(A944="","缺记录编号",IF(COUNTIFS(PathRecords[记录编号],A944)&lt;&gt;1,"记录编号重复",IF(OR(B944="",E944=""),"缺组合/功能",IF(COUNTIFS(Equipment[组合编号],B944)&lt;&gt;1,"组合编号无效",IF(COUNTIFS(FunctionMatrix[编号],E944)=0,"功能编号无效",IF(H944="不适用",IF(J944="已实测","适用性冲突",IF(I944="","待补不适用依据","不适用（非实测）")),IF(J944="阻塞",IF(I944="","待补阻塞原因","阻塞（非实测）"),IF(J944&lt;&gt;"已实测",IF(F944="","待展开路径","未实测"),IF(H944&lt;&gt;"适用","待确认适用性",IF(INDEX(Equipment[登记状态（自动）],MATCH(B944,Equipment[组合编号],0))&lt;&gt;"已登记","待补设备组合",IF(AND(F944&lt;&gt;"",G944&lt;&gt;"",K944&lt;&gt;"",L944&lt;&gt;"",M944&lt;&gt;"",N944&lt;&gt;"",ISNUMBER(O944),O944&gt;0,P944&lt;&gt;""),"记录齐全","待补实测记录")))))))))))</x:f>
        <x:v>待展开路径</x:v>
      </x:c>
    </x:row>
    <x:row r="945" ht="43.5" customHeight="1">
      <x:c r="A945" s="20" t="str">
        <x:v>REC-00936</x:v>
      </x:c>
      <x:c r="B945" s="20" t="str">
        <x:v>P2-B4-01</x:v>
      </x:c>
      <x:c r="C945" s="30" t="str">
        <x:f>IF(B945="","",IF(COUNTIFS(Equipment[组合编号],B945)&lt;&gt;1,"组合编号无效",INDEX(Equipment[PLC组],MATCH(B945,Equipment[组合编号],0))))</x:f>
        <x:v>汇川中大型</x:v>
      </x:c>
      <x:c r="D945" s="30" t="str">
        <x:f>IF(B945="","",IF(COUNTIFS(Equipment[组合编号],B945)&lt;&gt;1,"组合编号无效",INDEX(Equipment[驱动品牌],MATCH(B945,Equipment[组合编号],0))))</x:f>
        <x:v>Elmo</x:v>
      </x:c>
      <x:c r="E945" s="20" t="str">
        <x:v>C09</x:v>
      </x:c>
      <x:c r="F945" s="20"/>
      <x:c r="G945" s="20"/>
      <x:c r="H945" s="20" t="str">
        <x:v>待判定</x:v>
      </x:c>
      <x:c r="I945" s="20"/>
      <x:c r="J945" s="20" t="str">
        <x:v>未测试</x:v>
      </x:c>
      <x:c r="K945" s="20"/>
      <x:c r="L945" s="20"/>
      <x:c r="M945" s="20"/>
      <x:c r="N945" s="20"/>
      <x:c r="O945" s="31"/>
      <x:c r="P945" s="20"/>
      <x:c r="Q945" s="20"/>
      <x:c r="R945" s="20" t="str">
        <x:v>待展开</x:v>
      </x:c>
      <x:c r="S945" s="20"/>
      <x:c r="T945" s="31"/>
      <x:c r="U945" s="30" t="str">
        <x:f>IF(A945="","缺记录编号",IF(COUNTIFS(PathRecords[记录编号],A945)&lt;&gt;1,"记录编号重复",IF(OR(B945="",E945=""),"缺组合/功能",IF(COUNTIFS(Equipment[组合编号],B945)&lt;&gt;1,"组合编号无效",IF(COUNTIFS(FunctionMatrix[编号],E945)=0,"功能编号无效",IF(H945="不适用",IF(J945="已实测","适用性冲突",IF(I945="","待补不适用依据","不适用（非实测）")),IF(J945="阻塞",IF(I945="","待补阻塞原因","阻塞（非实测）"),IF(J945&lt;&gt;"已实测",IF(F945="","待展开路径","未实测"),IF(H945&lt;&gt;"适用","待确认适用性",IF(INDEX(Equipment[登记状态（自动）],MATCH(B945,Equipment[组合编号],0))&lt;&gt;"已登记","待补设备组合",IF(AND(F945&lt;&gt;"",G945&lt;&gt;"",K945&lt;&gt;"",L945&lt;&gt;"",M945&lt;&gt;"",N945&lt;&gt;"",ISNUMBER(O945),O945&gt;0,P945&lt;&gt;""),"记录齐全","待补实测记录")))))))))))</x:f>
        <x:v>待展开路径</x:v>
      </x:c>
    </x:row>
    <x:row r="946" ht="43.5" customHeight="1">
      <x:c r="A946" s="20" t="str">
        <x:v>REC-00937</x:v>
      </x:c>
      <x:c r="B946" s="20" t="str">
        <x:v>P2-B4-01</x:v>
      </x:c>
      <x:c r="C946" s="30" t="str">
        <x:f>IF(B946="","",IF(COUNTIFS(Equipment[组合编号],B946)&lt;&gt;1,"组合编号无效",INDEX(Equipment[PLC组],MATCH(B946,Equipment[组合编号],0))))</x:f>
        <x:v>汇川中大型</x:v>
      </x:c>
      <x:c r="D946" s="30" t="str">
        <x:f>IF(B946="","",IF(COUNTIFS(Equipment[组合编号],B946)&lt;&gt;1,"组合编号无效",INDEX(Equipment[驱动品牌],MATCH(B946,Equipment[组合编号],0))))</x:f>
        <x:v>Elmo</x:v>
      </x:c>
      <x:c r="E946" s="20" t="str">
        <x:v>C10</x:v>
      </x:c>
      <x:c r="F946" s="20"/>
      <x:c r="G946" s="20"/>
      <x:c r="H946" s="20" t="str">
        <x:v>待判定</x:v>
      </x:c>
      <x:c r="I946" s="20"/>
      <x:c r="J946" s="20" t="str">
        <x:v>未测试</x:v>
      </x:c>
      <x:c r="K946" s="20"/>
      <x:c r="L946" s="20"/>
      <x:c r="M946" s="20"/>
      <x:c r="N946" s="20"/>
      <x:c r="O946" s="31"/>
      <x:c r="P946" s="20"/>
      <x:c r="Q946" s="20"/>
      <x:c r="R946" s="20" t="str">
        <x:v>待展开</x:v>
      </x:c>
      <x:c r="S946" s="20"/>
      <x:c r="T946" s="31"/>
      <x:c r="U946" s="30" t="str">
        <x:f>IF(A946="","缺记录编号",IF(COUNTIFS(PathRecords[记录编号],A946)&lt;&gt;1,"记录编号重复",IF(OR(B946="",E946=""),"缺组合/功能",IF(COUNTIFS(Equipment[组合编号],B946)&lt;&gt;1,"组合编号无效",IF(COUNTIFS(FunctionMatrix[编号],E946)=0,"功能编号无效",IF(H946="不适用",IF(J946="已实测","适用性冲突",IF(I946="","待补不适用依据","不适用（非实测）")),IF(J946="阻塞",IF(I946="","待补阻塞原因","阻塞（非实测）"),IF(J946&lt;&gt;"已实测",IF(F946="","待展开路径","未实测"),IF(H946&lt;&gt;"适用","待确认适用性",IF(INDEX(Equipment[登记状态（自动）],MATCH(B946,Equipment[组合编号],0))&lt;&gt;"已登记","待补设备组合",IF(AND(F946&lt;&gt;"",G946&lt;&gt;"",K946&lt;&gt;"",L946&lt;&gt;"",M946&lt;&gt;"",N946&lt;&gt;"",ISNUMBER(O946),O946&gt;0,P946&lt;&gt;""),"记录齐全","待补实测记录")))))))))))</x:f>
        <x:v>待展开路径</x:v>
      </x:c>
    </x:row>
    <x:row r="947" ht="43.5" customHeight="1">
      <x:c r="A947" s="20" t="str">
        <x:v>REC-00938</x:v>
      </x:c>
      <x:c r="B947" s="20" t="str">
        <x:v>P2-B4-01</x:v>
      </x:c>
      <x:c r="C947" s="30" t="str">
        <x:f>IF(B947="","",IF(COUNTIFS(Equipment[组合编号],B947)&lt;&gt;1,"组合编号无效",INDEX(Equipment[PLC组],MATCH(B947,Equipment[组合编号],0))))</x:f>
        <x:v>汇川中大型</x:v>
      </x:c>
      <x:c r="D947" s="30" t="str">
        <x:f>IF(B947="","",IF(COUNTIFS(Equipment[组合编号],B947)&lt;&gt;1,"组合编号无效",INDEX(Equipment[驱动品牌],MATCH(B947,Equipment[组合编号],0))))</x:f>
        <x:v>Elmo</x:v>
      </x:c>
      <x:c r="E947" s="20" t="str">
        <x:v>T01</x:v>
      </x:c>
      <x:c r="F947" s="20"/>
      <x:c r="G947" s="20"/>
      <x:c r="H947" s="20" t="str">
        <x:v>待判定</x:v>
      </x:c>
      <x:c r="I947" s="20"/>
      <x:c r="J947" s="20" t="str">
        <x:v>未测试</x:v>
      </x:c>
      <x:c r="K947" s="20"/>
      <x:c r="L947" s="20"/>
      <x:c r="M947" s="20"/>
      <x:c r="N947" s="20"/>
      <x:c r="O947" s="31"/>
      <x:c r="P947" s="20"/>
      <x:c r="Q947" s="20"/>
      <x:c r="R947" s="20" t="str">
        <x:v>待展开</x:v>
      </x:c>
      <x:c r="S947" s="20"/>
      <x:c r="T947" s="31"/>
      <x:c r="U947" s="30" t="str">
        <x:f>IF(A947="","缺记录编号",IF(COUNTIFS(PathRecords[记录编号],A947)&lt;&gt;1,"记录编号重复",IF(OR(B947="",E947=""),"缺组合/功能",IF(COUNTIFS(Equipment[组合编号],B947)&lt;&gt;1,"组合编号无效",IF(COUNTIFS(FunctionMatrix[编号],E947)=0,"功能编号无效",IF(H947="不适用",IF(J947="已实测","适用性冲突",IF(I947="","待补不适用依据","不适用（非实测）")),IF(J947="阻塞",IF(I947="","待补阻塞原因","阻塞（非实测）"),IF(J947&lt;&gt;"已实测",IF(F947="","待展开路径","未实测"),IF(H947&lt;&gt;"适用","待确认适用性",IF(INDEX(Equipment[登记状态（自动）],MATCH(B947,Equipment[组合编号],0))&lt;&gt;"已登记","待补设备组合",IF(AND(F947&lt;&gt;"",G947&lt;&gt;"",K947&lt;&gt;"",L947&lt;&gt;"",M947&lt;&gt;"",N947&lt;&gt;"",ISNUMBER(O947),O947&gt;0,P947&lt;&gt;""),"记录齐全","待补实测记录")))))))))))</x:f>
        <x:v>待展开路径</x:v>
      </x:c>
    </x:row>
    <x:row r="948" ht="43.5" customHeight="1">
      <x:c r="A948" s="20" t="str">
        <x:v>REC-00939</x:v>
      </x:c>
      <x:c r="B948" s="20" t="str">
        <x:v>P2-B4-01</x:v>
      </x:c>
      <x:c r="C948" s="30" t="str">
        <x:f>IF(B948="","",IF(COUNTIFS(Equipment[组合编号],B948)&lt;&gt;1,"组合编号无效",INDEX(Equipment[PLC组],MATCH(B948,Equipment[组合编号],0))))</x:f>
        <x:v>汇川中大型</x:v>
      </x:c>
      <x:c r="D948" s="30" t="str">
        <x:f>IF(B948="","",IF(COUNTIFS(Equipment[组合编号],B948)&lt;&gt;1,"组合编号无效",INDEX(Equipment[驱动品牌],MATCH(B948,Equipment[组合编号],0))))</x:f>
        <x:v>Elmo</x:v>
      </x:c>
      <x:c r="E948" s="20" t="str">
        <x:v>T02</x:v>
      </x:c>
      <x:c r="F948" s="20"/>
      <x:c r="G948" s="20"/>
      <x:c r="H948" s="20" t="str">
        <x:v>待判定</x:v>
      </x:c>
      <x:c r="I948" s="20"/>
      <x:c r="J948" s="20" t="str">
        <x:v>未测试</x:v>
      </x:c>
      <x:c r="K948" s="20"/>
      <x:c r="L948" s="20"/>
      <x:c r="M948" s="20"/>
      <x:c r="N948" s="20"/>
      <x:c r="O948" s="31"/>
      <x:c r="P948" s="20"/>
      <x:c r="Q948" s="20"/>
      <x:c r="R948" s="20" t="str">
        <x:v>待展开</x:v>
      </x:c>
      <x:c r="S948" s="20"/>
      <x:c r="T948" s="31"/>
      <x:c r="U948" s="30" t="str">
        <x:f>IF(A948="","缺记录编号",IF(COUNTIFS(PathRecords[记录编号],A948)&lt;&gt;1,"记录编号重复",IF(OR(B948="",E948=""),"缺组合/功能",IF(COUNTIFS(Equipment[组合编号],B948)&lt;&gt;1,"组合编号无效",IF(COUNTIFS(FunctionMatrix[编号],E948)=0,"功能编号无效",IF(H948="不适用",IF(J948="已实测","适用性冲突",IF(I948="","待补不适用依据","不适用（非实测）")),IF(J948="阻塞",IF(I948="","待补阻塞原因","阻塞（非实测）"),IF(J948&lt;&gt;"已实测",IF(F948="","待展开路径","未实测"),IF(H948&lt;&gt;"适用","待确认适用性",IF(INDEX(Equipment[登记状态（自动）],MATCH(B948,Equipment[组合编号],0))&lt;&gt;"已登记","待补设备组合",IF(AND(F948&lt;&gt;"",G948&lt;&gt;"",K948&lt;&gt;"",L948&lt;&gt;"",M948&lt;&gt;"",N948&lt;&gt;"",ISNUMBER(O948),O948&gt;0,P948&lt;&gt;""),"记录齐全","待补实测记录")))))))))))</x:f>
        <x:v>待展开路径</x:v>
      </x:c>
    </x:row>
    <x:row r="949" ht="43.5" customHeight="1">
      <x:c r="A949" s="20" t="str">
        <x:v>REC-00940</x:v>
      </x:c>
      <x:c r="B949" s="20" t="str">
        <x:v>P2-B4-01</x:v>
      </x:c>
      <x:c r="C949" s="30" t="str">
        <x:f>IF(B949="","",IF(COUNTIFS(Equipment[组合编号],B949)&lt;&gt;1,"组合编号无效",INDEX(Equipment[PLC组],MATCH(B949,Equipment[组合编号],0))))</x:f>
        <x:v>汇川中大型</x:v>
      </x:c>
      <x:c r="D949" s="30" t="str">
        <x:f>IF(B949="","",IF(COUNTIFS(Equipment[组合编号],B949)&lt;&gt;1,"组合编号无效",INDEX(Equipment[驱动品牌],MATCH(B949,Equipment[组合编号],0))))</x:f>
        <x:v>Elmo</x:v>
      </x:c>
      <x:c r="E949" s="20" t="str">
        <x:v>T03</x:v>
      </x:c>
      <x:c r="F949" s="20"/>
      <x:c r="G949" s="20"/>
      <x:c r="H949" s="20" t="str">
        <x:v>待判定</x:v>
      </x:c>
      <x:c r="I949" s="20"/>
      <x:c r="J949" s="20" t="str">
        <x:v>未测试</x:v>
      </x:c>
      <x:c r="K949" s="20"/>
      <x:c r="L949" s="20"/>
      <x:c r="M949" s="20"/>
      <x:c r="N949" s="20"/>
      <x:c r="O949" s="31"/>
      <x:c r="P949" s="20"/>
      <x:c r="Q949" s="20"/>
      <x:c r="R949" s="20" t="str">
        <x:v>待展开</x:v>
      </x:c>
      <x:c r="S949" s="20"/>
      <x:c r="T949" s="31"/>
      <x:c r="U949" s="30" t="str">
        <x:f>IF(A949="","缺记录编号",IF(COUNTIFS(PathRecords[记录编号],A949)&lt;&gt;1,"记录编号重复",IF(OR(B949="",E949=""),"缺组合/功能",IF(COUNTIFS(Equipment[组合编号],B949)&lt;&gt;1,"组合编号无效",IF(COUNTIFS(FunctionMatrix[编号],E949)=0,"功能编号无效",IF(H949="不适用",IF(J949="已实测","适用性冲突",IF(I949="","待补不适用依据","不适用（非实测）")),IF(J949="阻塞",IF(I949="","待补阻塞原因","阻塞（非实测）"),IF(J949&lt;&gt;"已实测",IF(F949="","待展开路径","未实测"),IF(H949&lt;&gt;"适用","待确认适用性",IF(INDEX(Equipment[登记状态（自动）],MATCH(B949,Equipment[组合编号],0))&lt;&gt;"已登记","待补设备组合",IF(AND(F949&lt;&gt;"",G949&lt;&gt;"",K949&lt;&gt;"",L949&lt;&gt;"",M949&lt;&gt;"",N949&lt;&gt;"",ISNUMBER(O949),O949&gt;0,P949&lt;&gt;""),"记录齐全","待补实测记录")))))))))))</x:f>
        <x:v>待展开路径</x:v>
      </x:c>
    </x:row>
    <x:row r="950" ht="43.5" customHeight="1">
      <x:c r="A950" s="20" t="str">
        <x:v>REC-00941</x:v>
      </x:c>
      <x:c r="B950" s="20" t="str">
        <x:v>P2-B4-01</x:v>
      </x:c>
      <x:c r="C950" s="30" t="str">
        <x:f>IF(B950="","",IF(COUNTIFS(Equipment[组合编号],B950)&lt;&gt;1,"组合编号无效",INDEX(Equipment[PLC组],MATCH(B950,Equipment[组合编号],0))))</x:f>
        <x:v>汇川中大型</x:v>
      </x:c>
      <x:c r="D950" s="30" t="str">
        <x:f>IF(B950="","",IF(COUNTIFS(Equipment[组合编号],B950)&lt;&gt;1,"组合编号无效",INDEX(Equipment[驱动品牌],MATCH(B950,Equipment[组合编号],0))))</x:f>
        <x:v>Elmo</x:v>
      </x:c>
      <x:c r="E950" s="20" t="str">
        <x:v>T04</x:v>
      </x:c>
      <x:c r="F950" s="20"/>
      <x:c r="G950" s="20"/>
      <x:c r="H950" s="20" t="str">
        <x:v>待判定</x:v>
      </x:c>
      <x:c r="I950" s="20"/>
      <x:c r="J950" s="20" t="str">
        <x:v>未测试</x:v>
      </x:c>
      <x:c r="K950" s="20"/>
      <x:c r="L950" s="20"/>
      <x:c r="M950" s="20"/>
      <x:c r="N950" s="20"/>
      <x:c r="O950" s="31"/>
      <x:c r="P950" s="20"/>
      <x:c r="Q950" s="20"/>
      <x:c r="R950" s="20" t="str">
        <x:v>待展开</x:v>
      </x:c>
      <x:c r="S950" s="20"/>
      <x:c r="T950" s="31"/>
      <x:c r="U950" s="30" t="str">
        <x:f>IF(A950="","缺记录编号",IF(COUNTIFS(PathRecords[记录编号],A950)&lt;&gt;1,"记录编号重复",IF(OR(B950="",E950=""),"缺组合/功能",IF(COUNTIFS(Equipment[组合编号],B950)&lt;&gt;1,"组合编号无效",IF(COUNTIFS(FunctionMatrix[编号],E950)=0,"功能编号无效",IF(H950="不适用",IF(J950="已实测","适用性冲突",IF(I950="","待补不适用依据","不适用（非实测）")),IF(J950="阻塞",IF(I950="","待补阻塞原因","阻塞（非实测）"),IF(J950&lt;&gt;"已实测",IF(F950="","待展开路径","未实测"),IF(H950&lt;&gt;"适用","待确认适用性",IF(INDEX(Equipment[登记状态（自动）],MATCH(B950,Equipment[组合编号],0))&lt;&gt;"已登记","待补设备组合",IF(AND(F950&lt;&gt;"",G950&lt;&gt;"",K950&lt;&gt;"",L950&lt;&gt;"",M950&lt;&gt;"",N950&lt;&gt;"",ISNUMBER(O950),O950&gt;0,P950&lt;&gt;""),"记录齐全","待补实测记录")))))))))))</x:f>
        <x:v>待展开路径</x:v>
      </x:c>
    </x:row>
    <x:row r="951" ht="43.5" customHeight="1">
      <x:c r="A951" s="20" t="str">
        <x:v>REC-00942</x:v>
      </x:c>
      <x:c r="B951" s="20" t="str">
        <x:v>P2-B4-01</x:v>
      </x:c>
      <x:c r="C951" s="30" t="str">
        <x:f>IF(B951="","",IF(COUNTIFS(Equipment[组合编号],B951)&lt;&gt;1,"组合编号无效",INDEX(Equipment[PLC组],MATCH(B951,Equipment[组合编号],0))))</x:f>
        <x:v>汇川中大型</x:v>
      </x:c>
      <x:c r="D951" s="30" t="str">
        <x:f>IF(B951="","",IF(COUNTIFS(Equipment[组合编号],B951)&lt;&gt;1,"组合编号无效",INDEX(Equipment[驱动品牌],MATCH(B951,Equipment[组合编号],0))))</x:f>
        <x:v>Elmo</x:v>
      </x:c>
      <x:c r="E951" s="20" t="str">
        <x:v>T05</x:v>
      </x:c>
      <x:c r="F951" s="20"/>
      <x:c r="G951" s="20"/>
      <x:c r="H951" s="20" t="str">
        <x:v>待判定</x:v>
      </x:c>
      <x:c r="I951" s="20"/>
      <x:c r="J951" s="20" t="str">
        <x:v>未测试</x:v>
      </x:c>
      <x:c r="K951" s="20"/>
      <x:c r="L951" s="20"/>
      <x:c r="M951" s="20"/>
      <x:c r="N951" s="20"/>
      <x:c r="O951" s="31"/>
      <x:c r="P951" s="20"/>
      <x:c r="Q951" s="20"/>
      <x:c r="R951" s="20" t="str">
        <x:v>待展开</x:v>
      </x:c>
      <x:c r="S951" s="20"/>
      <x:c r="T951" s="31"/>
      <x:c r="U951" s="30" t="str">
        <x:f>IF(A951="","缺记录编号",IF(COUNTIFS(PathRecords[记录编号],A951)&lt;&gt;1,"记录编号重复",IF(OR(B951="",E951=""),"缺组合/功能",IF(COUNTIFS(Equipment[组合编号],B951)&lt;&gt;1,"组合编号无效",IF(COUNTIFS(FunctionMatrix[编号],E951)=0,"功能编号无效",IF(H951="不适用",IF(J951="已实测","适用性冲突",IF(I951="","待补不适用依据","不适用（非实测）")),IF(J951="阻塞",IF(I951="","待补阻塞原因","阻塞（非实测）"),IF(J951&lt;&gt;"已实测",IF(F951="","待展开路径","未实测"),IF(H951&lt;&gt;"适用","待确认适用性",IF(INDEX(Equipment[登记状态（自动）],MATCH(B951,Equipment[组合编号],0))&lt;&gt;"已登记","待补设备组合",IF(AND(F951&lt;&gt;"",G951&lt;&gt;"",K951&lt;&gt;"",L951&lt;&gt;"",M951&lt;&gt;"",N951&lt;&gt;"",ISNUMBER(O951),O951&gt;0,P951&lt;&gt;""),"记录齐全","待补实测记录")))))))))))</x:f>
        <x:v>待展开路径</x:v>
      </x:c>
    </x:row>
    <x:row r="952" ht="43.5" customHeight="1">
      <x:c r="A952" s="20" t="str">
        <x:v>REC-00943</x:v>
      </x:c>
      <x:c r="B952" s="20" t="str">
        <x:v>P2-B4-01</x:v>
      </x:c>
      <x:c r="C952" s="30" t="str">
        <x:f>IF(B952="","",IF(COUNTIFS(Equipment[组合编号],B952)&lt;&gt;1,"组合编号无效",INDEX(Equipment[PLC组],MATCH(B952,Equipment[组合编号],0))))</x:f>
        <x:v>汇川中大型</x:v>
      </x:c>
      <x:c r="D952" s="30" t="str">
        <x:f>IF(B952="","",IF(COUNTIFS(Equipment[组合编号],B952)&lt;&gt;1,"组合编号无效",INDEX(Equipment[驱动品牌],MATCH(B952,Equipment[组合编号],0))))</x:f>
        <x:v>Elmo</x:v>
      </x:c>
      <x:c r="E952" s="20" t="str">
        <x:v>T06</x:v>
      </x:c>
      <x:c r="F952" s="20"/>
      <x:c r="G952" s="20"/>
      <x:c r="H952" s="20" t="str">
        <x:v>待判定</x:v>
      </x:c>
      <x:c r="I952" s="20"/>
      <x:c r="J952" s="20" t="str">
        <x:v>未测试</x:v>
      </x:c>
      <x:c r="K952" s="20"/>
      <x:c r="L952" s="20"/>
      <x:c r="M952" s="20"/>
      <x:c r="N952" s="20"/>
      <x:c r="O952" s="31"/>
      <x:c r="P952" s="20"/>
      <x:c r="Q952" s="20"/>
      <x:c r="R952" s="20" t="str">
        <x:v>待展开</x:v>
      </x:c>
      <x:c r="S952" s="20"/>
      <x:c r="T952" s="31"/>
      <x:c r="U952" s="30" t="str">
        <x:f>IF(A952="","缺记录编号",IF(COUNTIFS(PathRecords[记录编号],A952)&lt;&gt;1,"记录编号重复",IF(OR(B952="",E952=""),"缺组合/功能",IF(COUNTIFS(Equipment[组合编号],B952)&lt;&gt;1,"组合编号无效",IF(COUNTIFS(FunctionMatrix[编号],E952)=0,"功能编号无效",IF(H952="不适用",IF(J952="已实测","适用性冲突",IF(I952="","待补不适用依据","不适用（非实测）")),IF(J952="阻塞",IF(I952="","待补阻塞原因","阻塞（非实测）"),IF(J952&lt;&gt;"已实测",IF(F952="","待展开路径","未实测"),IF(H952&lt;&gt;"适用","待确认适用性",IF(INDEX(Equipment[登记状态（自动）],MATCH(B952,Equipment[组合编号],0))&lt;&gt;"已登记","待补设备组合",IF(AND(F952&lt;&gt;"",G952&lt;&gt;"",K952&lt;&gt;"",L952&lt;&gt;"",M952&lt;&gt;"",N952&lt;&gt;"",ISNUMBER(O952),O952&gt;0,P952&lt;&gt;""),"记录齐全","待补实测记录")))))))))))</x:f>
        <x:v>待展开路径</x:v>
      </x:c>
    </x:row>
    <x:row r="953" ht="43.5" customHeight="1">
      <x:c r="A953" s="20" t="str">
        <x:v>REC-00944</x:v>
      </x:c>
      <x:c r="B953" s="20" t="str">
        <x:v>P2-B4-01</x:v>
      </x:c>
      <x:c r="C953" s="30" t="str">
        <x:f>IF(B953="","",IF(COUNTIFS(Equipment[组合编号],B953)&lt;&gt;1,"组合编号无效",INDEX(Equipment[PLC组],MATCH(B953,Equipment[组合编号],0))))</x:f>
        <x:v>汇川中大型</x:v>
      </x:c>
      <x:c r="D953" s="30" t="str">
        <x:f>IF(B953="","",IF(COUNTIFS(Equipment[组合编号],B953)&lt;&gt;1,"组合编号无效",INDEX(Equipment[驱动品牌],MATCH(B953,Equipment[组合编号],0))))</x:f>
        <x:v>Elmo</x:v>
      </x:c>
      <x:c r="E953" s="20" t="str">
        <x:v>T07</x:v>
      </x:c>
      <x:c r="F953" s="20"/>
      <x:c r="G953" s="20"/>
      <x:c r="H953" s="20" t="str">
        <x:v>待判定</x:v>
      </x:c>
      <x:c r="I953" s="20"/>
      <x:c r="J953" s="20" t="str">
        <x:v>未测试</x:v>
      </x:c>
      <x:c r="K953" s="20"/>
      <x:c r="L953" s="20"/>
      <x:c r="M953" s="20"/>
      <x:c r="N953" s="20"/>
      <x:c r="O953" s="31"/>
      <x:c r="P953" s="20"/>
      <x:c r="Q953" s="20"/>
      <x:c r="R953" s="20" t="str">
        <x:v>待展开</x:v>
      </x:c>
      <x:c r="S953" s="20"/>
      <x:c r="T953" s="31"/>
      <x:c r="U953" s="30" t="str">
        <x:f>IF(A953="","缺记录编号",IF(COUNTIFS(PathRecords[记录编号],A953)&lt;&gt;1,"记录编号重复",IF(OR(B953="",E953=""),"缺组合/功能",IF(COUNTIFS(Equipment[组合编号],B953)&lt;&gt;1,"组合编号无效",IF(COUNTIFS(FunctionMatrix[编号],E953)=0,"功能编号无效",IF(H953="不适用",IF(J953="已实测","适用性冲突",IF(I953="","待补不适用依据","不适用（非实测）")),IF(J953="阻塞",IF(I953="","待补阻塞原因","阻塞（非实测）"),IF(J953&lt;&gt;"已实测",IF(F953="","待展开路径","未实测"),IF(H953&lt;&gt;"适用","待确认适用性",IF(INDEX(Equipment[登记状态（自动）],MATCH(B953,Equipment[组合编号],0))&lt;&gt;"已登记","待补设备组合",IF(AND(F953&lt;&gt;"",G953&lt;&gt;"",K953&lt;&gt;"",L953&lt;&gt;"",M953&lt;&gt;"",N953&lt;&gt;"",ISNUMBER(O953),O953&gt;0,P953&lt;&gt;""),"记录齐全","待补实测记录")))))))))))</x:f>
        <x:v>待展开路径</x:v>
      </x:c>
    </x:row>
    <x:row r="954" ht="43.5" customHeight="1">
      <x:c r="A954" s="20" t="str">
        <x:v>REC-00945</x:v>
      </x:c>
      <x:c r="B954" s="20" t="str">
        <x:v>P2-B4-01</x:v>
      </x:c>
      <x:c r="C954" s="30" t="str">
        <x:f>IF(B954="","",IF(COUNTIFS(Equipment[组合编号],B954)&lt;&gt;1,"组合编号无效",INDEX(Equipment[PLC组],MATCH(B954,Equipment[组合编号],0))))</x:f>
        <x:v>汇川中大型</x:v>
      </x:c>
      <x:c r="D954" s="30" t="str">
        <x:f>IF(B954="","",IF(COUNTIFS(Equipment[组合编号],B954)&lt;&gt;1,"组合编号无效",INDEX(Equipment[驱动品牌],MATCH(B954,Equipment[组合编号],0))))</x:f>
        <x:v>Elmo</x:v>
      </x:c>
      <x:c r="E954" s="20" t="str">
        <x:v>T08</x:v>
      </x:c>
      <x:c r="F954" s="20"/>
      <x:c r="G954" s="20"/>
      <x:c r="H954" s="20" t="str">
        <x:v>待判定</x:v>
      </x:c>
      <x:c r="I954" s="20"/>
      <x:c r="J954" s="20" t="str">
        <x:v>未测试</x:v>
      </x:c>
      <x:c r="K954" s="20"/>
      <x:c r="L954" s="20"/>
      <x:c r="M954" s="20"/>
      <x:c r="N954" s="20"/>
      <x:c r="O954" s="31"/>
      <x:c r="P954" s="20"/>
      <x:c r="Q954" s="20"/>
      <x:c r="R954" s="20" t="str">
        <x:v>待展开</x:v>
      </x:c>
      <x:c r="S954" s="20"/>
      <x:c r="T954" s="31"/>
      <x:c r="U954" s="30" t="str">
        <x:f>IF(A954="","缺记录编号",IF(COUNTIFS(PathRecords[记录编号],A954)&lt;&gt;1,"记录编号重复",IF(OR(B954="",E954=""),"缺组合/功能",IF(COUNTIFS(Equipment[组合编号],B954)&lt;&gt;1,"组合编号无效",IF(COUNTIFS(FunctionMatrix[编号],E954)=0,"功能编号无效",IF(H954="不适用",IF(J954="已实测","适用性冲突",IF(I954="","待补不适用依据","不适用（非实测）")),IF(J954="阻塞",IF(I954="","待补阻塞原因","阻塞（非实测）"),IF(J954&lt;&gt;"已实测",IF(F954="","待展开路径","未实测"),IF(H954&lt;&gt;"适用","待确认适用性",IF(INDEX(Equipment[登记状态（自动）],MATCH(B954,Equipment[组合编号],0))&lt;&gt;"已登记","待补设备组合",IF(AND(F954&lt;&gt;"",G954&lt;&gt;"",K954&lt;&gt;"",L954&lt;&gt;"",M954&lt;&gt;"",N954&lt;&gt;"",ISNUMBER(O954),O954&gt;0,P954&lt;&gt;""),"记录齐全","待补实测记录")))))))))))</x:f>
        <x:v>待展开路径</x:v>
      </x:c>
    </x:row>
    <x:row r="955" ht="43.5" customHeight="1">
      <x:c r="A955" s="20" t="str">
        <x:v>REC-00946</x:v>
      </x:c>
      <x:c r="B955" s="20" t="str">
        <x:v>P2-B4-01</x:v>
      </x:c>
      <x:c r="C955" s="30" t="str">
        <x:f>IF(B955="","",IF(COUNTIFS(Equipment[组合编号],B955)&lt;&gt;1,"组合编号无效",INDEX(Equipment[PLC组],MATCH(B955,Equipment[组合编号],0))))</x:f>
        <x:v>汇川中大型</x:v>
      </x:c>
      <x:c r="D955" s="30" t="str">
        <x:f>IF(B955="","",IF(COUNTIFS(Equipment[组合编号],B955)&lt;&gt;1,"组合编号无效",INDEX(Equipment[驱动品牌],MATCH(B955,Equipment[组合编号],0))))</x:f>
        <x:v>Elmo</x:v>
      </x:c>
      <x:c r="E955" s="20" t="str">
        <x:v>T09</x:v>
      </x:c>
      <x:c r="F955" s="20"/>
      <x:c r="G955" s="20"/>
      <x:c r="H955" s="20" t="str">
        <x:v>待判定</x:v>
      </x:c>
      <x:c r="I955" s="20"/>
      <x:c r="J955" s="20" t="str">
        <x:v>未测试</x:v>
      </x:c>
      <x:c r="K955" s="20"/>
      <x:c r="L955" s="20"/>
      <x:c r="M955" s="20"/>
      <x:c r="N955" s="20"/>
      <x:c r="O955" s="31"/>
      <x:c r="P955" s="20"/>
      <x:c r="Q955" s="20"/>
      <x:c r="R955" s="20" t="str">
        <x:v>待展开</x:v>
      </x:c>
      <x:c r="S955" s="20"/>
      <x:c r="T955" s="31"/>
      <x:c r="U955" s="30" t="str">
        <x:f>IF(A955="","缺记录编号",IF(COUNTIFS(PathRecords[记录编号],A955)&lt;&gt;1,"记录编号重复",IF(OR(B955="",E955=""),"缺组合/功能",IF(COUNTIFS(Equipment[组合编号],B955)&lt;&gt;1,"组合编号无效",IF(COUNTIFS(FunctionMatrix[编号],E955)=0,"功能编号无效",IF(H955="不适用",IF(J955="已实测","适用性冲突",IF(I955="","待补不适用依据","不适用（非实测）")),IF(J955="阻塞",IF(I955="","待补阻塞原因","阻塞（非实测）"),IF(J955&lt;&gt;"已实测",IF(F955="","待展开路径","未实测"),IF(H955&lt;&gt;"适用","待确认适用性",IF(INDEX(Equipment[登记状态（自动）],MATCH(B955,Equipment[组合编号],0))&lt;&gt;"已登记","待补设备组合",IF(AND(F955&lt;&gt;"",G955&lt;&gt;"",K955&lt;&gt;"",L955&lt;&gt;"",M955&lt;&gt;"",N955&lt;&gt;"",ISNUMBER(O955),O955&gt;0,P955&lt;&gt;""),"记录齐全","待补实测记录")))))))))))</x:f>
        <x:v>待展开路径</x:v>
      </x:c>
    </x:row>
    <x:row r="956" ht="43.5" customHeight="1">
      <x:c r="A956" s="20" t="str">
        <x:v>REC-00947</x:v>
      </x:c>
      <x:c r="B956" s="20" t="str">
        <x:v>P2-B4-01</x:v>
      </x:c>
      <x:c r="C956" s="30" t="str">
        <x:f>IF(B956="","",IF(COUNTIFS(Equipment[组合编号],B956)&lt;&gt;1,"组合编号无效",INDEX(Equipment[PLC组],MATCH(B956,Equipment[组合编号],0))))</x:f>
        <x:v>汇川中大型</x:v>
      </x:c>
      <x:c r="D956" s="30" t="str">
        <x:f>IF(B956="","",IF(COUNTIFS(Equipment[组合编号],B956)&lt;&gt;1,"组合编号无效",INDEX(Equipment[驱动品牌],MATCH(B956,Equipment[组合编号],0))))</x:f>
        <x:v>Elmo</x:v>
      </x:c>
      <x:c r="E956" s="20" t="str">
        <x:v>R01</x:v>
      </x:c>
      <x:c r="F956" s="20"/>
      <x:c r="G956" s="20"/>
      <x:c r="H956" s="20" t="str">
        <x:v>待判定</x:v>
      </x:c>
      <x:c r="I956" s="20"/>
      <x:c r="J956" s="20" t="str">
        <x:v>未测试</x:v>
      </x:c>
      <x:c r="K956" s="20"/>
      <x:c r="L956" s="20"/>
      <x:c r="M956" s="20"/>
      <x:c r="N956" s="20"/>
      <x:c r="O956" s="31"/>
      <x:c r="P956" s="20"/>
      <x:c r="Q956" s="20"/>
      <x:c r="R956" s="20" t="str">
        <x:v>待展开</x:v>
      </x:c>
      <x:c r="S956" s="20"/>
      <x:c r="T956" s="31"/>
      <x:c r="U956" s="30" t="str">
        <x:f>IF(A956="","缺记录编号",IF(COUNTIFS(PathRecords[记录编号],A956)&lt;&gt;1,"记录编号重复",IF(OR(B956="",E956=""),"缺组合/功能",IF(COUNTIFS(Equipment[组合编号],B956)&lt;&gt;1,"组合编号无效",IF(COUNTIFS(FunctionMatrix[编号],E956)=0,"功能编号无效",IF(H956="不适用",IF(J956="已实测","适用性冲突",IF(I956="","待补不适用依据","不适用（非实测）")),IF(J956="阻塞",IF(I956="","待补阻塞原因","阻塞（非实测）"),IF(J956&lt;&gt;"已实测",IF(F956="","待展开路径","未实测"),IF(H956&lt;&gt;"适用","待确认适用性",IF(INDEX(Equipment[登记状态（自动）],MATCH(B956,Equipment[组合编号],0))&lt;&gt;"已登记","待补设备组合",IF(AND(F956&lt;&gt;"",G956&lt;&gt;"",K956&lt;&gt;"",L956&lt;&gt;"",M956&lt;&gt;"",N956&lt;&gt;"",ISNUMBER(O956),O956&gt;0,P956&lt;&gt;""),"记录齐全","待补实测记录")))))))))))</x:f>
        <x:v>待展开路径</x:v>
      </x:c>
    </x:row>
    <x:row r="957" ht="43.5" customHeight="1">
      <x:c r="A957" s="20" t="str">
        <x:v>REC-00948</x:v>
      </x:c>
      <x:c r="B957" s="20" t="str">
        <x:v>P2-B4-01</x:v>
      </x:c>
      <x:c r="C957" s="30" t="str">
        <x:f>IF(B957="","",IF(COUNTIFS(Equipment[组合编号],B957)&lt;&gt;1,"组合编号无效",INDEX(Equipment[PLC组],MATCH(B957,Equipment[组合编号],0))))</x:f>
        <x:v>汇川中大型</x:v>
      </x:c>
      <x:c r="D957" s="30" t="str">
        <x:f>IF(B957="","",IF(COUNTIFS(Equipment[组合编号],B957)&lt;&gt;1,"组合编号无效",INDEX(Equipment[驱动品牌],MATCH(B957,Equipment[组合编号],0))))</x:f>
        <x:v>Elmo</x:v>
      </x:c>
      <x:c r="E957" s="20" t="str">
        <x:v>R02</x:v>
      </x:c>
      <x:c r="F957" s="20"/>
      <x:c r="G957" s="20"/>
      <x:c r="H957" s="20" t="str">
        <x:v>待判定</x:v>
      </x:c>
      <x:c r="I957" s="20"/>
      <x:c r="J957" s="20" t="str">
        <x:v>未测试</x:v>
      </x:c>
      <x:c r="K957" s="20"/>
      <x:c r="L957" s="20"/>
      <x:c r="M957" s="20"/>
      <x:c r="N957" s="20"/>
      <x:c r="O957" s="31"/>
      <x:c r="P957" s="20"/>
      <x:c r="Q957" s="20"/>
      <x:c r="R957" s="20" t="str">
        <x:v>待展开</x:v>
      </x:c>
      <x:c r="S957" s="20"/>
      <x:c r="T957" s="31"/>
      <x:c r="U957" s="30" t="str">
        <x:f>IF(A957="","缺记录编号",IF(COUNTIFS(PathRecords[记录编号],A957)&lt;&gt;1,"记录编号重复",IF(OR(B957="",E957=""),"缺组合/功能",IF(COUNTIFS(Equipment[组合编号],B957)&lt;&gt;1,"组合编号无效",IF(COUNTIFS(FunctionMatrix[编号],E957)=0,"功能编号无效",IF(H957="不适用",IF(J957="已实测","适用性冲突",IF(I957="","待补不适用依据","不适用（非实测）")),IF(J957="阻塞",IF(I957="","待补阻塞原因","阻塞（非实测）"),IF(J957&lt;&gt;"已实测",IF(F957="","待展开路径","未实测"),IF(H957&lt;&gt;"适用","待确认适用性",IF(INDEX(Equipment[登记状态（自动）],MATCH(B957,Equipment[组合编号],0))&lt;&gt;"已登记","待补设备组合",IF(AND(F957&lt;&gt;"",G957&lt;&gt;"",K957&lt;&gt;"",L957&lt;&gt;"",M957&lt;&gt;"",N957&lt;&gt;"",ISNUMBER(O957),O957&gt;0,P957&lt;&gt;""),"记录齐全","待补实测记录")))))))))))</x:f>
        <x:v>待展开路径</x:v>
      </x:c>
    </x:row>
    <x:row r="958" ht="43.5" customHeight="1">
      <x:c r="A958" s="20" t="str">
        <x:v>REC-00949</x:v>
      </x:c>
      <x:c r="B958" s="20" t="str">
        <x:v>P2-B4-01</x:v>
      </x:c>
      <x:c r="C958" s="30" t="str">
        <x:f>IF(B958="","",IF(COUNTIFS(Equipment[组合编号],B958)&lt;&gt;1,"组合编号无效",INDEX(Equipment[PLC组],MATCH(B958,Equipment[组合编号],0))))</x:f>
        <x:v>汇川中大型</x:v>
      </x:c>
      <x:c r="D958" s="30" t="str">
        <x:f>IF(B958="","",IF(COUNTIFS(Equipment[组合编号],B958)&lt;&gt;1,"组合编号无效",INDEX(Equipment[驱动品牌],MATCH(B958,Equipment[组合编号],0))))</x:f>
        <x:v>Elmo</x:v>
      </x:c>
      <x:c r="E958" s="20" t="str">
        <x:v>R03</x:v>
      </x:c>
      <x:c r="F958" s="20"/>
      <x:c r="G958" s="20"/>
      <x:c r="H958" s="20" t="str">
        <x:v>待判定</x:v>
      </x:c>
      <x:c r="I958" s="20"/>
      <x:c r="J958" s="20" t="str">
        <x:v>未测试</x:v>
      </x:c>
      <x:c r="K958" s="20"/>
      <x:c r="L958" s="20"/>
      <x:c r="M958" s="20"/>
      <x:c r="N958" s="20"/>
      <x:c r="O958" s="31"/>
      <x:c r="P958" s="20"/>
      <x:c r="Q958" s="20"/>
      <x:c r="R958" s="20" t="str">
        <x:v>待展开</x:v>
      </x:c>
      <x:c r="S958" s="20"/>
      <x:c r="T958" s="31"/>
      <x:c r="U958" s="30" t="str">
        <x:f>IF(A958="","缺记录编号",IF(COUNTIFS(PathRecords[记录编号],A958)&lt;&gt;1,"记录编号重复",IF(OR(B958="",E958=""),"缺组合/功能",IF(COUNTIFS(Equipment[组合编号],B958)&lt;&gt;1,"组合编号无效",IF(COUNTIFS(FunctionMatrix[编号],E958)=0,"功能编号无效",IF(H958="不适用",IF(J958="已实测","适用性冲突",IF(I958="","待补不适用依据","不适用（非实测）")),IF(J958="阻塞",IF(I958="","待补阻塞原因","阻塞（非实测）"),IF(J958&lt;&gt;"已实测",IF(F958="","待展开路径","未实测"),IF(H958&lt;&gt;"适用","待确认适用性",IF(INDEX(Equipment[登记状态（自动）],MATCH(B958,Equipment[组合编号],0))&lt;&gt;"已登记","待补设备组合",IF(AND(F958&lt;&gt;"",G958&lt;&gt;"",K958&lt;&gt;"",L958&lt;&gt;"",M958&lt;&gt;"",N958&lt;&gt;"",ISNUMBER(O958),O958&gt;0,P958&lt;&gt;""),"记录齐全","待补实测记录")))))))))))</x:f>
        <x:v>待展开路径</x:v>
      </x:c>
    </x:row>
    <x:row r="959" ht="43.5" customHeight="1">
      <x:c r="A959" s="20" t="str">
        <x:v>REC-00950</x:v>
      </x:c>
      <x:c r="B959" s="20" t="str">
        <x:v>P2-B4-01</x:v>
      </x:c>
      <x:c r="C959" s="30" t="str">
        <x:f>IF(B959="","",IF(COUNTIFS(Equipment[组合编号],B959)&lt;&gt;1,"组合编号无效",INDEX(Equipment[PLC组],MATCH(B959,Equipment[组合编号],0))))</x:f>
        <x:v>汇川中大型</x:v>
      </x:c>
      <x:c r="D959" s="30" t="str">
        <x:f>IF(B959="","",IF(COUNTIFS(Equipment[组合编号],B959)&lt;&gt;1,"组合编号无效",INDEX(Equipment[驱动品牌],MATCH(B959,Equipment[组合编号],0))))</x:f>
        <x:v>Elmo</x:v>
      </x:c>
      <x:c r="E959" s="20" t="str">
        <x:v>R04</x:v>
      </x:c>
      <x:c r="F959" s="20"/>
      <x:c r="G959" s="20"/>
      <x:c r="H959" s="20" t="str">
        <x:v>待判定</x:v>
      </x:c>
      <x:c r="I959" s="20"/>
      <x:c r="J959" s="20" t="str">
        <x:v>未测试</x:v>
      </x:c>
      <x:c r="K959" s="20"/>
      <x:c r="L959" s="20"/>
      <x:c r="M959" s="20"/>
      <x:c r="N959" s="20"/>
      <x:c r="O959" s="31"/>
      <x:c r="P959" s="20"/>
      <x:c r="Q959" s="20"/>
      <x:c r="R959" s="20" t="str">
        <x:v>待展开</x:v>
      </x:c>
      <x:c r="S959" s="20"/>
      <x:c r="T959" s="31"/>
      <x:c r="U959" s="30" t="str">
        <x:f>IF(A959="","缺记录编号",IF(COUNTIFS(PathRecords[记录编号],A959)&lt;&gt;1,"记录编号重复",IF(OR(B959="",E959=""),"缺组合/功能",IF(COUNTIFS(Equipment[组合编号],B959)&lt;&gt;1,"组合编号无效",IF(COUNTIFS(FunctionMatrix[编号],E959)=0,"功能编号无效",IF(H959="不适用",IF(J959="已实测","适用性冲突",IF(I959="","待补不适用依据","不适用（非实测）")),IF(J959="阻塞",IF(I959="","待补阻塞原因","阻塞（非实测）"),IF(J959&lt;&gt;"已实测",IF(F959="","待展开路径","未实测"),IF(H959&lt;&gt;"适用","待确认适用性",IF(INDEX(Equipment[登记状态（自动）],MATCH(B959,Equipment[组合编号],0))&lt;&gt;"已登记","待补设备组合",IF(AND(F959&lt;&gt;"",G959&lt;&gt;"",K959&lt;&gt;"",L959&lt;&gt;"",M959&lt;&gt;"",N959&lt;&gt;"",ISNUMBER(O959),O959&gt;0,P959&lt;&gt;""),"记录齐全","待补实测记录")))))))))))</x:f>
        <x:v>待展开路径</x:v>
      </x:c>
    </x:row>
    <x:row r="960" ht="43.5" customHeight="1">
      <x:c r="A960" s="20" t="str">
        <x:v>REC-00951</x:v>
      </x:c>
      <x:c r="B960" s="20" t="str">
        <x:v>P2-B4-01</x:v>
      </x:c>
      <x:c r="C960" s="30" t="str">
        <x:f>IF(B960="","",IF(COUNTIFS(Equipment[组合编号],B960)&lt;&gt;1,"组合编号无效",INDEX(Equipment[PLC组],MATCH(B960,Equipment[组合编号],0))))</x:f>
        <x:v>汇川中大型</x:v>
      </x:c>
      <x:c r="D960" s="30" t="str">
        <x:f>IF(B960="","",IF(COUNTIFS(Equipment[组合编号],B960)&lt;&gt;1,"组合编号无效",INDEX(Equipment[驱动品牌],MATCH(B960,Equipment[组合编号],0))))</x:f>
        <x:v>Elmo</x:v>
      </x:c>
      <x:c r="E960" s="20" t="str">
        <x:v>R05</x:v>
      </x:c>
      <x:c r="F960" s="20"/>
      <x:c r="G960" s="20"/>
      <x:c r="H960" s="20" t="str">
        <x:v>待判定</x:v>
      </x:c>
      <x:c r="I960" s="20"/>
      <x:c r="J960" s="20" t="str">
        <x:v>未测试</x:v>
      </x:c>
      <x:c r="K960" s="20"/>
      <x:c r="L960" s="20"/>
      <x:c r="M960" s="20"/>
      <x:c r="N960" s="20"/>
      <x:c r="O960" s="31"/>
      <x:c r="P960" s="20"/>
      <x:c r="Q960" s="20"/>
      <x:c r="R960" s="20" t="str">
        <x:v>待展开</x:v>
      </x:c>
      <x:c r="S960" s="20"/>
      <x:c r="T960" s="31"/>
      <x:c r="U960" s="30" t="str">
        <x:f>IF(A960="","缺记录编号",IF(COUNTIFS(PathRecords[记录编号],A960)&lt;&gt;1,"记录编号重复",IF(OR(B960="",E960=""),"缺组合/功能",IF(COUNTIFS(Equipment[组合编号],B960)&lt;&gt;1,"组合编号无效",IF(COUNTIFS(FunctionMatrix[编号],E960)=0,"功能编号无效",IF(H960="不适用",IF(J960="已实测","适用性冲突",IF(I960="","待补不适用依据","不适用（非实测）")),IF(J960="阻塞",IF(I960="","待补阻塞原因","阻塞（非实测）"),IF(J960&lt;&gt;"已实测",IF(F960="","待展开路径","未实测"),IF(H960&lt;&gt;"适用","待确认适用性",IF(INDEX(Equipment[登记状态（自动）],MATCH(B960,Equipment[组合编号],0))&lt;&gt;"已登记","待补设备组合",IF(AND(F960&lt;&gt;"",G960&lt;&gt;"",K960&lt;&gt;"",L960&lt;&gt;"",M960&lt;&gt;"",N960&lt;&gt;"",ISNUMBER(O960),O960&gt;0,P960&lt;&gt;""),"记录齐全","待补实测记录")))))))))))</x:f>
        <x:v>待展开路径</x:v>
      </x:c>
    </x:row>
    <x:row r="961" ht="43.5" customHeight="1">
      <x:c r="A961" s="20" t="str">
        <x:v>REC-00952</x:v>
      </x:c>
      <x:c r="B961" s="20" t="str">
        <x:v>P2-B4-01</x:v>
      </x:c>
      <x:c r="C961" s="30" t="str">
        <x:f>IF(B961="","",IF(COUNTIFS(Equipment[组合编号],B961)&lt;&gt;1,"组合编号无效",INDEX(Equipment[PLC组],MATCH(B961,Equipment[组合编号],0))))</x:f>
        <x:v>汇川中大型</x:v>
      </x:c>
      <x:c r="D961" s="30" t="str">
        <x:f>IF(B961="","",IF(COUNTIFS(Equipment[组合编号],B961)&lt;&gt;1,"组合编号无效",INDEX(Equipment[驱动品牌],MATCH(B961,Equipment[组合编号],0))))</x:f>
        <x:v>Elmo</x:v>
      </x:c>
      <x:c r="E961" s="20" t="str">
        <x:v>R06</x:v>
      </x:c>
      <x:c r="F961" s="20"/>
      <x:c r="G961" s="20"/>
      <x:c r="H961" s="20" t="str">
        <x:v>待判定</x:v>
      </x:c>
      <x:c r="I961" s="20"/>
      <x:c r="J961" s="20" t="str">
        <x:v>未测试</x:v>
      </x:c>
      <x:c r="K961" s="20"/>
      <x:c r="L961" s="20"/>
      <x:c r="M961" s="20"/>
      <x:c r="N961" s="20"/>
      <x:c r="O961" s="31"/>
      <x:c r="P961" s="20"/>
      <x:c r="Q961" s="20"/>
      <x:c r="R961" s="20" t="str">
        <x:v>待展开</x:v>
      </x:c>
      <x:c r="S961" s="20"/>
      <x:c r="T961" s="31"/>
      <x:c r="U961" s="30" t="str">
        <x:f>IF(A961="","缺记录编号",IF(COUNTIFS(PathRecords[记录编号],A961)&lt;&gt;1,"记录编号重复",IF(OR(B961="",E961=""),"缺组合/功能",IF(COUNTIFS(Equipment[组合编号],B961)&lt;&gt;1,"组合编号无效",IF(COUNTIFS(FunctionMatrix[编号],E961)=0,"功能编号无效",IF(H961="不适用",IF(J961="已实测","适用性冲突",IF(I961="","待补不适用依据","不适用（非实测）")),IF(J961="阻塞",IF(I961="","待补阻塞原因","阻塞（非实测）"),IF(J961&lt;&gt;"已实测",IF(F961="","待展开路径","未实测"),IF(H961&lt;&gt;"适用","待确认适用性",IF(INDEX(Equipment[登记状态（自动）],MATCH(B961,Equipment[组合编号],0))&lt;&gt;"已登记","待补设备组合",IF(AND(F961&lt;&gt;"",G961&lt;&gt;"",K961&lt;&gt;"",L961&lt;&gt;"",M961&lt;&gt;"",N961&lt;&gt;"",ISNUMBER(O961),O961&gt;0,P961&lt;&gt;""),"记录齐全","待补实测记录")))))))))))</x:f>
        <x:v>待展开路径</x:v>
      </x:c>
    </x:row>
    <x:row r="962" ht="43.5" customHeight="1">
      <x:c r="A962" s="20" t="str">
        <x:v>REC-00953</x:v>
      </x:c>
      <x:c r="B962" s="20" t="str">
        <x:v>P2-B4-01</x:v>
      </x:c>
      <x:c r="C962" s="30" t="str">
        <x:f>IF(B962="","",IF(COUNTIFS(Equipment[组合编号],B962)&lt;&gt;1,"组合编号无效",INDEX(Equipment[PLC组],MATCH(B962,Equipment[组合编号],0))))</x:f>
        <x:v>汇川中大型</x:v>
      </x:c>
      <x:c r="D962" s="30" t="str">
        <x:f>IF(B962="","",IF(COUNTIFS(Equipment[组合编号],B962)&lt;&gt;1,"组合编号无效",INDEX(Equipment[驱动品牌],MATCH(B962,Equipment[组合编号],0))))</x:f>
        <x:v>Elmo</x:v>
      </x:c>
      <x:c r="E962" s="20" t="str">
        <x:v>R07</x:v>
      </x:c>
      <x:c r="F962" s="20"/>
      <x:c r="G962" s="20"/>
      <x:c r="H962" s="20" t="str">
        <x:v>待判定</x:v>
      </x:c>
      <x:c r="I962" s="20"/>
      <x:c r="J962" s="20" t="str">
        <x:v>未测试</x:v>
      </x:c>
      <x:c r="K962" s="20"/>
      <x:c r="L962" s="20"/>
      <x:c r="M962" s="20"/>
      <x:c r="N962" s="20"/>
      <x:c r="O962" s="31"/>
      <x:c r="P962" s="20"/>
      <x:c r="Q962" s="20"/>
      <x:c r="R962" s="20" t="str">
        <x:v>待展开</x:v>
      </x:c>
      <x:c r="S962" s="20"/>
      <x:c r="T962" s="31"/>
      <x:c r="U962" s="30" t="str">
        <x:f>IF(A962="","缺记录编号",IF(COUNTIFS(PathRecords[记录编号],A962)&lt;&gt;1,"记录编号重复",IF(OR(B962="",E962=""),"缺组合/功能",IF(COUNTIFS(Equipment[组合编号],B962)&lt;&gt;1,"组合编号无效",IF(COUNTIFS(FunctionMatrix[编号],E962)=0,"功能编号无效",IF(H962="不适用",IF(J962="已实测","适用性冲突",IF(I962="","待补不适用依据","不适用（非实测）")),IF(J962="阻塞",IF(I962="","待补阻塞原因","阻塞（非实测）"),IF(J962&lt;&gt;"已实测",IF(F962="","待展开路径","未实测"),IF(H962&lt;&gt;"适用","待确认适用性",IF(INDEX(Equipment[登记状态（自动）],MATCH(B962,Equipment[组合编号],0))&lt;&gt;"已登记","待补设备组合",IF(AND(F962&lt;&gt;"",G962&lt;&gt;"",K962&lt;&gt;"",L962&lt;&gt;"",M962&lt;&gt;"",N962&lt;&gt;"",ISNUMBER(O962),O962&gt;0,P962&lt;&gt;""),"记录齐全","待补实测记录")))))))))))</x:f>
        <x:v>待展开路径</x:v>
      </x:c>
    </x:row>
    <x:row r="963" ht="43.5" customHeight="1">
      <x:c r="A963" s="20" t="str">
        <x:v>REC-00954</x:v>
      </x:c>
      <x:c r="B963" s="20" t="str">
        <x:v>P2-B4-01</x:v>
      </x:c>
      <x:c r="C963" s="30" t="str">
        <x:f>IF(B963="","",IF(COUNTIFS(Equipment[组合编号],B963)&lt;&gt;1,"组合编号无效",INDEX(Equipment[PLC组],MATCH(B963,Equipment[组合编号],0))))</x:f>
        <x:v>汇川中大型</x:v>
      </x:c>
      <x:c r="D963" s="30" t="str">
        <x:f>IF(B963="","",IF(COUNTIFS(Equipment[组合编号],B963)&lt;&gt;1,"组合编号无效",INDEX(Equipment[驱动品牌],MATCH(B963,Equipment[组合编号],0))))</x:f>
        <x:v>Elmo</x:v>
      </x:c>
      <x:c r="E963" s="20" t="str">
        <x:v>R08</x:v>
      </x:c>
      <x:c r="F963" s="20"/>
      <x:c r="G963" s="20"/>
      <x:c r="H963" s="20" t="str">
        <x:v>待判定</x:v>
      </x:c>
      <x:c r="I963" s="20"/>
      <x:c r="J963" s="20" t="str">
        <x:v>未测试</x:v>
      </x:c>
      <x:c r="K963" s="20"/>
      <x:c r="L963" s="20"/>
      <x:c r="M963" s="20"/>
      <x:c r="N963" s="20"/>
      <x:c r="O963" s="31"/>
      <x:c r="P963" s="20"/>
      <x:c r="Q963" s="20"/>
      <x:c r="R963" s="20" t="str">
        <x:v>待展开</x:v>
      </x:c>
      <x:c r="S963" s="20"/>
      <x:c r="T963" s="31"/>
      <x:c r="U963" s="30" t="str">
        <x:f>IF(A963="","缺记录编号",IF(COUNTIFS(PathRecords[记录编号],A963)&lt;&gt;1,"记录编号重复",IF(OR(B963="",E963=""),"缺组合/功能",IF(COUNTIFS(Equipment[组合编号],B963)&lt;&gt;1,"组合编号无效",IF(COUNTIFS(FunctionMatrix[编号],E963)=0,"功能编号无效",IF(H963="不适用",IF(J963="已实测","适用性冲突",IF(I963="","待补不适用依据","不适用（非实测）")),IF(J963="阻塞",IF(I963="","待补阻塞原因","阻塞（非实测）"),IF(J963&lt;&gt;"已实测",IF(F963="","待展开路径","未实测"),IF(H963&lt;&gt;"适用","待确认适用性",IF(INDEX(Equipment[登记状态（自动）],MATCH(B963,Equipment[组合编号],0))&lt;&gt;"已登记","待补设备组合",IF(AND(F963&lt;&gt;"",G963&lt;&gt;"",K963&lt;&gt;"",L963&lt;&gt;"",M963&lt;&gt;"",N963&lt;&gt;"",ISNUMBER(O963),O963&gt;0,P963&lt;&gt;""),"记录齐全","待补实测记录")))))))))))</x:f>
        <x:v>待展开路径</x:v>
      </x:c>
    </x:row>
    <x:row r="964" ht="43.5" customHeight="1">
      <x:c r="A964" s="20" t="str">
        <x:v>REC-00955</x:v>
      </x:c>
      <x:c r="B964" s="20" t="str">
        <x:v>P2-B5-01</x:v>
      </x:c>
      <x:c r="C964" s="30" t="str">
        <x:f>IF(B964="","",IF(COUNTIFS(Equipment[组合编号],B964)&lt;&gt;1,"组合编号无效",INDEX(Equipment[PLC组],MATCH(B964,Equipment[组合编号],0))))</x:f>
        <x:v>汇川中大型</x:v>
      </x:c>
      <x:c r="D964" s="30" t="str">
        <x:f>IF(B964="","",IF(COUNTIFS(Equipment[组合编号],B964)&lt;&gt;1,"组合编号无效",INDEX(Equipment[驱动品牌],MATCH(B964,Equipment[组合编号],0))))</x:f>
        <x:v>KEBA（可选）</x:v>
      </x:c>
      <x:c r="E964" s="20" t="str">
        <x:v>M01</x:v>
      </x:c>
      <x:c r="F964" s="20"/>
      <x:c r="G964" s="20"/>
      <x:c r="H964" s="20" t="str">
        <x:v>待判定</x:v>
      </x:c>
      <x:c r="I964" s="20"/>
      <x:c r="J964" s="20" t="str">
        <x:v>未测试</x:v>
      </x:c>
      <x:c r="K964" s="20"/>
      <x:c r="L964" s="20"/>
      <x:c r="M964" s="20"/>
      <x:c r="N964" s="20"/>
      <x:c r="O964" s="31"/>
      <x:c r="P964" s="20"/>
      <x:c r="Q964" s="20"/>
      <x:c r="R964" s="20" t="str">
        <x:v>待展开</x:v>
      </x:c>
      <x:c r="S964" s="20"/>
      <x:c r="T964" s="31"/>
      <x:c r="U964" s="30" t="str">
        <x:f>IF(A964="","缺记录编号",IF(COUNTIFS(PathRecords[记录编号],A964)&lt;&gt;1,"记录编号重复",IF(OR(B964="",E964=""),"缺组合/功能",IF(COUNTIFS(Equipment[组合编号],B964)&lt;&gt;1,"组合编号无效",IF(COUNTIFS(FunctionMatrix[编号],E964)=0,"功能编号无效",IF(H964="不适用",IF(J964="已实测","适用性冲突",IF(I964="","待补不适用依据","不适用（非实测）")),IF(J964="阻塞",IF(I964="","待补阻塞原因","阻塞（非实测）"),IF(J964&lt;&gt;"已实测",IF(F964="","待展开路径","未实测"),IF(H964&lt;&gt;"适用","待确认适用性",IF(INDEX(Equipment[登记状态（自动）],MATCH(B964,Equipment[组合编号],0))&lt;&gt;"已登记","待补设备组合",IF(AND(F964&lt;&gt;"",G964&lt;&gt;"",K964&lt;&gt;"",L964&lt;&gt;"",M964&lt;&gt;"",N964&lt;&gt;"",ISNUMBER(O964),O964&gt;0,P964&lt;&gt;""),"记录齐全","待补实测记录")))))))))))</x:f>
        <x:v>待展开路径</x:v>
      </x:c>
    </x:row>
    <x:row r="965" ht="43.5" customHeight="1">
      <x:c r="A965" s="20" t="str">
        <x:v>REC-00956</x:v>
      </x:c>
      <x:c r="B965" s="20" t="str">
        <x:v>P2-B5-01</x:v>
      </x:c>
      <x:c r="C965" s="30" t="str">
        <x:f>IF(B965="","",IF(COUNTIFS(Equipment[组合编号],B965)&lt;&gt;1,"组合编号无效",INDEX(Equipment[PLC组],MATCH(B965,Equipment[组合编号],0))))</x:f>
        <x:v>汇川中大型</x:v>
      </x:c>
      <x:c r="D965" s="30" t="str">
        <x:f>IF(B965="","",IF(COUNTIFS(Equipment[组合编号],B965)&lt;&gt;1,"组合编号无效",INDEX(Equipment[驱动品牌],MATCH(B965,Equipment[组合编号],0))))</x:f>
        <x:v>KEBA（可选）</x:v>
      </x:c>
      <x:c r="E965" s="20" t="str">
        <x:v>M02</x:v>
      </x:c>
      <x:c r="F965" s="20"/>
      <x:c r="G965" s="20"/>
      <x:c r="H965" s="20" t="str">
        <x:v>待判定</x:v>
      </x:c>
      <x:c r="I965" s="20"/>
      <x:c r="J965" s="20" t="str">
        <x:v>未测试</x:v>
      </x:c>
      <x:c r="K965" s="20"/>
      <x:c r="L965" s="20"/>
      <x:c r="M965" s="20"/>
      <x:c r="N965" s="20"/>
      <x:c r="O965" s="31"/>
      <x:c r="P965" s="20"/>
      <x:c r="Q965" s="20"/>
      <x:c r="R965" s="20" t="str">
        <x:v>待展开</x:v>
      </x:c>
      <x:c r="S965" s="20"/>
      <x:c r="T965" s="31"/>
      <x:c r="U965" s="30" t="str">
        <x:f>IF(A965="","缺记录编号",IF(COUNTIFS(PathRecords[记录编号],A965)&lt;&gt;1,"记录编号重复",IF(OR(B965="",E965=""),"缺组合/功能",IF(COUNTIFS(Equipment[组合编号],B965)&lt;&gt;1,"组合编号无效",IF(COUNTIFS(FunctionMatrix[编号],E965)=0,"功能编号无效",IF(H965="不适用",IF(J965="已实测","适用性冲突",IF(I965="","待补不适用依据","不适用（非实测）")),IF(J965="阻塞",IF(I965="","待补阻塞原因","阻塞（非实测）"),IF(J965&lt;&gt;"已实测",IF(F965="","待展开路径","未实测"),IF(H965&lt;&gt;"适用","待确认适用性",IF(INDEX(Equipment[登记状态（自动）],MATCH(B965,Equipment[组合编号],0))&lt;&gt;"已登记","待补设备组合",IF(AND(F965&lt;&gt;"",G965&lt;&gt;"",K965&lt;&gt;"",L965&lt;&gt;"",M965&lt;&gt;"",N965&lt;&gt;"",ISNUMBER(O965),O965&gt;0,P965&lt;&gt;""),"记录齐全","待补实测记录")))))))))))</x:f>
        <x:v>待展开路径</x:v>
      </x:c>
    </x:row>
    <x:row r="966" ht="43.5" customHeight="1">
      <x:c r="A966" s="20" t="str">
        <x:v>REC-00957</x:v>
      </x:c>
      <x:c r="B966" s="20" t="str">
        <x:v>P2-B5-01</x:v>
      </x:c>
      <x:c r="C966" s="30" t="str">
        <x:f>IF(B966="","",IF(COUNTIFS(Equipment[组合编号],B966)&lt;&gt;1,"组合编号无效",INDEX(Equipment[PLC组],MATCH(B966,Equipment[组合编号],0))))</x:f>
        <x:v>汇川中大型</x:v>
      </x:c>
      <x:c r="D966" s="30" t="str">
        <x:f>IF(B966="","",IF(COUNTIFS(Equipment[组合编号],B966)&lt;&gt;1,"组合编号无效",INDEX(Equipment[驱动品牌],MATCH(B966,Equipment[组合编号],0))))</x:f>
        <x:v>KEBA（可选）</x:v>
      </x:c>
      <x:c r="E966" s="20" t="str">
        <x:v>M03</x:v>
      </x:c>
      <x:c r="F966" s="20"/>
      <x:c r="G966" s="20"/>
      <x:c r="H966" s="20" t="str">
        <x:v>待判定</x:v>
      </x:c>
      <x:c r="I966" s="20"/>
      <x:c r="J966" s="20" t="str">
        <x:v>未测试</x:v>
      </x:c>
      <x:c r="K966" s="20"/>
      <x:c r="L966" s="20"/>
      <x:c r="M966" s="20"/>
      <x:c r="N966" s="20"/>
      <x:c r="O966" s="31"/>
      <x:c r="P966" s="20"/>
      <x:c r="Q966" s="20"/>
      <x:c r="R966" s="20" t="str">
        <x:v>待展开</x:v>
      </x:c>
      <x:c r="S966" s="20"/>
      <x:c r="T966" s="31"/>
      <x:c r="U966" s="30" t="str">
        <x:f>IF(A966="","缺记录编号",IF(COUNTIFS(PathRecords[记录编号],A966)&lt;&gt;1,"记录编号重复",IF(OR(B966="",E966=""),"缺组合/功能",IF(COUNTIFS(Equipment[组合编号],B966)&lt;&gt;1,"组合编号无效",IF(COUNTIFS(FunctionMatrix[编号],E966)=0,"功能编号无效",IF(H966="不适用",IF(J966="已实测","适用性冲突",IF(I966="","待补不适用依据","不适用（非实测）")),IF(J966="阻塞",IF(I966="","待补阻塞原因","阻塞（非实测）"),IF(J966&lt;&gt;"已实测",IF(F966="","待展开路径","未实测"),IF(H966&lt;&gt;"适用","待确认适用性",IF(INDEX(Equipment[登记状态（自动）],MATCH(B966,Equipment[组合编号],0))&lt;&gt;"已登记","待补设备组合",IF(AND(F966&lt;&gt;"",G966&lt;&gt;"",K966&lt;&gt;"",L966&lt;&gt;"",M966&lt;&gt;"",N966&lt;&gt;"",ISNUMBER(O966),O966&gt;0,P966&lt;&gt;""),"记录齐全","待补实测记录")))))))))))</x:f>
        <x:v>待展开路径</x:v>
      </x:c>
    </x:row>
    <x:row r="967" ht="43.5" customHeight="1">
      <x:c r="A967" s="20" t="str">
        <x:v>REC-00958</x:v>
      </x:c>
      <x:c r="B967" s="20" t="str">
        <x:v>P2-B5-01</x:v>
      </x:c>
      <x:c r="C967" s="30" t="str">
        <x:f>IF(B967="","",IF(COUNTIFS(Equipment[组合编号],B967)&lt;&gt;1,"组合编号无效",INDEX(Equipment[PLC组],MATCH(B967,Equipment[组合编号],0))))</x:f>
        <x:v>汇川中大型</x:v>
      </x:c>
      <x:c r="D967" s="30" t="str">
        <x:f>IF(B967="","",IF(COUNTIFS(Equipment[组合编号],B967)&lt;&gt;1,"组合编号无效",INDEX(Equipment[驱动品牌],MATCH(B967,Equipment[组合编号],0))))</x:f>
        <x:v>KEBA（可选）</x:v>
      </x:c>
      <x:c r="E967" s="20" t="str">
        <x:v>M04</x:v>
      </x:c>
      <x:c r="F967" s="20"/>
      <x:c r="G967" s="20"/>
      <x:c r="H967" s="20" t="str">
        <x:v>待判定</x:v>
      </x:c>
      <x:c r="I967" s="20"/>
      <x:c r="J967" s="20" t="str">
        <x:v>未测试</x:v>
      </x:c>
      <x:c r="K967" s="20"/>
      <x:c r="L967" s="20"/>
      <x:c r="M967" s="20"/>
      <x:c r="N967" s="20"/>
      <x:c r="O967" s="31"/>
      <x:c r="P967" s="20"/>
      <x:c r="Q967" s="20"/>
      <x:c r="R967" s="20" t="str">
        <x:v>待展开</x:v>
      </x:c>
      <x:c r="S967" s="20"/>
      <x:c r="T967" s="31"/>
      <x:c r="U967" s="30" t="str">
        <x:f>IF(A967="","缺记录编号",IF(COUNTIFS(PathRecords[记录编号],A967)&lt;&gt;1,"记录编号重复",IF(OR(B967="",E967=""),"缺组合/功能",IF(COUNTIFS(Equipment[组合编号],B967)&lt;&gt;1,"组合编号无效",IF(COUNTIFS(FunctionMatrix[编号],E967)=0,"功能编号无效",IF(H967="不适用",IF(J967="已实测","适用性冲突",IF(I967="","待补不适用依据","不适用（非实测）")),IF(J967="阻塞",IF(I967="","待补阻塞原因","阻塞（非实测）"),IF(J967&lt;&gt;"已实测",IF(F967="","待展开路径","未实测"),IF(H967&lt;&gt;"适用","待确认适用性",IF(INDEX(Equipment[登记状态（自动）],MATCH(B967,Equipment[组合编号],0))&lt;&gt;"已登记","待补设备组合",IF(AND(F967&lt;&gt;"",G967&lt;&gt;"",K967&lt;&gt;"",L967&lt;&gt;"",M967&lt;&gt;"",N967&lt;&gt;"",ISNUMBER(O967),O967&gt;0,P967&lt;&gt;""),"记录齐全","待补实测记录")))))))))))</x:f>
        <x:v>待展开路径</x:v>
      </x:c>
    </x:row>
    <x:row r="968" ht="43.5" customHeight="1">
      <x:c r="A968" s="20" t="str">
        <x:v>REC-00959</x:v>
      </x:c>
      <x:c r="B968" s="20" t="str">
        <x:v>P2-B5-01</x:v>
      </x:c>
      <x:c r="C968" s="30" t="str">
        <x:f>IF(B968="","",IF(COUNTIFS(Equipment[组合编号],B968)&lt;&gt;1,"组合编号无效",INDEX(Equipment[PLC组],MATCH(B968,Equipment[组合编号],0))))</x:f>
        <x:v>汇川中大型</x:v>
      </x:c>
      <x:c r="D968" s="30" t="str">
        <x:f>IF(B968="","",IF(COUNTIFS(Equipment[组合编号],B968)&lt;&gt;1,"组合编号无效",INDEX(Equipment[驱动品牌],MATCH(B968,Equipment[组合编号],0))))</x:f>
        <x:v>KEBA（可选）</x:v>
      </x:c>
      <x:c r="E968" s="20" t="str">
        <x:v>M05</x:v>
      </x:c>
      <x:c r="F968" s="20"/>
      <x:c r="G968" s="20"/>
      <x:c r="H968" s="20" t="str">
        <x:v>待判定</x:v>
      </x:c>
      <x:c r="I968" s="20"/>
      <x:c r="J968" s="20" t="str">
        <x:v>未测试</x:v>
      </x:c>
      <x:c r="K968" s="20"/>
      <x:c r="L968" s="20"/>
      <x:c r="M968" s="20"/>
      <x:c r="N968" s="20"/>
      <x:c r="O968" s="31"/>
      <x:c r="P968" s="20"/>
      <x:c r="Q968" s="20"/>
      <x:c r="R968" s="20" t="str">
        <x:v>待展开</x:v>
      </x:c>
      <x:c r="S968" s="20"/>
      <x:c r="T968" s="31"/>
      <x:c r="U968" s="30" t="str">
        <x:f>IF(A968="","缺记录编号",IF(COUNTIFS(PathRecords[记录编号],A968)&lt;&gt;1,"记录编号重复",IF(OR(B968="",E968=""),"缺组合/功能",IF(COUNTIFS(Equipment[组合编号],B968)&lt;&gt;1,"组合编号无效",IF(COUNTIFS(FunctionMatrix[编号],E968)=0,"功能编号无效",IF(H968="不适用",IF(J968="已实测","适用性冲突",IF(I968="","待补不适用依据","不适用（非实测）")),IF(J968="阻塞",IF(I968="","待补阻塞原因","阻塞（非实测）"),IF(J968&lt;&gt;"已实测",IF(F968="","待展开路径","未实测"),IF(H968&lt;&gt;"适用","待确认适用性",IF(INDEX(Equipment[登记状态（自动）],MATCH(B968,Equipment[组合编号],0))&lt;&gt;"已登记","待补设备组合",IF(AND(F968&lt;&gt;"",G968&lt;&gt;"",K968&lt;&gt;"",L968&lt;&gt;"",M968&lt;&gt;"",N968&lt;&gt;"",ISNUMBER(O968),O968&gt;0,P968&lt;&gt;""),"记录齐全","待补实测记录")))))))))))</x:f>
        <x:v>待展开路径</x:v>
      </x:c>
    </x:row>
    <x:row r="969" ht="43.5" customHeight="1">
      <x:c r="A969" s="20" t="str">
        <x:v>REC-00960</x:v>
      </x:c>
      <x:c r="B969" s="20" t="str">
        <x:v>P2-B5-01</x:v>
      </x:c>
      <x:c r="C969" s="30" t="str">
        <x:f>IF(B969="","",IF(COUNTIFS(Equipment[组合编号],B969)&lt;&gt;1,"组合编号无效",INDEX(Equipment[PLC组],MATCH(B969,Equipment[组合编号],0))))</x:f>
        <x:v>汇川中大型</x:v>
      </x:c>
      <x:c r="D969" s="30" t="str">
        <x:f>IF(B969="","",IF(COUNTIFS(Equipment[组合编号],B969)&lt;&gt;1,"组合编号无效",INDEX(Equipment[驱动品牌],MATCH(B969,Equipment[组合编号],0))))</x:f>
        <x:v>KEBA（可选）</x:v>
      </x:c>
      <x:c r="E969" s="20" t="str">
        <x:v>M06</x:v>
      </x:c>
      <x:c r="F969" s="20"/>
      <x:c r="G969" s="20"/>
      <x:c r="H969" s="20" t="str">
        <x:v>待判定</x:v>
      </x:c>
      <x:c r="I969" s="20"/>
      <x:c r="J969" s="20" t="str">
        <x:v>未测试</x:v>
      </x:c>
      <x:c r="K969" s="20"/>
      <x:c r="L969" s="20"/>
      <x:c r="M969" s="20"/>
      <x:c r="N969" s="20"/>
      <x:c r="O969" s="31"/>
      <x:c r="P969" s="20"/>
      <x:c r="Q969" s="20"/>
      <x:c r="R969" s="20" t="str">
        <x:v>待展开</x:v>
      </x:c>
      <x:c r="S969" s="20"/>
      <x:c r="T969" s="31"/>
      <x:c r="U969" s="30" t="str">
        <x:f>IF(A969="","缺记录编号",IF(COUNTIFS(PathRecords[记录编号],A969)&lt;&gt;1,"记录编号重复",IF(OR(B969="",E969=""),"缺组合/功能",IF(COUNTIFS(Equipment[组合编号],B969)&lt;&gt;1,"组合编号无效",IF(COUNTIFS(FunctionMatrix[编号],E969)=0,"功能编号无效",IF(H969="不适用",IF(J969="已实测","适用性冲突",IF(I969="","待补不适用依据","不适用（非实测）")),IF(J969="阻塞",IF(I969="","待补阻塞原因","阻塞（非实测）"),IF(J969&lt;&gt;"已实测",IF(F969="","待展开路径","未实测"),IF(H969&lt;&gt;"适用","待确认适用性",IF(INDEX(Equipment[登记状态（自动）],MATCH(B969,Equipment[组合编号],0))&lt;&gt;"已登记","待补设备组合",IF(AND(F969&lt;&gt;"",G969&lt;&gt;"",K969&lt;&gt;"",L969&lt;&gt;"",M969&lt;&gt;"",N969&lt;&gt;"",ISNUMBER(O969),O969&gt;0,P969&lt;&gt;""),"记录齐全","待补实测记录")))))))))))</x:f>
        <x:v>待展开路径</x:v>
      </x:c>
    </x:row>
    <x:row r="970" ht="43.5" customHeight="1">
      <x:c r="A970" s="20" t="str">
        <x:v>REC-00961</x:v>
      </x:c>
      <x:c r="B970" s="20" t="str">
        <x:v>P2-B5-01</x:v>
      </x:c>
      <x:c r="C970" s="30" t="str">
        <x:f>IF(B970="","",IF(COUNTIFS(Equipment[组合编号],B970)&lt;&gt;1,"组合编号无效",INDEX(Equipment[PLC组],MATCH(B970,Equipment[组合编号],0))))</x:f>
        <x:v>汇川中大型</x:v>
      </x:c>
      <x:c r="D970" s="30" t="str">
        <x:f>IF(B970="","",IF(COUNTIFS(Equipment[组合编号],B970)&lt;&gt;1,"组合编号无效",INDEX(Equipment[驱动品牌],MATCH(B970,Equipment[组合编号],0))))</x:f>
        <x:v>KEBA（可选）</x:v>
      </x:c>
      <x:c r="E970" s="20" t="str">
        <x:v>M07</x:v>
      </x:c>
      <x:c r="F970" s="20"/>
      <x:c r="G970" s="20"/>
      <x:c r="H970" s="20" t="str">
        <x:v>待判定</x:v>
      </x:c>
      <x:c r="I970" s="20"/>
      <x:c r="J970" s="20" t="str">
        <x:v>未测试</x:v>
      </x:c>
      <x:c r="K970" s="20"/>
      <x:c r="L970" s="20"/>
      <x:c r="M970" s="20"/>
      <x:c r="N970" s="20"/>
      <x:c r="O970" s="31"/>
      <x:c r="P970" s="20"/>
      <x:c r="Q970" s="20"/>
      <x:c r="R970" s="20" t="str">
        <x:v>待展开</x:v>
      </x:c>
      <x:c r="S970" s="20"/>
      <x:c r="T970" s="31"/>
      <x:c r="U970" s="30" t="str">
        <x:f>IF(A970="","缺记录编号",IF(COUNTIFS(PathRecords[记录编号],A970)&lt;&gt;1,"记录编号重复",IF(OR(B970="",E970=""),"缺组合/功能",IF(COUNTIFS(Equipment[组合编号],B970)&lt;&gt;1,"组合编号无效",IF(COUNTIFS(FunctionMatrix[编号],E970)=0,"功能编号无效",IF(H970="不适用",IF(J970="已实测","适用性冲突",IF(I970="","待补不适用依据","不适用（非实测）")),IF(J970="阻塞",IF(I970="","待补阻塞原因","阻塞（非实测）"),IF(J970&lt;&gt;"已实测",IF(F970="","待展开路径","未实测"),IF(H970&lt;&gt;"适用","待确认适用性",IF(INDEX(Equipment[登记状态（自动）],MATCH(B970,Equipment[组合编号],0))&lt;&gt;"已登记","待补设备组合",IF(AND(F970&lt;&gt;"",G970&lt;&gt;"",K970&lt;&gt;"",L970&lt;&gt;"",M970&lt;&gt;"",N970&lt;&gt;"",ISNUMBER(O970),O970&gt;0,P970&lt;&gt;""),"记录齐全","待补实测记录")))))))))))</x:f>
        <x:v>待展开路径</x:v>
      </x:c>
    </x:row>
    <x:row r="971" ht="43.5" customHeight="1">
      <x:c r="A971" s="20" t="str">
        <x:v>REC-00962</x:v>
      </x:c>
      <x:c r="B971" s="20" t="str">
        <x:v>P2-B5-01</x:v>
      </x:c>
      <x:c r="C971" s="30" t="str">
        <x:f>IF(B971="","",IF(COUNTIFS(Equipment[组合编号],B971)&lt;&gt;1,"组合编号无效",INDEX(Equipment[PLC组],MATCH(B971,Equipment[组合编号],0))))</x:f>
        <x:v>汇川中大型</x:v>
      </x:c>
      <x:c r="D971" s="30" t="str">
        <x:f>IF(B971="","",IF(COUNTIFS(Equipment[组合编号],B971)&lt;&gt;1,"组合编号无效",INDEX(Equipment[驱动品牌],MATCH(B971,Equipment[组合编号],0))))</x:f>
        <x:v>KEBA（可选）</x:v>
      </x:c>
      <x:c r="E971" s="20" t="str">
        <x:v>M09</x:v>
      </x:c>
      <x:c r="F971" s="20"/>
      <x:c r="G971" s="20"/>
      <x:c r="H971" s="20" t="str">
        <x:v>待判定</x:v>
      </x:c>
      <x:c r="I971" s="20"/>
      <x:c r="J971" s="20" t="str">
        <x:v>未测试</x:v>
      </x:c>
      <x:c r="K971" s="20"/>
      <x:c r="L971" s="20"/>
      <x:c r="M971" s="20"/>
      <x:c r="N971" s="20"/>
      <x:c r="O971" s="31"/>
      <x:c r="P971" s="20"/>
      <x:c r="Q971" s="20"/>
      <x:c r="R971" s="20" t="str">
        <x:v>待展开</x:v>
      </x:c>
      <x:c r="S971" s="20"/>
      <x:c r="T971" s="31"/>
      <x:c r="U971" s="30" t="str">
        <x:f>IF(A971="","缺记录编号",IF(COUNTIFS(PathRecords[记录编号],A971)&lt;&gt;1,"记录编号重复",IF(OR(B971="",E971=""),"缺组合/功能",IF(COUNTIFS(Equipment[组合编号],B971)&lt;&gt;1,"组合编号无效",IF(COUNTIFS(FunctionMatrix[编号],E971)=0,"功能编号无效",IF(H971="不适用",IF(J971="已实测","适用性冲突",IF(I971="","待补不适用依据","不适用（非实测）")),IF(J971="阻塞",IF(I971="","待补阻塞原因","阻塞（非实测）"),IF(J971&lt;&gt;"已实测",IF(F971="","待展开路径","未实测"),IF(H971&lt;&gt;"适用","待确认适用性",IF(INDEX(Equipment[登记状态（自动）],MATCH(B971,Equipment[组合编号],0))&lt;&gt;"已登记","待补设备组合",IF(AND(F971&lt;&gt;"",G971&lt;&gt;"",K971&lt;&gt;"",L971&lt;&gt;"",M971&lt;&gt;"",N971&lt;&gt;"",ISNUMBER(O971),O971&gt;0,P971&lt;&gt;""),"记录齐全","待补实测记录")))))))))))</x:f>
        <x:v>待展开路径</x:v>
      </x:c>
    </x:row>
    <x:row r="972" ht="43.5" customHeight="1">
      <x:c r="A972" s="20" t="str">
        <x:v>REC-00963</x:v>
      </x:c>
      <x:c r="B972" s="20" t="str">
        <x:v>P2-B5-01</x:v>
      </x:c>
      <x:c r="C972" s="30" t="str">
        <x:f>IF(B972="","",IF(COUNTIFS(Equipment[组合编号],B972)&lt;&gt;1,"组合编号无效",INDEX(Equipment[PLC组],MATCH(B972,Equipment[组合编号],0))))</x:f>
        <x:v>汇川中大型</x:v>
      </x:c>
      <x:c r="D972" s="30" t="str">
        <x:f>IF(B972="","",IF(COUNTIFS(Equipment[组合编号],B972)&lt;&gt;1,"组合编号无效",INDEX(Equipment[驱动品牌],MATCH(B972,Equipment[组合编号],0))))</x:f>
        <x:v>KEBA（可选）</x:v>
      </x:c>
      <x:c r="E972" s="20" t="str">
        <x:v>M10</x:v>
      </x:c>
      <x:c r="F972" s="20"/>
      <x:c r="G972" s="20"/>
      <x:c r="H972" s="20" t="str">
        <x:v>待判定</x:v>
      </x:c>
      <x:c r="I972" s="20"/>
      <x:c r="J972" s="20" t="str">
        <x:v>未测试</x:v>
      </x:c>
      <x:c r="K972" s="20"/>
      <x:c r="L972" s="20"/>
      <x:c r="M972" s="20"/>
      <x:c r="N972" s="20"/>
      <x:c r="O972" s="31"/>
      <x:c r="P972" s="20"/>
      <x:c r="Q972" s="20"/>
      <x:c r="R972" s="20" t="str">
        <x:v>待展开</x:v>
      </x:c>
      <x:c r="S972" s="20"/>
      <x:c r="T972" s="31"/>
      <x:c r="U972" s="30" t="str">
        <x:f>IF(A972="","缺记录编号",IF(COUNTIFS(PathRecords[记录编号],A972)&lt;&gt;1,"记录编号重复",IF(OR(B972="",E972=""),"缺组合/功能",IF(COUNTIFS(Equipment[组合编号],B972)&lt;&gt;1,"组合编号无效",IF(COUNTIFS(FunctionMatrix[编号],E972)=0,"功能编号无效",IF(H972="不适用",IF(J972="已实测","适用性冲突",IF(I972="","待补不适用依据","不适用（非实测）")),IF(J972="阻塞",IF(I972="","待补阻塞原因","阻塞（非实测）"),IF(J972&lt;&gt;"已实测",IF(F972="","待展开路径","未实测"),IF(H972&lt;&gt;"适用","待确认适用性",IF(INDEX(Equipment[登记状态（自动）],MATCH(B972,Equipment[组合编号],0))&lt;&gt;"已登记","待补设备组合",IF(AND(F972&lt;&gt;"",G972&lt;&gt;"",K972&lt;&gt;"",L972&lt;&gt;"",M972&lt;&gt;"",N972&lt;&gt;"",ISNUMBER(O972),O972&gt;0,P972&lt;&gt;""),"记录齐全","待补实测记录")))))))))))</x:f>
        <x:v>待展开路径</x:v>
      </x:c>
    </x:row>
    <x:row r="973" ht="43.5" customHeight="1">
      <x:c r="A973" s="20" t="str">
        <x:v>REC-00964</x:v>
      </x:c>
      <x:c r="B973" s="20" t="str">
        <x:v>P2-B5-01</x:v>
      </x:c>
      <x:c r="C973" s="30" t="str">
        <x:f>IF(B973="","",IF(COUNTIFS(Equipment[组合编号],B973)&lt;&gt;1,"组合编号无效",INDEX(Equipment[PLC组],MATCH(B973,Equipment[组合编号],0))))</x:f>
        <x:v>汇川中大型</x:v>
      </x:c>
      <x:c r="D973" s="30" t="str">
        <x:f>IF(B973="","",IF(COUNTIFS(Equipment[组合编号],B973)&lt;&gt;1,"组合编号无效",INDEX(Equipment[驱动品牌],MATCH(B973,Equipment[组合编号],0))))</x:f>
        <x:v>KEBA（可选）</x:v>
      </x:c>
      <x:c r="E973" s="20" t="str">
        <x:v>D01</x:v>
      </x:c>
      <x:c r="F973" s="20"/>
      <x:c r="G973" s="20"/>
      <x:c r="H973" s="20" t="str">
        <x:v>待判定</x:v>
      </x:c>
      <x:c r="I973" s="20"/>
      <x:c r="J973" s="20" t="str">
        <x:v>未测试</x:v>
      </x:c>
      <x:c r="K973" s="20"/>
      <x:c r="L973" s="20"/>
      <x:c r="M973" s="20"/>
      <x:c r="N973" s="20"/>
      <x:c r="O973" s="31"/>
      <x:c r="P973" s="20"/>
      <x:c r="Q973" s="20"/>
      <x:c r="R973" s="20" t="str">
        <x:v>待展开</x:v>
      </x:c>
      <x:c r="S973" s="20"/>
      <x:c r="T973" s="31"/>
      <x:c r="U973" s="30" t="str">
        <x:f>IF(A973="","缺记录编号",IF(COUNTIFS(PathRecords[记录编号],A973)&lt;&gt;1,"记录编号重复",IF(OR(B973="",E973=""),"缺组合/功能",IF(COUNTIFS(Equipment[组合编号],B973)&lt;&gt;1,"组合编号无效",IF(COUNTIFS(FunctionMatrix[编号],E973)=0,"功能编号无效",IF(H973="不适用",IF(J973="已实测","适用性冲突",IF(I973="","待补不适用依据","不适用（非实测）")),IF(J973="阻塞",IF(I973="","待补阻塞原因","阻塞（非实测）"),IF(J973&lt;&gt;"已实测",IF(F973="","待展开路径","未实测"),IF(H973&lt;&gt;"适用","待确认适用性",IF(INDEX(Equipment[登记状态（自动）],MATCH(B973,Equipment[组合编号],0))&lt;&gt;"已登记","待补设备组合",IF(AND(F973&lt;&gt;"",G973&lt;&gt;"",K973&lt;&gt;"",L973&lt;&gt;"",M973&lt;&gt;"",N973&lt;&gt;"",ISNUMBER(O973),O973&gt;0,P973&lt;&gt;""),"记录齐全","待补实测记录")))))))))))</x:f>
        <x:v>待展开路径</x:v>
      </x:c>
    </x:row>
    <x:row r="974" ht="43.5" customHeight="1">
      <x:c r="A974" s="20" t="str">
        <x:v>REC-00965</x:v>
      </x:c>
      <x:c r="B974" s="20" t="str">
        <x:v>P2-B5-01</x:v>
      </x:c>
      <x:c r="C974" s="30" t="str">
        <x:f>IF(B974="","",IF(COUNTIFS(Equipment[组合编号],B974)&lt;&gt;1,"组合编号无效",INDEX(Equipment[PLC组],MATCH(B974,Equipment[组合编号],0))))</x:f>
        <x:v>汇川中大型</x:v>
      </x:c>
      <x:c r="D974" s="30" t="str">
        <x:f>IF(B974="","",IF(COUNTIFS(Equipment[组合编号],B974)&lt;&gt;1,"组合编号无效",INDEX(Equipment[驱动品牌],MATCH(B974,Equipment[组合编号],0))))</x:f>
        <x:v>KEBA（可选）</x:v>
      </x:c>
      <x:c r="E974" s="20" t="str">
        <x:v>D02</x:v>
      </x:c>
      <x:c r="F974" s="20"/>
      <x:c r="G974" s="20"/>
      <x:c r="H974" s="20" t="str">
        <x:v>待判定</x:v>
      </x:c>
      <x:c r="I974" s="20"/>
      <x:c r="J974" s="20" t="str">
        <x:v>未测试</x:v>
      </x:c>
      <x:c r="K974" s="20"/>
      <x:c r="L974" s="20"/>
      <x:c r="M974" s="20"/>
      <x:c r="N974" s="20"/>
      <x:c r="O974" s="31"/>
      <x:c r="P974" s="20"/>
      <x:c r="Q974" s="20"/>
      <x:c r="R974" s="20" t="str">
        <x:v>待展开</x:v>
      </x:c>
      <x:c r="S974" s="20"/>
      <x:c r="T974" s="31"/>
      <x:c r="U974" s="30" t="str">
        <x:f>IF(A974="","缺记录编号",IF(COUNTIFS(PathRecords[记录编号],A974)&lt;&gt;1,"记录编号重复",IF(OR(B974="",E974=""),"缺组合/功能",IF(COUNTIFS(Equipment[组合编号],B974)&lt;&gt;1,"组合编号无效",IF(COUNTIFS(FunctionMatrix[编号],E974)=0,"功能编号无效",IF(H974="不适用",IF(J974="已实测","适用性冲突",IF(I974="","待补不适用依据","不适用（非实测）")),IF(J974="阻塞",IF(I974="","待补阻塞原因","阻塞（非实测）"),IF(J974&lt;&gt;"已实测",IF(F974="","待展开路径","未实测"),IF(H974&lt;&gt;"适用","待确认适用性",IF(INDEX(Equipment[登记状态（自动）],MATCH(B974,Equipment[组合编号],0))&lt;&gt;"已登记","待补设备组合",IF(AND(F974&lt;&gt;"",G974&lt;&gt;"",K974&lt;&gt;"",L974&lt;&gt;"",M974&lt;&gt;"",N974&lt;&gt;"",ISNUMBER(O974),O974&gt;0,P974&lt;&gt;""),"记录齐全","待补实测记录")))))))))))</x:f>
        <x:v>待展开路径</x:v>
      </x:c>
    </x:row>
    <x:row r="975" ht="43.5" customHeight="1">
      <x:c r="A975" s="20" t="str">
        <x:v>REC-00966</x:v>
      </x:c>
      <x:c r="B975" s="20" t="str">
        <x:v>P2-B5-01</x:v>
      </x:c>
      <x:c r="C975" s="30" t="str">
        <x:f>IF(B975="","",IF(COUNTIFS(Equipment[组合编号],B975)&lt;&gt;1,"组合编号无效",INDEX(Equipment[PLC组],MATCH(B975,Equipment[组合编号],0))))</x:f>
        <x:v>汇川中大型</x:v>
      </x:c>
      <x:c r="D975" s="30" t="str">
        <x:f>IF(B975="","",IF(COUNTIFS(Equipment[组合编号],B975)&lt;&gt;1,"组合编号无效",INDEX(Equipment[驱动品牌],MATCH(B975,Equipment[组合编号],0))))</x:f>
        <x:v>KEBA（可选）</x:v>
      </x:c>
      <x:c r="E975" s="20" t="str">
        <x:v>D03</x:v>
      </x:c>
      <x:c r="F975" s="20"/>
      <x:c r="G975" s="20"/>
      <x:c r="H975" s="20" t="str">
        <x:v>待判定</x:v>
      </x:c>
      <x:c r="I975" s="20"/>
      <x:c r="J975" s="20" t="str">
        <x:v>未测试</x:v>
      </x:c>
      <x:c r="K975" s="20"/>
      <x:c r="L975" s="20"/>
      <x:c r="M975" s="20"/>
      <x:c r="N975" s="20"/>
      <x:c r="O975" s="31"/>
      <x:c r="P975" s="20"/>
      <x:c r="Q975" s="20"/>
      <x:c r="R975" s="20" t="str">
        <x:v>待展开</x:v>
      </x:c>
      <x:c r="S975" s="20"/>
      <x:c r="T975" s="31"/>
      <x:c r="U975" s="30" t="str">
        <x:f>IF(A975="","缺记录编号",IF(COUNTIFS(PathRecords[记录编号],A975)&lt;&gt;1,"记录编号重复",IF(OR(B975="",E975=""),"缺组合/功能",IF(COUNTIFS(Equipment[组合编号],B975)&lt;&gt;1,"组合编号无效",IF(COUNTIFS(FunctionMatrix[编号],E975)=0,"功能编号无效",IF(H975="不适用",IF(J975="已实测","适用性冲突",IF(I975="","待补不适用依据","不适用（非实测）")),IF(J975="阻塞",IF(I975="","待补阻塞原因","阻塞（非实测）"),IF(J975&lt;&gt;"已实测",IF(F975="","待展开路径","未实测"),IF(H975&lt;&gt;"适用","待确认适用性",IF(INDEX(Equipment[登记状态（自动）],MATCH(B975,Equipment[组合编号],0))&lt;&gt;"已登记","待补设备组合",IF(AND(F975&lt;&gt;"",G975&lt;&gt;"",K975&lt;&gt;"",L975&lt;&gt;"",M975&lt;&gt;"",N975&lt;&gt;"",ISNUMBER(O975),O975&gt;0,P975&lt;&gt;""),"记录齐全","待补实测记录")))))))))))</x:f>
        <x:v>待展开路径</x:v>
      </x:c>
    </x:row>
    <x:row r="976" ht="43.5" customHeight="1">
      <x:c r="A976" s="20" t="str">
        <x:v>REC-00967</x:v>
      </x:c>
      <x:c r="B976" s="20" t="str">
        <x:v>P2-B5-01</x:v>
      </x:c>
      <x:c r="C976" s="30" t="str">
        <x:f>IF(B976="","",IF(COUNTIFS(Equipment[组合编号],B976)&lt;&gt;1,"组合编号无效",INDEX(Equipment[PLC组],MATCH(B976,Equipment[组合编号],0))))</x:f>
        <x:v>汇川中大型</x:v>
      </x:c>
      <x:c r="D976" s="30" t="str">
        <x:f>IF(B976="","",IF(COUNTIFS(Equipment[组合编号],B976)&lt;&gt;1,"组合编号无效",INDEX(Equipment[驱动品牌],MATCH(B976,Equipment[组合编号],0))))</x:f>
        <x:v>KEBA（可选）</x:v>
      </x:c>
      <x:c r="E976" s="20" t="str">
        <x:v>D04</x:v>
      </x:c>
      <x:c r="F976" s="20"/>
      <x:c r="G976" s="20"/>
      <x:c r="H976" s="20" t="str">
        <x:v>待判定</x:v>
      </x:c>
      <x:c r="I976" s="20"/>
      <x:c r="J976" s="20" t="str">
        <x:v>未测试</x:v>
      </x:c>
      <x:c r="K976" s="20"/>
      <x:c r="L976" s="20"/>
      <x:c r="M976" s="20"/>
      <x:c r="N976" s="20"/>
      <x:c r="O976" s="31"/>
      <x:c r="P976" s="20"/>
      <x:c r="Q976" s="20"/>
      <x:c r="R976" s="20" t="str">
        <x:v>待展开</x:v>
      </x:c>
      <x:c r="S976" s="20"/>
      <x:c r="T976" s="31"/>
      <x:c r="U976" s="30" t="str">
        <x:f>IF(A976="","缺记录编号",IF(COUNTIFS(PathRecords[记录编号],A976)&lt;&gt;1,"记录编号重复",IF(OR(B976="",E976=""),"缺组合/功能",IF(COUNTIFS(Equipment[组合编号],B976)&lt;&gt;1,"组合编号无效",IF(COUNTIFS(FunctionMatrix[编号],E976)=0,"功能编号无效",IF(H976="不适用",IF(J976="已实测","适用性冲突",IF(I976="","待补不适用依据","不适用（非实测）")),IF(J976="阻塞",IF(I976="","待补阻塞原因","阻塞（非实测）"),IF(J976&lt;&gt;"已实测",IF(F976="","待展开路径","未实测"),IF(H976&lt;&gt;"适用","待确认适用性",IF(INDEX(Equipment[登记状态（自动）],MATCH(B976,Equipment[组合编号],0))&lt;&gt;"已登记","待补设备组合",IF(AND(F976&lt;&gt;"",G976&lt;&gt;"",K976&lt;&gt;"",L976&lt;&gt;"",M976&lt;&gt;"",N976&lt;&gt;"",ISNUMBER(O976),O976&gt;0,P976&lt;&gt;""),"记录齐全","待补实测记录")))))))))))</x:f>
        <x:v>待展开路径</x:v>
      </x:c>
    </x:row>
    <x:row r="977" ht="43.5" customHeight="1">
      <x:c r="A977" s="20" t="str">
        <x:v>REC-00968</x:v>
      </x:c>
      <x:c r="B977" s="20" t="str">
        <x:v>P2-B5-01</x:v>
      </x:c>
      <x:c r="C977" s="30" t="str">
        <x:f>IF(B977="","",IF(COUNTIFS(Equipment[组合编号],B977)&lt;&gt;1,"组合编号无效",INDEX(Equipment[PLC组],MATCH(B977,Equipment[组合编号],0))))</x:f>
        <x:v>汇川中大型</x:v>
      </x:c>
      <x:c r="D977" s="30" t="str">
        <x:f>IF(B977="","",IF(COUNTIFS(Equipment[组合编号],B977)&lt;&gt;1,"组合编号无效",INDEX(Equipment[驱动品牌],MATCH(B977,Equipment[组合编号],0))))</x:f>
        <x:v>KEBA（可选）</x:v>
      </x:c>
      <x:c r="E977" s="20" t="str">
        <x:v>D05</x:v>
      </x:c>
      <x:c r="F977" s="20"/>
      <x:c r="G977" s="20"/>
      <x:c r="H977" s="20" t="str">
        <x:v>待判定</x:v>
      </x:c>
      <x:c r="I977" s="20"/>
      <x:c r="J977" s="20" t="str">
        <x:v>未测试</x:v>
      </x:c>
      <x:c r="K977" s="20"/>
      <x:c r="L977" s="20"/>
      <x:c r="M977" s="20"/>
      <x:c r="N977" s="20"/>
      <x:c r="O977" s="31"/>
      <x:c r="P977" s="20"/>
      <x:c r="Q977" s="20"/>
      <x:c r="R977" s="20" t="str">
        <x:v>待展开</x:v>
      </x:c>
      <x:c r="S977" s="20"/>
      <x:c r="T977" s="31"/>
      <x:c r="U977" s="30" t="str">
        <x:f>IF(A977="","缺记录编号",IF(COUNTIFS(PathRecords[记录编号],A977)&lt;&gt;1,"记录编号重复",IF(OR(B977="",E977=""),"缺组合/功能",IF(COUNTIFS(Equipment[组合编号],B977)&lt;&gt;1,"组合编号无效",IF(COUNTIFS(FunctionMatrix[编号],E977)=0,"功能编号无效",IF(H977="不适用",IF(J977="已实测","适用性冲突",IF(I977="","待补不适用依据","不适用（非实测）")),IF(J977="阻塞",IF(I977="","待补阻塞原因","阻塞（非实测）"),IF(J977&lt;&gt;"已实测",IF(F977="","待展开路径","未实测"),IF(H977&lt;&gt;"适用","待确认适用性",IF(INDEX(Equipment[登记状态（自动）],MATCH(B977,Equipment[组合编号],0))&lt;&gt;"已登记","待补设备组合",IF(AND(F977&lt;&gt;"",G977&lt;&gt;"",K977&lt;&gt;"",L977&lt;&gt;"",M977&lt;&gt;"",N977&lt;&gt;"",ISNUMBER(O977),O977&gt;0,P977&lt;&gt;""),"记录齐全","待补实测记录")))))))))))</x:f>
        <x:v>待展开路径</x:v>
      </x:c>
    </x:row>
    <x:row r="978" ht="43.5" customHeight="1">
      <x:c r="A978" s="20" t="str">
        <x:v>REC-00969</x:v>
      </x:c>
      <x:c r="B978" s="20" t="str">
        <x:v>P2-B5-01</x:v>
      </x:c>
      <x:c r="C978" s="30" t="str">
        <x:f>IF(B978="","",IF(COUNTIFS(Equipment[组合编号],B978)&lt;&gt;1,"组合编号无效",INDEX(Equipment[PLC组],MATCH(B978,Equipment[组合编号],0))))</x:f>
        <x:v>汇川中大型</x:v>
      </x:c>
      <x:c r="D978" s="30" t="str">
        <x:f>IF(B978="","",IF(COUNTIFS(Equipment[组合编号],B978)&lt;&gt;1,"组合编号无效",INDEX(Equipment[驱动品牌],MATCH(B978,Equipment[组合编号],0))))</x:f>
        <x:v>KEBA（可选）</x:v>
      </x:c>
      <x:c r="E978" s="20" t="str">
        <x:v>D06</x:v>
      </x:c>
      <x:c r="F978" s="20"/>
      <x:c r="G978" s="20"/>
      <x:c r="H978" s="20" t="str">
        <x:v>待判定</x:v>
      </x:c>
      <x:c r="I978" s="20"/>
      <x:c r="J978" s="20" t="str">
        <x:v>未测试</x:v>
      </x:c>
      <x:c r="K978" s="20"/>
      <x:c r="L978" s="20"/>
      <x:c r="M978" s="20"/>
      <x:c r="N978" s="20"/>
      <x:c r="O978" s="31"/>
      <x:c r="P978" s="20"/>
      <x:c r="Q978" s="20"/>
      <x:c r="R978" s="20" t="str">
        <x:v>待展开</x:v>
      </x:c>
      <x:c r="S978" s="20"/>
      <x:c r="T978" s="31"/>
      <x:c r="U978" s="30" t="str">
        <x:f>IF(A978="","缺记录编号",IF(COUNTIFS(PathRecords[记录编号],A978)&lt;&gt;1,"记录编号重复",IF(OR(B978="",E978=""),"缺组合/功能",IF(COUNTIFS(Equipment[组合编号],B978)&lt;&gt;1,"组合编号无效",IF(COUNTIFS(FunctionMatrix[编号],E978)=0,"功能编号无效",IF(H978="不适用",IF(J978="已实测","适用性冲突",IF(I978="","待补不适用依据","不适用（非实测）")),IF(J978="阻塞",IF(I978="","待补阻塞原因","阻塞（非实测）"),IF(J978&lt;&gt;"已实测",IF(F978="","待展开路径","未实测"),IF(H978&lt;&gt;"适用","待确认适用性",IF(INDEX(Equipment[登记状态（自动）],MATCH(B978,Equipment[组合编号],0))&lt;&gt;"已登记","待补设备组合",IF(AND(F978&lt;&gt;"",G978&lt;&gt;"",K978&lt;&gt;"",L978&lt;&gt;"",M978&lt;&gt;"",N978&lt;&gt;"",ISNUMBER(O978),O978&gt;0,P978&lt;&gt;""),"记录齐全","待补实测记录")))))))))))</x:f>
        <x:v>待展开路径</x:v>
      </x:c>
    </x:row>
    <x:row r="979" ht="43.5" customHeight="1">
      <x:c r="A979" s="20" t="str">
        <x:v>REC-00970</x:v>
      </x:c>
      <x:c r="B979" s="20" t="str">
        <x:v>P2-B5-01</x:v>
      </x:c>
      <x:c r="C979" s="30" t="str">
        <x:f>IF(B979="","",IF(COUNTIFS(Equipment[组合编号],B979)&lt;&gt;1,"组合编号无效",INDEX(Equipment[PLC组],MATCH(B979,Equipment[组合编号],0))))</x:f>
        <x:v>汇川中大型</x:v>
      </x:c>
      <x:c r="D979" s="30" t="str">
        <x:f>IF(B979="","",IF(COUNTIFS(Equipment[组合编号],B979)&lt;&gt;1,"组合编号无效",INDEX(Equipment[驱动品牌],MATCH(B979,Equipment[组合编号],0))))</x:f>
        <x:v>KEBA（可选）</x:v>
      </x:c>
      <x:c r="E979" s="20" t="str">
        <x:v>D07</x:v>
      </x:c>
      <x:c r="F979" s="20"/>
      <x:c r="G979" s="20"/>
      <x:c r="H979" s="20" t="str">
        <x:v>待判定</x:v>
      </x:c>
      <x:c r="I979" s="20"/>
      <x:c r="J979" s="20" t="str">
        <x:v>未测试</x:v>
      </x:c>
      <x:c r="K979" s="20"/>
      <x:c r="L979" s="20"/>
      <x:c r="M979" s="20"/>
      <x:c r="N979" s="20"/>
      <x:c r="O979" s="31"/>
      <x:c r="P979" s="20"/>
      <x:c r="Q979" s="20"/>
      <x:c r="R979" s="20" t="str">
        <x:v>待展开</x:v>
      </x:c>
      <x:c r="S979" s="20"/>
      <x:c r="T979" s="31"/>
      <x:c r="U979" s="30" t="str">
        <x:f>IF(A979="","缺记录编号",IF(COUNTIFS(PathRecords[记录编号],A979)&lt;&gt;1,"记录编号重复",IF(OR(B979="",E979=""),"缺组合/功能",IF(COUNTIFS(Equipment[组合编号],B979)&lt;&gt;1,"组合编号无效",IF(COUNTIFS(FunctionMatrix[编号],E979)=0,"功能编号无效",IF(H979="不适用",IF(J979="已实测","适用性冲突",IF(I979="","待补不适用依据","不适用（非实测）")),IF(J979="阻塞",IF(I979="","待补阻塞原因","阻塞（非实测）"),IF(J979&lt;&gt;"已实测",IF(F979="","待展开路径","未实测"),IF(H979&lt;&gt;"适用","待确认适用性",IF(INDEX(Equipment[登记状态（自动）],MATCH(B979,Equipment[组合编号],0))&lt;&gt;"已登记","待补设备组合",IF(AND(F979&lt;&gt;"",G979&lt;&gt;"",K979&lt;&gt;"",L979&lt;&gt;"",M979&lt;&gt;"",N979&lt;&gt;"",ISNUMBER(O979),O979&gt;0,P979&lt;&gt;""),"记录齐全","待补实测记录")))))))))))</x:f>
        <x:v>待展开路径</x:v>
      </x:c>
    </x:row>
    <x:row r="980" ht="43.5" customHeight="1">
      <x:c r="A980" s="20" t="str">
        <x:v>REC-00971</x:v>
      </x:c>
      <x:c r="B980" s="20" t="str">
        <x:v>P2-B5-01</x:v>
      </x:c>
      <x:c r="C980" s="30" t="str">
        <x:f>IF(B980="","",IF(COUNTIFS(Equipment[组合编号],B980)&lt;&gt;1,"组合编号无效",INDEX(Equipment[PLC组],MATCH(B980,Equipment[组合编号],0))))</x:f>
        <x:v>汇川中大型</x:v>
      </x:c>
      <x:c r="D980" s="30" t="str">
        <x:f>IF(B980="","",IF(COUNTIFS(Equipment[组合编号],B980)&lt;&gt;1,"组合编号无效",INDEX(Equipment[驱动品牌],MATCH(B980,Equipment[组合编号],0))))</x:f>
        <x:v>KEBA（可选）</x:v>
      </x:c>
      <x:c r="E980" s="20" t="str">
        <x:v>D08</x:v>
      </x:c>
      <x:c r="F980" s="20"/>
      <x:c r="G980" s="20"/>
      <x:c r="H980" s="20" t="str">
        <x:v>待判定</x:v>
      </x:c>
      <x:c r="I980" s="20"/>
      <x:c r="J980" s="20" t="str">
        <x:v>未测试</x:v>
      </x:c>
      <x:c r="K980" s="20"/>
      <x:c r="L980" s="20"/>
      <x:c r="M980" s="20"/>
      <x:c r="N980" s="20"/>
      <x:c r="O980" s="31"/>
      <x:c r="P980" s="20"/>
      <x:c r="Q980" s="20"/>
      <x:c r="R980" s="20" t="str">
        <x:v>待展开</x:v>
      </x:c>
      <x:c r="S980" s="20"/>
      <x:c r="T980" s="31"/>
      <x:c r="U980" s="30" t="str">
        <x:f>IF(A980="","缺记录编号",IF(COUNTIFS(PathRecords[记录编号],A980)&lt;&gt;1,"记录编号重复",IF(OR(B980="",E980=""),"缺组合/功能",IF(COUNTIFS(Equipment[组合编号],B980)&lt;&gt;1,"组合编号无效",IF(COUNTIFS(FunctionMatrix[编号],E980)=0,"功能编号无效",IF(H980="不适用",IF(J980="已实测","适用性冲突",IF(I980="","待补不适用依据","不适用（非实测）")),IF(J980="阻塞",IF(I980="","待补阻塞原因","阻塞（非实测）"),IF(J980&lt;&gt;"已实测",IF(F980="","待展开路径","未实测"),IF(H980&lt;&gt;"适用","待确认适用性",IF(INDEX(Equipment[登记状态（自动）],MATCH(B980,Equipment[组合编号],0))&lt;&gt;"已登记","待补设备组合",IF(AND(F980&lt;&gt;"",G980&lt;&gt;"",K980&lt;&gt;"",L980&lt;&gt;"",M980&lt;&gt;"",N980&lt;&gt;"",ISNUMBER(O980),O980&gt;0,P980&lt;&gt;""),"记录齐全","待补实测记录")))))))))))</x:f>
        <x:v>待展开路径</x:v>
      </x:c>
    </x:row>
    <x:row r="981" ht="43.5" customHeight="1">
      <x:c r="A981" s="20" t="str">
        <x:v>REC-00972</x:v>
      </x:c>
      <x:c r="B981" s="20" t="str">
        <x:v>P2-B5-01</x:v>
      </x:c>
      <x:c r="C981" s="30" t="str">
        <x:f>IF(B981="","",IF(COUNTIFS(Equipment[组合编号],B981)&lt;&gt;1,"组合编号无效",INDEX(Equipment[PLC组],MATCH(B981,Equipment[组合编号],0))))</x:f>
        <x:v>汇川中大型</x:v>
      </x:c>
      <x:c r="D981" s="30" t="str">
        <x:f>IF(B981="","",IF(COUNTIFS(Equipment[组合编号],B981)&lt;&gt;1,"组合编号无效",INDEX(Equipment[驱动品牌],MATCH(B981,Equipment[组合编号],0))))</x:f>
        <x:v>KEBA（可选）</x:v>
      </x:c>
      <x:c r="E981" s="20" t="str">
        <x:v>D09</x:v>
      </x:c>
      <x:c r="F981" s="20"/>
      <x:c r="G981" s="20"/>
      <x:c r="H981" s="20" t="str">
        <x:v>待判定</x:v>
      </x:c>
      <x:c r="I981" s="20"/>
      <x:c r="J981" s="20" t="str">
        <x:v>未测试</x:v>
      </x:c>
      <x:c r="K981" s="20"/>
      <x:c r="L981" s="20"/>
      <x:c r="M981" s="20"/>
      <x:c r="N981" s="20"/>
      <x:c r="O981" s="31"/>
      <x:c r="P981" s="20"/>
      <x:c r="Q981" s="20"/>
      <x:c r="R981" s="20" t="str">
        <x:v>待展开</x:v>
      </x:c>
      <x:c r="S981" s="20"/>
      <x:c r="T981" s="31"/>
      <x:c r="U981" s="30" t="str">
        <x:f>IF(A981="","缺记录编号",IF(COUNTIFS(PathRecords[记录编号],A981)&lt;&gt;1,"记录编号重复",IF(OR(B981="",E981=""),"缺组合/功能",IF(COUNTIFS(Equipment[组合编号],B981)&lt;&gt;1,"组合编号无效",IF(COUNTIFS(FunctionMatrix[编号],E981)=0,"功能编号无效",IF(H981="不适用",IF(J981="已实测","适用性冲突",IF(I981="","待补不适用依据","不适用（非实测）")),IF(J981="阻塞",IF(I981="","待补阻塞原因","阻塞（非实测）"),IF(J981&lt;&gt;"已实测",IF(F981="","待展开路径","未实测"),IF(H981&lt;&gt;"适用","待确认适用性",IF(INDEX(Equipment[登记状态（自动）],MATCH(B981,Equipment[组合编号],0))&lt;&gt;"已登记","待补设备组合",IF(AND(F981&lt;&gt;"",G981&lt;&gt;"",K981&lt;&gt;"",L981&lt;&gt;"",M981&lt;&gt;"",N981&lt;&gt;"",ISNUMBER(O981),O981&gt;0,P981&lt;&gt;""),"记录齐全","待补实测记录")))))))))))</x:f>
        <x:v>待展开路径</x:v>
      </x:c>
    </x:row>
    <x:row r="982" ht="43.5" customHeight="1">
      <x:c r="A982" s="20" t="str">
        <x:v>REC-00973</x:v>
      </x:c>
      <x:c r="B982" s="20" t="str">
        <x:v>P2-B5-01</x:v>
      </x:c>
      <x:c r="C982" s="30" t="str">
        <x:f>IF(B982="","",IF(COUNTIFS(Equipment[组合编号],B982)&lt;&gt;1,"组合编号无效",INDEX(Equipment[PLC组],MATCH(B982,Equipment[组合编号],0))))</x:f>
        <x:v>汇川中大型</x:v>
      </x:c>
      <x:c r="D982" s="30" t="str">
        <x:f>IF(B982="","",IF(COUNTIFS(Equipment[组合编号],B982)&lt;&gt;1,"组合编号无效",INDEX(Equipment[驱动品牌],MATCH(B982,Equipment[组合编号],0))))</x:f>
        <x:v>KEBA（可选）</x:v>
      </x:c>
      <x:c r="E982" s="20" t="str">
        <x:v>S01</x:v>
      </x:c>
      <x:c r="F982" s="20"/>
      <x:c r="G982" s="20"/>
      <x:c r="H982" s="20" t="str">
        <x:v>待判定</x:v>
      </x:c>
      <x:c r="I982" s="20"/>
      <x:c r="J982" s="20" t="str">
        <x:v>未测试</x:v>
      </x:c>
      <x:c r="K982" s="20"/>
      <x:c r="L982" s="20"/>
      <x:c r="M982" s="20"/>
      <x:c r="N982" s="20"/>
      <x:c r="O982" s="31"/>
      <x:c r="P982" s="20"/>
      <x:c r="Q982" s="20"/>
      <x:c r="R982" s="20" t="str">
        <x:v>待展开</x:v>
      </x:c>
      <x:c r="S982" s="20"/>
      <x:c r="T982" s="31"/>
      <x:c r="U982" s="30" t="str">
        <x:f>IF(A982="","缺记录编号",IF(COUNTIFS(PathRecords[记录编号],A982)&lt;&gt;1,"记录编号重复",IF(OR(B982="",E982=""),"缺组合/功能",IF(COUNTIFS(Equipment[组合编号],B982)&lt;&gt;1,"组合编号无效",IF(COUNTIFS(FunctionMatrix[编号],E982)=0,"功能编号无效",IF(H982="不适用",IF(J982="已实测","适用性冲突",IF(I982="","待补不适用依据","不适用（非实测）")),IF(J982="阻塞",IF(I982="","待补阻塞原因","阻塞（非实测）"),IF(J982&lt;&gt;"已实测",IF(F982="","待展开路径","未实测"),IF(H982&lt;&gt;"适用","待确认适用性",IF(INDEX(Equipment[登记状态（自动）],MATCH(B982,Equipment[组合编号],0))&lt;&gt;"已登记","待补设备组合",IF(AND(F982&lt;&gt;"",G982&lt;&gt;"",K982&lt;&gt;"",L982&lt;&gt;"",M982&lt;&gt;"",N982&lt;&gt;"",ISNUMBER(O982),O982&gt;0,P982&lt;&gt;""),"记录齐全","待补实测记录")))))))))))</x:f>
        <x:v>待展开路径</x:v>
      </x:c>
    </x:row>
    <x:row r="983" ht="43.5" customHeight="1">
      <x:c r="A983" s="20" t="str">
        <x:v>REC-00974</x:v>
      </x:c>
      <x:c r="B983" s="20" t="str">
        <x:v>P2-B5-01</x:v>
      </x:c>
      <x:c r="C983" s="30" t="str">
        <x:f>IF(B983="","",IF(COUNTIFS(Equipment[组合编号],B983)&lt;&gt;1,"组合编号无效",INDEX(Equipment[PLC组],MATCH(B983,Equipment[组合编号],0))))</x:f>
        <x:v>汇川中大型</x:v>
      </x:c>
      <x:c r="D983" s="30" t="str">
        <x:f>IF(B983="","",IF(COUNTIFS(Equipment[组合编号],B983)&lt;&gt;1,"组合编号无效",INDEX(Equipment[驱动品牌],MATCH(B983,Equipment[组合编号],0))))</x:f>
        <x:v>KEBA（可选）</x:v>
      </x:c>
      <x:c r="E983" s="20" t="str">
        <x:v>S02</x:v>
      </x:c>
      <x:c r="F983" s="20"/>
      <x:c r="G983" s="20"/>
      <x:c r="H983" s="20" t="str">
        <x:v>待判定</x:v>
      </x:c>
      <x:c r="I983" s="20"/>
      <x:c r="J983" s="20" t="str">
        <x:v>未测试</x:v>
      </x:c>
      <x:c r="K983" s="20"/>
      <x:c r="L983" s="20"/>
      <x:c r="M983" s="20"/>
      <x:c r="N983" s="20"/>
      <x:c r="O983" s="31"/>
      <x:c r="P983" s="20"/>
      <x:c r="Q983" s="20"/>
      <x:c r="R983" s="20" t="str">
        <x:v>待展开</x:v>
      </x:c>
      <x:c r="S983" s="20"/>
      <x:c r="T983" s="31"/>
      <x:c r="U983" s="30" t="str">
        <x:f>IF(A983="","缺记录编号",IF(COUNTIFS(PathRecords[记录编号],A983)&lt;&gt;1,"记录编号重复",IF(OR(B983="",E983=""),"缺组合/功能",IF(COUNTIFS(Equipment[组合编号],B983)&lt;&gt;1,"组合编号无效",IF(COUNTIFS(FunctionMatrix[编号],E983)=0,"功能编号无效",IF(H983="不适用",IF(J983="已实测","适用性冲突",IF(I983="","待补不适用依据","不适用（非实测）")),IF(J983="阻塞",IF(I983="","待补阻塞原因","阻塞（非实测）"),IF(J983&lt;&gt;"已实测",IF(F983="","待展开路径","未实测"),IF(H983&lt;&gt;"适用","待确认适用性",IF(INDEX(Equipment[登记状态（自动）],MATCH(B983,Equipment[组合编号],0))&lt;&gt;"已登记","待补设备组合",IF(AND(F983&lt;&gt;"",G983&lt;&gt;"",K983&lt;&gt;"",L983&lt;&gt;"",M983&lt;&gt;"",N983&lt;&gt;"",ISNUMBER(O983),O983&gt;0,P983&lt;&gt;""),"记录齐全","待补实测记录")))))))))))</x:f>
        <x:v>待展开路径</x:v>
      </x:c>
    </x:row>
    <x:row r="984" ht="43.5" customHeight="1">
      <x:c r="A984" s="20" t="str">
        <x:v>REC-00975</x:v>
      </x:c>
      <x:c r="B984" s="20" t="str">
        <x:v>P2-B5-01</x:v>
      </x:c>
      <x:c r="C984" s="30" t="str">
        <x:f>IF(B984="","",IF(COUNTIFS(Equipment[组合编号],B984)&lt;&gt;1,"组合编号无效",INDEX(Equipment[PLC组],MATCH(B984,Equipment[组合编号],0))))</x:f>
        <x:v>汇川中大型</x:v>
      </x:c>
      <x:c r="D984" s="30" t="str">
        <x:f>IF(B984="","",IF(COUNTIFS(Equipment[组合编号],B984)&lt;&gt;1,"组合编号无效",INDEX(Equipment[驱动品牌],MATCH(B984,Equipment[组合编号],0))))</x:f>
        <x:v>KEBA（可选）</x:v>
      </x:c>
      <x:c r="E984" s="20" t="str">
        <x:v>S03</x:v>
      </x:c>
      <x:c r="F984" s="20"/>
      <x:c r="G984" s="20"/>
      <x:c r="H984" s="20" t="str">
        <x:v>待判定</x:v>
      </x:c>
      <x:c r="I984" s="20"/>
      <x:c r="J984" s="20" t="str">
        <x:v>未测试</x:v>
      </x:c>
      <x:c r="K984" s="20"/>
      <x:c r="L984" s="20"/>
      <x:c r="M984" s="20"/>
      <x:c r="N984" s="20"/>
      <x:c r="O984" s="31"/>
      <x:c r="P984" s="20"/>
      <x:c r="Q984" s="20"/>
      <x:c r="R984" s="20" t="str">
        <x:v>待展开</x:v>
      </x:c>
      <x:c r="S984" s="20"/>
      <x:c r="T984" s="31"/>
      <x:c r="U984" s="30" t="str">
        <x:f>IF(A984="","缺记录编号",IF(COUNTIFS(PathRecords[记录编号],A984)&lt;&gt;1,"记录编号重复",IF(OR(B984="",E984=""),"缺组合/功能",IF(COUNTIFS(Equipment[组合编号],B984)&lt;&gt;1,"组合编号无效",IF(COUNTIFS(FunctionMatrix[编号],E984)=0,"功能编号无效",IF(H984="不适用",IF(J984="已实测","适用性冲突",IF(I984="","待补不适用依据","不适用（非实测）")),IF(J984="阻塞",IF(I984="","待补阻塞原因","阻塞（非实测）"),IF(J984&lt;&gt;"已实测",IF(F984="","待展开路径","未实测"),IF(H984&lt;&gt;"适用","待确认适用性",IF(INDEX(Equipment[登记状态（自动）],MATCH(B984,Equipment[组合编号],0))&lt;&gt;"已登记","待补设备组合",IF(AND(F984&lt;&gt;"",G984&lt;&gt;"",K984&lt;&gt;"",L984&lt;&gt;"",M984&lt;&gt;"",N984&lt;&gt;"",ISNUMBER(O984),O984&gt;0,P984&lt;&gt;""),"记录齐全","待补实测记录")))))))))))</x:f>
        <x:v>待展开路径</x:v>
      </x:c>
    </x:row>
    <x:row r="985" ht="43.5" customHeight="1">
      <x:c r="A985" s="20" t="str">
        <x:v>REC-00976</x:v>
      </x:c>
      <x:c r="B985" s="20" t="str">
        <x:v>P2-B5-01</x:v>
      </x:c>
      <x:c r="C985" s="30" t="str">
        <x:f>IF(B985="","",IF(COUNTIFS(Equipment[组合编号],B985)&lt;&gt;1,"组合编号无效",INDEX(Equipment[PLC组],MATCH(B985,Equipment[组合编号],0))))</x:f>
        <x:v>汇川中大型</x:v>
      </x:c>
      <x:c r="D985" s="30" t="str">
        <x:f>IF(B985="","",IF(COUNTIFS(Equipment[组合编号],B985)&lt;&gt;1,"组合编号无效",INDEX(Equipment[驱动品牌],MATCH(B985,Equipment[组合编号],0))))</x:f>
        <x:v>KEBA（可选）</x:v>
      </x:c>
      <x:c r="E985" s="20" t="str">
        <x:v>S04</x:v>
      </x:c>
      <x:c r="F985" s="20"/>
      <x:c r="G985" s="20"/>
      <x:c r="H985" s="20" t="str">
        <x:v>待判定</x:v>
      </x:c>
      <x:c r="I985" s="20"/>
      <x:c r="J985" s="20" t="str">
        <x:v>未测试</x:v>
      </x:c>
      <x:c r="K985" s="20"/>
      <x:c r="L985" s="20"/>
      <x:c r="M985" s="20"/>
      <x:c r="N985" s="20"/>
      <x:c r="O985" s="31"/>
      <x:c r="P985" s="20"/>
      <x:c r="Q985" s="20"/>
      <x:c r="R985" s="20" t="str">
        <x:v>待展开</x:v>
      </x:c>
      <x:c r="S985" s="20"/>
      <x:c r="T985" s="31"/>
      <x:c r="U985" s="30" t="str">
        <x:f>IF(A985="","缺记录编号",IF(COUNTIFS(PathRecords[记录编号],A985)&lt;&gt;1,"记录编号重复",IF(OR(B985="",E985=""),"缺组合/功能",IF(COUNTIFS(Equipment[组合编号],B985)&lt;&gt;1,"组合编号无效",IF(COUNTIFS(FunctionMatrix[编号],E985)=0,"功能编号无效",IF(H985="不适用",IF(J985="已实测","适用性冲突",IF(I985="","待补不适用依据","不适用（非实测）")),IF(J985="阻塞",IF(I985="","待补阻塞原因","阻塞（非实测）"),IF(J985&lt;&gt;"已实测",IF(F985="","待展开路径","未实测"),IF(H985&lt;&gt;"适用","待确认适用性",IF(INDEX(Equipment[登记状态（自动）],MATCH(B985,Equipment[组合编号],0))&lt;&gt;"已登记","待补设备组合",IF(AND(F985&lt;&gt;"",G985&lt;&gt;"",K985&lt;&gt;"",L985&lt;&gt;"",M985&lt;&gt;"",N985&lt;&gt;"",ISNUMBER(O985),O985&gt;0,P985&lt;&gt;""),"记录齐全","待补实测记录")))))))))))</x:f>
        <x:v>待展开路径</x:v>
      </x:c>
    </x:row>
    <x:row r="986" ht="43.5" customHeight="1">
      <x:c r="A986" s="20" t="str">
        <x:v>REC-00977</x:v>
      </x:c>
      <x:c r="B986" s="20" t="str">
        <x:v>P2-B5-01</x:v>
      </x:c>
      <x:c r="C986" s="30" t="str">
        <x:f>IF(B986="","",IF(COUNTIFS(Equipment[组合编号],B986)&lt;&gt;1,"组合编号无效",INDEX(Equipment[PLC组],MATCH(B986,Equipment[组合编号],0))))</x:f>
        <x:v>汇川中大型</x:v>
      </x:c>
      <x:c r="D986" s="30" t="str">
        <x:f>IF(B986="","",IF(COUNTIFS(Equipment[组合编号],B986)&lt;&gt;1,"组合编号无效",INDEX(Equipment[驱动品牌],MATCH(B986,Equipment[组合编号],0))))</x:f>
        <x:v>KEBA（可选）</x:v>
      </x:c>
      <x:c r="E986" s="20" t="str">
        <x:v>S05</x:v>
      </x:c>
      <x:c r="F986" s="20"/>
      <x:c r="G986" s="20"/>
      <x:c r="H986" s="20" t="str">
        <x:v>待判定</x:v>
      </x:c>
      <x:c r="I986" s="20"/>
      <x:c r="J986" s="20" t="str">
        <x:v>未测试</x:v>
      </x:c>
      <x:c r="K986" s="20"/>
      <x:c r="L986" s="20"/>
      <x:c r="M986" s="20"/>
      <x:c r="N986" s="20"/>
      <x:c r="O986" s="31"/>
      <x:c r="P986" s="20"/>
      <x:c r="Q986" s="20"/>
      <x:c r="R986" s="20" t="str">
        <x:v>待展开</x:v>
      </x:c>
      <x:c r="S986" s="20"/>
      <x:c r="T986" s="31"/>
      <x:c r="U986" s="30" t="str">
        <x:f>IF(A986="","缺记录编号",IF(COUNTIFS(PathRecords[记录编号],A986)&lt;&gt;1,"记录编号重复",IF(OR(B986="",E986=""),"缺组合/功能",IF(COUNTIFS(Equipment[组合编号],B986)&lt;&gt;1,"组合编号无效",IF(COUNTIFS(FunctionMatrix[编号],E986)=0,"功能编号无效",IF(H986="不适用",IF(J986="已实测","适用性冲突",IF(I986="","待补不适用依据","不适用（非实测）")),IF(J986="阻塞",IF(I986="","待补阻塞原因","阻塞（非实测）"),IF(J986&lt;&gt;"已实测",IF(F986="","待展开路径","未实测"),IF(H986&lt;&gt;"适用","待确认适用性",IF(INDEX(Equipment[登记状态（自动）],MATCH(B986,Equipment[组合编号],0))&lt;&gt;"已登记","待补设备组合",IF(AND(F986&lt;&gt;"",G986&lt;&gt;"",K986&lt;&gt;"",L986&lt;&gt;"",M986&lt;&gt;"",N986&lt;&gt;"",ISNUMBER(O986),O986&gt;0,P986&lt;&gt;""),"记录齐全","待补实测记录")))))))))))</x:f>
        <x:v>待展开路径</x:v>
      </x:c>
    </x:row>
    <x:row r="987" ht="43.5" customHeight="1">
      <x:c r="A987" s="20" t="str">
        <x:v>REC-00978</x:v>
      </x:c>
      <x:c r="B987" s="20" t="str">
        <x:v>P2-B5-01</x:v>
      </x:c>
      <x:c r="C987" s="30" t="str">
        <x:f>IF(B987="","",IF(COUNTIFS(Equipment[组合编号],B987)&lt;&gt;1,"组合编号无效",INDEX(Equipment[PLC组],MATCH(B987,Equipment[组合编号],0))))</x:f>
        <x:v>汇川中大型</x:v>
      </x:c>
      <x:c r="D987" s="30" t="str">
        <x:f>IF(B987="","",IF(COUNTIFS(Equipment[组合编号],B987)&lt;&gt;1,"组合编号无效",INDEX(Equipment[驱动品牌],MATCH(B987,Equipment[组合编号],0))))</x:f>
        <x:v>KEBA（可选）</x:v>
      </x:c>
      <x:c r="E987" s="20" t="str">
        <x:v>S06</x:v>
      </x:c>
      <x:c r="F987" s="20"/>
      <x:c r="G987" s="20"/>
      <x:c r="H987" s="20" t="str">
        <x:v>待判定</x:v>
      </x:c>
      <x:c r="I987" s="20"/>
      <x:c r="J987" s="20" t="str">
        <x:v>未测试</x:v>
      </x:c>
      <x:c r="K987" s="20"/>
      <x:c r="L987" s="20"/>
      <x:c r="M987" s="20"/>
      <x:c r="N987" s="20"/>
      <x:c r="O987" s="31"/>
      <x:c r="P987" s="20"/>
      <x:c r="Q987" s="20"/>
      <x:c r="R987" s="20" t="str">
        <x:v>待展开</x:v>
      </x:c>
      <x:c r="S987" s="20"/>
      <x:c r="T987" s="31"/>
      <x:c r="U987" s="30" t="str">
        <x:f>IF(A987="","缺记录编号",IF(COUNTIFS(PathRecords[记录编号],A987)&lt;&gt;1,"记录编号重复",IF(OR(B987="",E987=""),"缺组合/功能",IF(COUNTIFS(Equipment[组合编号],B987)&lt;&gt;1,"组合编号无效",IF(COUNTIFS(FunctionMatrix[编号],E987)=0,"功能编号无效",IF(H987="不适用",IF(J987="已实测","适用性冲突",IF(I987="","待补不适用依据","不适用（非实测）")),IF(J987="阻塞",IF(I987="","待补阻塞原因","阻塞（非实测）"),IF(J987&lt;&gt;"已实测",IF(F987="","待展开路径","未实测"),IF(H987&lt;&gt;"适用","待确认适用性",IF(INDEX(Equipment[登记状态（自动）],MATCH(B987,Equipment[组合编号],0))&lt;&gt;"已登记","待补设备组合",IF(AND(F987&lt;&gt;"",G987&lt;&gt;"",K987&lt;&gt;"",L987&lt;&gt;"",M987&lt;&gt;"",N987&lt;&gt;"",ISNUMBER(O987),O987&gt;0,P987&lt;&gt;""),"记录齐全","待补实测记录")))))))))))</x:f>
        <x:v>待展开路径</x:v>
      </x:c>
    </x:row>
    <x:row r="988" ht="43.5" customHeight="1">
      <x:c r="A988" s="20" t="str">
        <x:v>REC-00979</x:v>
      </x:c>
      <x:c r="B988" s="20" t="str">
        <x:v>P2-B5-01</x:v>
      </x:c>
      <x:c r="C988" s="30" t="str">
        <x:f>IF(B988="","",IF(COUNTIFS(Equipment[组合编号],B988)&lt;&gt;1,"组合编号无效",INDEX(Equipment[PLC组],MATCH(B988,Equipment[组合编号],0))))</x:f>
        <x:v>汇川中大型</x:v>
      </x:c>
      <x:c r="D988" s="30" t="str">
        <x:f>IF(B988="","",IF(COUNTIFS(Equipment[组合编号],B988)&lt;&gt;1,"组合编号无效",INDEX(Equipment[驱动品牌],MATCH(B988,Equipment[组合编号],0))))</x:f>
        <x:v>KEBA（可选）</x:v>
      </x:c>
      <x:c r="E988" s="20" t="str">
        <x:v>S07</x:v>
      </x:c>
      <x:c r="F988" s="20"/>
      <x:c r="G988" s="20"/>
      <x:c r="H988" s="20" t="str">
        <x:v>待判定</x:v>
      </x:c>
      <x:c r="I988" s="20"/>
      <x:c r="J988" s="20" t="str">
        <x:v>未测试</x:v>
      </x:c>
      <x:c r="K988" s="20"/>
      <x:c r="L988" s="20"/>
      <x:c r="M988" s="20"/>
      <x:c r="N988" s="20"/>
      <x:c r="O988" s="31"/>
      <x:c r="P988" s="20"/>
      <x:c r="Q988" s="20"/>
      <x:c r="R988" s="20" t="str">
        <x:v>待展开</x:v>
      </x:c>
      <x:c r="S988" s="20"/>
      <x:c r="T988" s="31"/>
      <x:c r="U988" s="30" t="str">
        <x:f>IF(A988="","缺记录编号",IF(COUNTIFS(PathRecords[记录编号],A988)&lt;&gt;1,"记录编号重复",IF(OR(B988="",E988=""),"缺组合/功能",IF(COUNTIFS(Equipment[组合编号],B988)&lt;&gt;1,"组合编号无效",IF(COUNTIFS(FunctionMatrix[编号],E988)=0,"功能编号无效",IF(H988="不适用",IF(J988="已实测","适用性冲突",IF(I988="","待补不适用依据","不适用（非实测）")),IF(J988="阻塞",IF(I988="","待补阻塞原因","阻塞（非实测）"),IF(J988&lt;&gt;"已实测",IF(F988="","待展开路径","未实测"),IF(H988&lt;&gt;"适用","待确认适用性",IF(INDEX(Equipment[登记状态（自动）],MATCH(B988,Equipment[组合编号],0))&lt;&gt;"已登记","待补设备组合",IF(AND(F988&lt;&gt;"",G988&lt;&gt;"",K988&lt;&gt;"",L988&lt;&gt;"",M988&lt;&gt;"",N988&lt;&gt;"",ISNUMBER(O988),O988&gt;0,P988&lt;&gt;""),"记录齐全","待补实测记录")))))))))))</x:f>
        <x:v>待展开路径</x:v>
      </x:c>
    </x:row>
    <x:row r="989" ht="43.5" customHeight="1">
      <x:c r="A989" s="20" t="str">
        <x:v>REC-00980</x:v>
      </x:c>
      <x:c r="B989" s="20" t="str">
        <x:v>P2-B5-01</x:v>
      </x:c>
      <x:c r="C989" s="30" t="str">
        <x:f>IF(B989="","",IF(COUNTIFS(Equipment[组合编号],B989)&lt;&gt;1,"组合编号无效",INDEX(Equipment[PLC组],MATCH(B989,Equipment[组合编号],0))))</x:f>
        <x:v>汇川中大型</x:v>
      </x:c>
      <x:c r="D989" s="30" t="str">
        <x:f>IF(B989="","",IF(COUNTIFS(Equipment[组合编号],B989)&lt;&gt;1,"组合编号无效",INDEX(Equipment[驱动品牌],MATCH(B989,Equipment[组合编号],0))))</x:f>
        <x:v>KEBA（可选）</x:v>
      </x:c>
      <x:c r="E989" s="20" t="str">
        <x:v>S08</x:v>
      </x:c>
      <x:c r="F989" s="20"/>
      <x:c r="G989" s="20"/>
      <x:c r="H989" s="20" t="str">
        <x:v>待判定</x:v>
      </x:c>
      <x:c r="I989" s="20"/>
      <x:c r="J989" s="20" t="str">
        <x:v>未测试</x:v>
      </x:c>
      <x:c r="K989" s="20"/>
      <x:c r="L989" s="20"/>
      <x:c r="M989" s="20"/>
      <x:c r="N989" s="20"/>
      <x:c r="O989" s="31"/>
      <x:c r="P989" s="20"/>
      <x:c r="Q989" s="20"/>
      <x:c r="R989" s="20" t="str">
        <x:v>待展开</x:v>
      </x:c>
      <x:c r="S989" s="20"/>
      <x:c r="T989" s="31"/>
      <x:c r="U989" s="30" t="str">
        <x:f>IF(A989="","缺记录编号",IF(COUNTIFS(PathRecords[记录编号],A989)&lt;&gt;1,"记录编号重复",IF(OR(B989="",E989=""),"缺组合/功能",IF(COUNTIFS(Equipment[组合编号],B989)&lt;&gt;1,"组合编号无效",IF(COUNTIFS(FunctionMatrix[编号],E989)=0,"功能编号无效",IF(H989="不适用",IF(J989="已实测","适用性冲突",IF(I989="","待补不适用依据","不适用（非实测）")),IF(J989="阻塞",IF(I989="","待补阻塞原因","阻塞（非实测）"),IF(J989&lt;&gt;"已实测",IF(F989="","待展开路径","未实测"),IF(H989&lt;&gt;"适用","待确认适用性",IF(INDEX(Equipment[登记状态（自动）],MATCH(B989,Equipment[组合编号],0))&lt;&gt;"已登记","待补设备组合",IF(AND(F989&lt;&gt;"",G989&lt;&gt;"",K989&lt;&gt;"",L989&lt;&gt;"",M989&lt;&gt;"",N989&lt;&gt;"",ISNUMBER(O989),O989&gt;0,P989&lt;&gt;""),"记录齐全","待补实测记录")))))))))))</x:f>
        <x:v>待展开路径</x:v>
      </x:c>
    </x:row>
    <x:row r="990" ht="43.5" customHeight="1">
      <x:c r="A990" s="20" t="str">
        <x:v>REC-00981</x:v>
      </x:c>
      <x:c r="B990" s="20" t="str">
        <x:v>P2-B5-01</x:v>
      </x:c>
      <x:c r="C990" s="30" t="str">
        <x:f>IF(B990="","",IF(COUNTIFS(Equipment[组合编号],B990)&lt;&gt;1,"组合编号无效",INDEX(Equipment[PLC组],MATCH(B990,Equipment[组合编号],0))))</x:f>
        <x:v>汇川中大型</x:v>
      </x:c>
      <x:c r="D990" s="30" t="str">
        <x:f>IF(B990="","",IF(COUNTIFS(Equipment[组合编号],B990)&lt;&gt;1,"组合编号无效",INDEX(Equipment[驱动品牌],MATCH(B990,Equipment[组合编号],0))))</x:f>
        <x:v>KEBA（可选）</x:v>
      </x:c>
      <x:c r="E990" s="20" t="str">
        <x:v>S09</x:v>
      </x:c>
      <x:c r="F990" s="20"/>
      <x:c r="G990" s="20"/>
      <x:c r="H990" s="20" t="str">
        <x:v>待判定</x:v>
      </x:c>
      <x:c r="I990" s="20"/>
      <x:c r="J990" s="20" t="str">
        <x:v>未测试</x:v>
      </x:c>
      <x:c r="K990" s="20"/>
      <x:c r="L990" s="20"/>
      <x:c r="M990" s="20"/>
      <x:c r="N990" s="20"/>
      <x:c r="O990" s="31"/>
      <x:c r="P990" s="20"/>
      <x:c r="Q990" s="20"/>
      <x:c r="R990" s="20" t="str">
        <x:v>待展开</x:v>
      </x:c>
      <x:c r="S990" s="20"/>
      <x:c r="T990" s="31"/>
      <x:c r="U990" s="30" t="str">
        <x:f>IF(A990="","缺记录编号",IF(COUNTIFS(PathRecords[记录编号],A990)&lt;&gt;1,"记录编号重复",IF(OR(B990="",E990=""),"缺组合/功能",IF(COUNTIFS(Equipment[组合编号],B990)&lt;&gt;1,"组合编号无效",IF(COUNTIFS(FunctionMatrix[编号],E990)=0,"功能编号无效",IF(H990="不适用",IF(J990="已实测","适用性冲突",IF(I990="","待补不适用依据","不适用（非实测）")),IF(J990="阻塞",IF(I990="","待补阻塞原因","阻塞（非实测）"),IF(J990&lt;&gt;"已实测",IF(F990="","待展开路径","未实测"),IF(H990&lt;&gt;"适用","待确认适用性",IF(INDEX(Equipment[登记状态（自动）],MATCH(B990,Equipment[组合编号],0))&lt;&gt;"已登记","待补设备组合",IF(AND(F990&lt;&gt;"",G990&lt;&gt;"",K990&lt;&gt;"",L990&lt;&gt;"",M990&lt;&gt;"",N990&lt;&gt;"",ISNUMBER(O990),O990&gt;0,P990&lt;&gt;""),"记录齐全","待补实测记录")))))))))))</x:f>
        <x:v>待展开路径</x:v>
      </x:c>
    </x:row>
    <x:row r="991" ht="43.5" customHeight="1">
      <x:c r="A991" s="20" t="str">
        <x:v>REC-00982</x:v>
      </x:c>
      <x:c r="B991" s="20" t="str">
        <x:v>P2-B5-01</x:v>
      </x:c>
      <x:c r="C991" s="30" t="str">
        <x:f>IF(B991="","",IF(COUNTIFS(Equipment[组合编号],B991)&lt;&gt;1,"组合编号无效",INDEX(Equipment[PLC组],MATCH(B991,Equipment[组合编号],0))))</x:f>
        <x:v>汇川中大型</x:v>
      </x:c>
      <x:c r="D991" s="30" t="str">
        <x:f>IF(B991="","",IF(COUNTIFS(Equipment[组合编号],B991)&lt;&gt;1,"组合编号无效",INDEX(Equipment[驱动品牌],MATCH(B991,Equipment[组合编号],0))))</x:f>
        <x:v>KEBA（可选）</x:v>
      </x:c>
      <x:c r="E991" s="20" t="str">
        <x:v>U01</x:v>
      </x:c>
      <x:c r="F991" s="20"/>
      <x:c r="G991" s="20"/>
      <x:c r="H991" s="20" t="str">
        <x:v>待判定</x:v>
      </x:c>
      <x:c r="I991" s="20"/>
      <x:c r="J991" s="20" t="str">
        <x:v>未测试</x:v>
      </x:c>
      <x:c r="K991" s="20"/>
      <x:c r="L991" s="20"/>
      <x:c r="M991" s="20"/>
      <x:c r="N991" s="20"/>
      <x:c r="O991" s="31"/>
      <x:c r="P991" s="20"/>
      <x:c r="Q991" s="20"/>
      <x:c r="R991" s="20" t="str">
        <x:v>待展开</x:v>
      </x:c>
      <x:c r="S991" s="20"/>
      <x:c r="T991" s="31"/>
      <x:c r="U991" s="30" t="str">
        <x:f>IF(A991="","缺记录编号",IF(COUNTIFS(PathRecords[记录编号],A991)&lt;&gt;1,"记录编号重复",IF(OR(B991="",E991=""),"缺组合/功能",IF(COUNTIFS(Equipment[组合编号],B991)&lt;&gt;1,"组合编号无效",IF(COUNTIFS(FunctionMatrix[编号],E991)=0,"功能编号无效",IF(H991="不适用",IF(J991="已实测","适用性冲突",IF(I991="","待补不适用依据","不适用（非实测）")),IF(J991="阻塞",IF(I991="","待补阻塞原因","阻塞（非实测）"),IF(J991&lt;&gt;"已实测",IF(F991="","待展开路径","未实测"),IF(H991&lt;&gt;"适用","待确认适用性",IF(INDEX(Equipment[登记状态（自动）],MATCH(B991,Equipment[组合编号],0))&lt;&gt;"已登记","待补设备组合",IF(AND(F991&lt;&gt;"",G991&lt;&gt;"",K991&lt;&gt;"",L991&lt;&gt;"",M991&lt;&gt;"",N991&lt;&gt;"",ISNUMBER(O991),O991&gt;0,P991&lt;&gt;""),"记录齐全","待补实测记录")))))))))))</x:f>
        <x:v>待展开路径</x:v>
      </x:c>
    </x:row>
    <x:row r="992" ht="43.5" customHeight="1">
      <x:c r="A992" s="20" t="str">
        <x:v>REC-00983</x:v>
      </x:c>
      <x:c r="B992" s="20" t="str">
        <x:v>P2-B5-01</x:v>
      </x:c>
      <x:c r="C992" s="30" t="str">
        <x:f>IF(B992="","",IF(COUNTIFS(Equipment[组合编号],B992)&lt;&gt;1,"组合编号无效",INDEX(Equipment[PLC组],MATCH(B992,Equipment[组合编号],0))))</x:f>
        <x:v>汇川中大型</x:v>
      </x:c>
      <x:c r="D992" s="30" t="str">
        <x:f>IF(B992="","",IF(COUNTIFS(Equipment[组合编号],B992)&lt;&gt;1,"组合编号无效",INDEX(Equipment[驱动品牌],MATCH(B992,Equipment[组合编号],0))))</x:f>
        <x:v>KEBA（可选）</x:v>
      </x:c>
      <x:c r="E992" s="20" t="str">
        <x:v>U02</x:v>
      </x:c>
      <x:c r="F992" s="20"/>
      <x:c r="G992" s="20"/>
      <x:c r="H992" s="20" t="str">
        <x:v>待判定</x:v>
      </x:c>
      <x:c r="I992" s="20"/>
      <x:c r="J992" s="20" t="str">
        <x:v>未测试</x:v>
      </x:c>
      <x:c r="K992" s="20"/>
      <x:c r="L992" s="20"/>
      <x:c r="M992" s="20"/>
      <x:c r="N992" s="20"/>
      <x:c r="O992" s="31"/>
      <x:c r="P992" s="20"/>
      <x:c r="Q992" s="20"/>
      <x:c r="R992" s="20" t="str">
        <x:v>待展开</x:v>
      </x:c>
      <x:c r="S992" s="20"/>
      <x:c r="T992" s="31"/>
      <x:c r="U992" s="30" t="str">
        <x:f>IF(A992="","缺记录编号",IF(COUNTIFS(PathRecords[记录编号],A992)&lt;&gt;1,"记录编号重复",IF(OR(B992="",E992=""),"缺组合/功能",IF(COUNTIFS(Equipment[组合编号],B992)&lt;&gt;1,"组合编号无效",IF(COUNTIFS(FunctionMatrix[编号],E992)=0,"功能编号无效",IF(H992="不适用",IF(J992="已实测","适用性冲突",IF(I992="","待补不适用依据","不适用（非实测）")),IF(J992="阻塞",IF(I992="","待补阻塞原因","阻塞（非实测）"),IF(J992&lt;&gt;"已实测",IF(F992="","待展开路径","未实测"),IF(H992&lt;&gt;"适用","待确认适用性",IF(INDEX(Equipment[登记状态（自动）],MATCH(B992,Equipment[组合编号],0))&lt;&gt;"已登记","待补设备组合",IF(AND(F992&lt;&gt;"",G992&lt;&gt;"",K992&lt;&gt;"",L992&lt;&gt;"",M992&lt;&gt;"",N992&lt;&gt;"",ISNUMBER(O992),O992&gt;0,P992&lt;&gt;""),"记录齐全","待补实测记录")))))))))))</x:f>
        <x:v>待展开路径</x:v>
      </x:c>
    </x:row>
    <x:row r="993" ht="43.5" customHeight="1">
      <x:c r="A993" s="20" t="str">
        <x:v>REC-00984</x:v>
      </x:c>
      <x:c r="B993" s="20" t="str">
        <x:v>P2-B5-01</x:v>
      </x:c>
      <x:c r="C993" s="30" t="str">
        <x:f>IF(B993="","",IF(COUNTIFS(Equipment[组合编号],B993)&lt;&gt;1,"组合编号无效",INDEX(Equipment[PLC组],MATCH(B993,Equipment[组合编号],0))))</x:f>
        <x:v>汇川中大型</x:v>
      </x:c>
      <x:c r="D993" s="30" t="str">
        <x:f>IF(B993="","",IF(COUNTIFS(Equipment[组合编号],B993)&lt;&gt;1,"组合编号无效",INDEX(Equipment[驱动品牌],MATCH(B993,Equipment[组合编号],0))))</x:f>
        <x:v>KEBA（可选）</x:v>
      </x:c>
      <x:c r="E993" s="20" t="str">
        <x:v>U03</x:v>
      </x:c>
      <x:c r="F993" s="20"/>
      <x:c r="G993" s="20"/>
      <x:c r="H993" s="20" t="str">
        <x:v>待判定</x:v>
      </x:c>
      <x:c r="I993" s="20"/>
      <x:c r="J993" s="20" t="str">
        <x:v>未测试</x:v>
      </x:c>
      <x:c r="K993" s="20"/>
      <x:c r="L993" s="20"/>
      <x:c r="M993" s="20"/>
      <x:c r="N993" s="20"/>
      <x:c r="O993" s="31"/>
      <x:c r="P993" s="20"/>
      <x:c r="Q993" s="20"/>
      <x:c r="R993" s="20" t="str">
        <x:v>待展开</x:v>
      </x:c>
      <x:c r="S993" s="20"/>
      <x:c r="T993" s="31"/>
      <x:c r="U993" s="30" t="str">
        <x:f>IF(A993="","缺记录编号",IF(COUNTIFS(PathRecords[记录编号],A993)&lt;&gt;1,"记录编号重复",IF(OR(B993="",E993=""),"缺组合/功能",IF(COUNTIFS(Equipment[组合编号],B993)&lt;&gt;1,"组合编号无效",IF(COUNTIFS(FunctionMatrix[编号],E993)=0,"功能编号无效",IF(H993="不适用",IF(J993="已实测","适用性冲突",IF(I993="","待补不适用依据","不适用（非实测）")),IF(J993="阻塞",IF(I993="","待补阻塞原因","阻塞（非实测）"),IF(J993&lt;&gt;"已实测",IF(F993="","待展开路径","未实测"),IF(H993&lt;&gt;"适用","待确认适用性",IF(INDEX(Equipment[登记状态（自动）],MATCH(B993,Equipment[组合编号],0))&lt;&gt;"已登记","待补设备组合",IF(AND(F993&lt;&gt;"",G993&lt;&gt;"",K993&lt;&gt;"",L993&lt;&gt;"",M993&lt;&gt;"",N993&lt;&gt;"",ISNUMBER(O993),O993&gt;0,P993&lt;&gt;""),"记录齐全","待补实测记录")))))))))))</x:f>
        <x:v>待展开路径</x:v>
      </x:c>
    </x:row>
    <x:row r="994" ht="43.5" customHeight="1">
      <x:c r="A994" s="20" t="str">
        <x:v>REC-00985</x:v>
      </x:c>
      <x:c r="B994" s="20" t="str">
        <x:v>P2-B5-01</x:v>
      </x:c>
      <x:c r="C994" s="30" t="str">
        <x:f>IF(B994="","",IF(COUNTIFS(Equipment[组合编号],B994)&lt;&gt;1,"组合编号无效",INDEX(Equipment[PLC组],MATCH(B994,Equipment[组合编号],0))))</x:f>
        <x:v>汇川中大型</x:v>
      </x:c>
      <x:c r="D994" s="30" t="str">
        <x:f>IF(B994="","",IF(COUNTIFS(Equipment[组合编号],B994)&lt;&gt;1,"组合编号无效",INDEX(Equipment[驱动品牌],MATCH(B994,Equipment[组合编号],0))))</x:f>
        <x:v>KEBA（可选）</x:v>
      </x:c>
      <x:c r="E994" s="20" t="str">
        <x:v>U04</x:v>
      </x:c>
      <x:c r="F994" s="20"/>
      <x:c r="G994" s="20"/>
      <x:c r="H994" s="20" t="str">
        <x:v>待判定</x:v>
      </x:c>
      <x:c r="I994" s="20"/>
      <x:c r="J994" s="20" t="str">
        <x:v>未测试</x:v>
      </x:c>
      <x:c r="K994" s="20"/>
      <x:c r="L994" s="20"/>
      <x:c r="M994" s="20"/>
      <x:c r="N994" s="20"/>
      <x:c r="O994" s="31"/>
      <x:c r="P994" s="20"/>
      <x:c r="Q994" s="20"/>
      <x:c r="R994" s="20" t="str">
        <x:v>待展开</x:v>
      </x:c>
      <x:c r="S994" s="20"/>
      <x:c r="T994" s="31"/>
      <x:c r="U994" s="30" t="str">
        <x:f>IF(A994="","缺记录编号",IF(COUNTIFS(PathRecords[记录编号],A994)&lt;&gt;1,"记录编号重复",IF(OR(B994="",E994=""),"缺组合/功能",IF(COUNTIFS(Equipment[组合编号],B994)&lt;&gt;1,"组合编号无效",IF(COUNTIFS(FunctionMatrix[编号],E994)=0,"功能编号无效",IF(H994="不适用",IF(J994="已实测","适用性冲突",IF(I994="","待补不适用依据","不适用（非实测）")),IF(J994="阻塞",IF(I994="","待补阻塞原因","阻塞（非实测）"),IF(J994&lt;&gt;"已实测",IF(F994="","待展开路径","未实测"),IF(H994&lt;&gt;"适用","待确认适用性",IF(INDEX(Equipment[登记状态（自动）],MATCH(B994,Equipment[组合编号],0))&lt;&gt;"已登记","待补设备组合",IF(AND(F994&lt;&gt;"",G994&lt;&gt;"",K994&lt;&gt;"",L994&lt;&gt;"",M994&lt;&gt;"",N994&lt;&gt;"",ISNUMBER(O994),O994&gt;0,P994&lt;&gt;""),"记录齐全","待补实测记录")))))))))))</x:f>
        <x:v>待展开路径</x:v>
      </x:c>
    </x:row>
    <x:row r="995" ht="43.5" customHeight="1">
      <x:c r="A995" s="20" t="str">
        <x:v>REC-00986</x:v>
      </x:c>
      <x:c r="B995" s="20" t="str">
        <x:v>P2-B5-01</x:v>
      </x:c>
      <x:c r="C995" s="30" t="str">
        <x:f>IF(B995="","",IF(COUNTIFS(Equipment[组合编号],B995)&lt;&gt;1,"组合编号无效",INDEX(Equipment[PLC组],MATCH(B995,Equipment[组合编号],0))))</x:f>
        <x:v>汇川中大型</x:v>
      </x:c>
      <x:c r="D995" s="30" t="str">
        <x:f>IF(B995="","",IF(COUNTIFS(Equipment[组合编号],B995)&lt;&gt;1,"组合编号无效",INDEX(Equipment[驱动品牌],MATCH(B995,Equipment[组合编号],0))))</x:f>
        <x:v>KEBA（可选）</x:v>
      </x:c>
      <x:c r="E995" s="20" t="str">
        <x:v>U05</x:v>
      </x:c>
      <x:c r="F995" s="20"/>
      <x:c r="G995" s="20"/>
      <x:c r="H995" s="20" t="str">
        <x:v>待判定</x:v>
      </x:c>
      <x:c r="I995" s="20"/>
      <x:c r="J995" s="20" t="str">
        <x:v>未测试</x:v>
      </x:c>
      <x:c r="K995" s="20"/>
      <x:c r="L995" s="20"/>
      <x:c r="M995" s="20"/>
      <x:c r="N995" s="20"/>
      <x:c r="O995" s="31"/>
      <x:c r="P995" s="20"/>
      <x:c r="Q995" s="20"/>
      <x:c r="R995" s="20" t="str">
        <x:v>待展开</x:v>
      </x:c>
      <x:c r="S995" s="20"/>
      <x:c r="T995" s="31"/>
      <x:c r="U995" s="30" t="str">
        <x:f>IF(A995="","缺记录编号",IF(COUNTIFS(PathRecords[记录编号],A995)&lt;&gt;1,"记录编号重复",IF(OR(B995="",E995=""),"缺组合/功能",IF(COUNTIFS(Equipment[组合编号],B995)&lt;&gt;1,"组合编号无效",IF(COUNTIFS(FunctionMatrix[编号],E995)=0,"功能编号无效",IF(H995="不适用",IF(J995="已实测","适用性冲突",IF(I995="","待补不适用依据","不适用（非实测）")),IF(J995="阻塞",IF(I995="","待补阻塞原因","阻塞（非实测）"),IF(J995&lt;&gt;"已实测",IF(F995="","待展开路径","未实测"),IF(H995&lt;&gt;"适用","待确认适用性",IF(INDEX(Equipment[登记状态（自动）],MATCH(B995,Equipment[组合编号],0))&lt;&gt;"已登记","待补设备组合",IF(AND(F995&lt;&gt;"",G995&lt;&gt;"",K995&lt;&gt;"",L995&lt;&gt;"",M995&lt;&gt;"",N995&lt;&gt;"",ISNUMBER(O995),O995&gt;0,P995&lt;&gt;""),"记录齐全","待补实测记录")))))))))))</x:f>
        <x:v>待展开路径</x:v>
      </x:c>
    </x:row>
    <x:row r="996" ht="43.5" customHeight="1">
      <x:c r="A996" s="20" t="str">
        <x:v>REC-00987</x:v>
      </x:c>
      <x:c r="B996" s="20" t="str">
        <x:v>P2-B5-01</x:v>
      </x:c>
      <x:c r="C996" s="30" t="str">
        <x:f>IF(B996="","",IF(COUNTIFS(Equipment[组合编号],B996)&lt;&gt;1,"组合编号无效",INDEX(Equipment[PLC组],MATCH(B996,Equipment[组合编号],0))))</x:f>
        <x:v>汇川中大型</x:v>
      </x:c>
      <x:c r="D996" s="30" t="str">
        <x:f>IF(B996="","",IF(COUNTIFS(Equipment[组合编号],B996)&lt;&gt;1,"组合编号无效",INDEX(Equipment[驱动品牌],MATCH(B996,Equipment[组合编号],0))))</x:f>
        <x:v>KEBA（可选）</x:v>
      </x:c>
      <x:c r="E996" s="20" t="str">
        <x:v>U06</x:v>
      </x:c>
      <x:c r="F996" s="20"/>
      <x:c r="G996" s="20"/>
      <x:c r="H996" s="20" t="str">
        <x:v>待判定</x:v>
      </x:c>
      <x:c r="I996" s="20"/>
      <x:c r="J996" s="20" t="str">
        <x:v>未测试</x:v>
      </x:c>
      <x:c r="K996" s="20"/>
      <x:c r="L996" s="20"/>
      <x:c r="M996" s="20"/>
      <x:c r="N996" s="20"/>
      <x:c r="O996" s="31"/>
      <x:c r="P996" s="20"/>
      <x:c r="Q996" s="20"/>
      <x:c r="R996" s="20" t="str">
        <x:v>待展开</x:v>
      </x:c>
      <x:c r="S996" s="20"/>
      <x:c r="T996" s="31"/>
      <x:c r="U996" s="30" t="str">
        <x:f>IF(A996="","缺记录编号",IF(COUNTIFS(PathRecords[记录编号],A996)&lt;&gt;1,"记录编号重复",IF(OR(B996="",E996=""),"缺组合/功能",IF(COUNTIFS(Equipment[组合编号],B996)&lt;&gt;1,"组合编号无效",IF(COUNTIFS(FunctionMatrix[编号],E996)=0,"功能编号无效",IF(H996="不适用",IF(J996="已实测","适用性冲突",IF(I996="","待补不适用依据","不适用（非实测）")),IF(J996="阻塞",IF(I996="","待补阻塞原因","阻塞（非实测）"),IF(J996&lt;&gt;"已实测",IF(F996="","待展开路径","未实测"),IF(H996&lt;&gt;"适用","待确认适用性",IF(INDEX(Equipment[登记状态（自动）],MATCH(B996,Equipment[组合编号],0))&lt;&gt;"已登记","待补设备组合",IF(AND(F996&lt;&gt;"",G996&lt;&gt;"",K996&lt;&gt;"",L996&lt;&gt;"",M996&lt;&gt;"",N996&lt;&gt;"",ISNUMBER(O996),O996&gt;0,P996&lt;&gt;""),"记录齐全","待补实测记录")))))))))))</x:f>
        <x:v>待展开路径</x:v>
      </x:c>
    </x:row>
    <x:row r="997" ht="43.5" customHeight="1">
      <x:c r="A997" s="20" t="str">
        <x:v>REC-00988</x:v>
      </x:c>
      <x:c r="B997" s="20" t="str">
        <x:v>P2-B5-01</x:v>
      </x:c>
      <x:c r="C997" s="30" t="str">
        <x:f>IF(B997="","",IF(COUNTIFS(Equipment[组合编号],B997)&lt;&gt;1,"组合编号无效",INDEX(Equipment[PLC组],MATCH(B997,Equipment[组合编号],0))))</x:f>
        <x:v>汇川中大型</x:v>
      </x:c>
      <x:c r="D997" s="30" t="str">
        <x:f>IF(B997="","",IF(COUNTIFS(Equipment[组合编号],B997)&lt;&gt;1,"组合编号无效",INDEX(Equipment[驱动品牌],MATCH(B997,Equipment[组合编号],0))))</x:f>
        <x:v>KEBA（可选）</x:v>
      </x:c>
      <x:c r="E997" s="20" t="str">
        <x:v>U07</x:v>
      </x:c>
      <x:c r="F997" s="20"/>
      <x:c r="G997" s="20"/>
      <x:c r="H997" s="20" t="str">
        <x:v>待判定</x:v>
      </x:c>
      <x:c r="I997" s="20"/>
      <x:c r="J997" s="20" t="str">
        <x:v>未测试</x:v>
      </x:c>
      <x:c r="K997" s="20"/>
      <x:c r="L997" s="20"/>
      <x:c r="M997" s="20"/>
      <x:c r="N997" s="20"/>
      <x:c r="O997" s="31"/>
      <x:c r="P997" s="20"/>
      <x:c r="Q997" s="20"/>
      <x:c r="R997" s="20" t="str">
        <x:v>待展开</x:v>
      </x:c>
      <x:c r="S997" s="20"/>
      <x:c r="T997" s="31"/>
      <x:c r="U997" s="30" t="str">
        <x:f>IF(A997="","缺记录编号",IF(COUNTIFS(PathRecords[记录编号],A997)&lt;&gt;1,"记录编号重复",IF(OR(B997="",E997=""),"缺组合/功能",IF(COUNTIFS(Equipment[组合编号],B997)&lt;&gt;1,"组合编号无效",IF(COUNTIFS(FunctionMatrix[编号],E997)=0,"功能编号无效",IF(H997="不适用",IF(J997="已实测","适用性冲突",IF(I997="","待补不适用依据","不适用（非实测）")),IF(J997="阻塞",IF(I997="","待补阻塞原因","阻塞（非实测）"),IF(J997&lt;&gt;"已实测",IF(F997="","待展开路径","未实测"),IF(H997&lt;&gt;"适用","待确认适用性",IF(INDEX(Equipment[登记状态（自动）],MATCH(B997,Equipment[组合编号],0))&lt;&gt;"已登记","待补设备组合",IF(AND(F997&lt;&gt;"",G997&lt;&gt;"",K997&lt;&gt;"",L997&lt;&gt;"",M997&lt;&gt;"",N997&lt;&gt;"",ISNUMBER(O997),O997&gt;0,P997&lt;&gt;""),"记录齐全","待补实测记录")))))))))))</x:f>
        <x:v>待展开路径</x:v>
      </x:c>
    </x:row>
    <x:row r="998" ht="43.5" customHeight="1">
      <x:c r="A998" s="20" t="str">
        <x:v>REC-00989</x:v>
      </x:c>
      <x:c r="B998" s="20" t="str">
        <x:v>P2-B5-01</x:v>
      </x:c>
      <x:c r="C998" s="30" t="str">
        <x:f>IF(B998="","",IF(COUNTIFS(Equipment[组合编号],B998)&lt;&gt;1,"组合编号无效",INDEX(Equipment[PLC组],MATCH(B998,Equipment[组合编号],0))))</x:f>
        <x:v>汇川中大型</x:v>
      </x:c>
      <x:c r="D998" s="30" t="str">
        <x:f>IF(B998="","",IF(COUNTIFS(Equipment[组合编号],B998)&lt;&gt;1,"组合编号无效",INDEX(Equipment[驱动品牌],MATCH(B998,Equipment[组合编号],0))))</x:f>
        <x:v>KEBA（可选）</x:v>
      </x:c>
      <x:c r="E998" s="20" t="str">
        <x:v>U08</x:v>
      </x:c>
      <x:c r="F998" s="20"/>
      <x:c r="G998" s="20"/>
      <x:c r="H998" s="20" t="str">
        <x:v>待判定</x:v>
      </x:c>
      <x:c r="I998" s="20"/>
      <x:c r="J998" s="20" t="str">
        <x:v>未测试</x:v>
      </x:c>
      <x:c r="K998" s="20"/>
      <x:c r="L998" s="20"/>
      <x:c r="M998" s="20"/>
      <x:c r="N998" s="20"/>
      <x:c r="O998" s="31"/>
      <x:c r="P998" s="20"/>
      <x:c r="Q998" s="20"/>
      <x:c r="R998" s="20" t="str">
        <x:v>待展开</x:v>
      </x:c>
      <x:c r="S998" s="20"/>
      <x:c r="T998" s="31"/>
      <x:c r="U998" s="30" t="str">
        <x:f>IF(A998="","缺记录编号",IF(COUNTIFS(PathRecords[记录编号],A998)&lt;&gt;1,"记录编号重复",IF(OR(B998="",E998=""),"缺组合/功能",IF(COUNTIFS(Equipment[组合编号],B998)&lt;&gt;1,"组合编号无效",IF(COUNTIFS(FunctionMatrix[编号],E998)=0,"功能编号无效",IF(H998="不适用",IF(J998="已实测","适用性冲突",IF(I998="","待补不适用依据","不适用（非实测）")),IF(J998="阻塞",IF(I998="","待补阻塞原因","阻塞（非实测）"),IF(J998&lt;&gt;"已实测",IF(F998="","待展开路径","未实测"),IF(H998&lt;&gt;"适用","待确认适用性",IF(INDEX(Equipment[登记状态（自动）],MATCH(B998,Equipment[组合编号],0))&lt;&gt;"已登记","待补设备组合",IF(AND(F998&lt;&gt;"",G998&lt;&gt;"",K998&lt;&gt;"",L998&lt;&gt;"",M998&lt;&gt;"",N998&lt;&gt;"",ISNUMBER(O998),O998&gt;0,P998&lt;&gt;""),"记录齐全","待补实测记录")))))))))))</x:f>
        <x:v>待展开路径</x:v>
      </x:c>
    </x:row>
    <x:row r="999" ht="43.5" customHeight="1">
      <x:c r="A999" s="20" t="str">
        <x:v>REC-00990</x:v>
      </x:c>
      <x:c r="B999" s="20" t="str">
        <x:v>P2-B5-01</x:v>
      </x:c>
      <x:c r="C999" s="30" t="str">
        <x:f>IF(B999="","",IF(COUNTIFS(Equipment[组合编号],B999)&lt;&gt;1,"组合编号无效",INDEX(Equipment[PLC组],MATCH(B999,Equipment[组合编号],0))))</x:f>
        <x:v>汇川中大型</x:v>
      </x:c>
      <x:c r="D999" s="30" t="str">
        <x:f>IF(B999="","",IF(COUNTIFS(Equipment[组合编号],B999)&lt;&gt;1,"组合编号无效",INDEX(Equipment[驱动品牌],MATCH(B999,Equipment[组合编号],0))))</x:f>
        <x:v>KEBA（可选）</x:v>
      </x:c>
      <x:c r="E999" s="20" t="str">
        <x:v>U09</x:v>
      </x:c>
      <x:c r="F999" s="20"/>
      <x:c r="G999" s="20"/>
      <x:c r="H999" s="20" t="str">
        <x:v>待判定</x:v>
      </x:c>
      <x:c r="I999" s="20"/>
      <x:c r="J999" s="20" t="str">
        <x:v>未测试</x:v>
      </x:c>
      <x:c r="K999" s="20"/>
      <x:c r="L999" s="20"/>
      <x:c r="M999" s="20"/>
      <x:c r="N999" s="20"/>
      <x:c r="O999" s="31"/>
      <x:c r="P999" s="20"/>
      <x:c r="Q999" s="20"/>
      <x:c r="R999" s="20" t="str">
        <x:v>待展开</x:v>
      </x:c>
      <x:c r="S999" s="20"/>
      <x:c r="T999" s="31"/>
      <x:c r="U999" s="30" t="str">
        <x:f>IF(A999="","缺记录编号",IF(COUNTIFS(PathRecords[记录编号],A999)&lt;&gt;1,"记录编号重复",IF(OR(B999="",E999=""),"缺组合/功能",IF(COUNTIFS(Equipment[组合编号],B999)&lt;&gt;1,"组合编号无效",IF(COUNTIFS(FunctionMatrix[编号],E999)=0,"功能编号无效",IF(H999="不适用",IF(J999="已实测","适用性冲突",IF(I999="","待补不适用依据","不适用（非实测）")),IF(J999="阻塞",IF(I999="","待补阻塞原因","阻塞（非实测）"),IF(J999&lt;&gt;"已实测",IF(F999="","待展开路径","未实测"),IF(H999&lt;&gt;"适用","待确认适用性",IF(INDEX(Equipment[登记状态（自动）],MATCH(B999,Equipment[组合编号],0))&lt;&gt;"已登记","待补设备组合",IF(AND(F999&lt;&gt;"",G999&lt;&gt;"",K999&lt;&gt;"",L999&lt;&gt;"",M999&lt;&gt;"",N999&lt;&gt;"",ISNUMBER(O999),O999&gt;0,P999&lt;&gt;""),"记录齐全","待补实测记录")))))))))))</x:f>
        <x:v>待展开路径</x:v>
      </x:c>
    </x:row>
    <x:row r="1000" ht="43.5" customHeight="1">
      <x:c r="A1000" s="20" t="str">
        <x:v>REC-00991</x:v>
      </x:c>
      <x:c r="B1000" s="20" t="str">
        <x:v>P2-B5-01</x:v>
      </x:c>
      <x:c r="C1000" s="30" t="str">
        <x:f>IF(B1000="","",IF(COUNTIFS(Equipment[组合编号],B1000)&lt;&gt;1,"组合编号无效",INDEX(Equipment[PLC组],MATCH(B1000,Equipment[组合编号],0))))</x:f>
        <x:v>汇川中大型</x:v>
      </x:c>
      <x:c r="D1000" s="30" t="str">
        <x:f>IF(B1000="","",IF(COUNTIFS(Equipment[组合编号],B1000)&lt;&gt;1,"组合编号无效",INDEX(Equipment[驱动品牌],MATCH(B1000,Equipment[组合编号],0))))</x:f>
        <x:v>KEBA（可选）</x:v>
      </x:c>
      <x:c r="E1000" s="20" t="str">
        <x:v>U10</x:v>
      </x:c>
      <x:c r="F1000" s="20"/>
      <x:c r="G1000" s="20"/>
      <x:c r="H1000" s="20" t="str">
        <x:v>待判定</x:v>
      </x:c>
      <x:c r="I1000" s="20"/>
      <x:c r="J1000" s="20" t="str">
        <x:v>未测试</x:v>
      </x:c>
      <x:c r="K1000" s="20"/>
      <x:c r="L1000" s="20"/>
      <x:c r="M1000" s="20"/>
      <x:c r="N1000" s="20"/>
      <x:c r="O1000" s="31"/>
      <x:c r="P1000" s="20"/>
      <x:c r="Q1000" s="20"/>
      <x:c r="R1000" s="20" t="str">
        <x:v>待展开</x:v>
      </x:c>
      <x:c r="S1000" s="20"/>
      <x:c r="T1000" s="31"/>
      <x:c r="U1000" s="30" t="str">
        <x:f>IF(A1000="","缺记录编号",IF(COUNTIFS(PathRecords[记录编号],A1000)&lt;&gt;1,"记录编号重复",IF(OR(B1000="",E1000=""),"缺组合/功能",IF(COUNTIFS(Equipment[组合编号],B1000)&lt;&gt;1,"组合编号无效",IF(COUNTIFS(FunctionMatrix[编号],E1000)=0,"功能编号无效",IF(H1000="不适用",IF(J1000="已实测","适用性冲突",IF(I1000="","待补不适用依据","不适用（非实测）")),IF(J1000="阻塞",IF(I1000="","待补阻塞原因","阻塞（非实测）"),IF(J1000&lt;&gt;"已实测",IF(F1000="","待展开路径","未实测"),IF(H1000&lt;&gt;"适用","待确认适用性",IF(INDEX(Equipment[登记状态（自动）],MATCH(B1000,Equipment[组合编号],0))&lt;&gt;"已登记","待补设备组合",IF(AND(F1000&lt;&gt;"",G1000&lt;&gt;"",K1000&lt;&gt;"",L1000&lt;&gt;"",M1000&lt;&gt;"",N1000&lt;&gt;"",ISNUMBER(O1000),O1000&gt;0,P1000&lt;&gt;""),"记录齐全","待补实测记录")))))))))))</x:f>
        <x:v>待展开路径</x:v>
      </x:c>
    </x:row>
    <x:row r="1001" ht="43.5" customHeight="1">
      <x:c r="A1001" s="20" t="str">
        <x:v>REC-00992</x:v>
      </x:c>
      <x:c r="B1001" s="20" t="str">
        <x:v>P2-B5-01</x:v>
      </x:c>
      <x:c r="C1001" s="30" t="str">
        <x:f>IF(B1001="","",IF(COUNTIFS(Equipment[组合编号],B1001)&lt;&gt;1,"组合编号无效",INDEX(Equipment[PLC组],MATCH(B1001,Equipment[组合编号],0))))</x:f>
        <x:v>汇川中大型</x:v>
      </x:c>
      <x:c r="D1001" s="30" t="str">
        <x:f>IF(B1001="","",IF(COUNTIFS(Equipment[组合编号],B1001)&lt;&gt;1,"组合编号无效",INDEX(Equipment[驱动品牌],MATCH(B1001,Equipment[组合编号],0))))</x:f>
        <x:v>KEBA（可选）</x:v>
      </x:c>
      <x:c r="E1001" s="20" t="str">
        <x:v>H01</x:v>
      </x:c>
      <x:c r="F1001" s="20"/>
      <x:c r="G1001" s="20"/>
      <x:c r="H1001" s="20" t="str">
        <x:v>待判定</x:v>
      </x:c>
      <x:c r="I1001" s="20"/>
      <x:c r="J1001" s="20" t="str">
        <x:v>未测试</x:v>
      </x:c>
      <x:c r="K1001" s="20"/>
      <x:c r="L1001" s="20"/>
      <x:c r="M1001" s="20"/>
      <x:c r="N1001" s="20"/>
      <x:c r="O1001" s="31"/>
      <x:c r="P1001" s="20"/>
      <x:c r="Q1001" s="20"/>
      <x:c r="R1001" s="20" t="str">
        <x:v>待展开</x:v>
      </x:c>
      <x:c r="S1001" s="20"/>
      <x:c r="T1001" s="31"/>
      <x:c r="U1001" s="30" t="str">
        <x:f>IF(A1001="","缺记录编号",IF(COUNTIFS(PathRecords[记录编号],A1001)&lt;&gt;1,"记录编号重复",IF(OR(B1001="",E1001=""),"缺组合/功能",IF(COUNTIFS(Equipment[组合编号],B1001)&lt;&gt;1,"组合编号无效",IF(COUNTIFS(FunctionMatrix[编号],E1001)=0,"功能编号无效",IF(H1001="不适用",IF(J1001="已实测","适用性冲突",IF(I1001="","待补不适用依据","不适用（非实测）")),IF(J1001="阻塞",IF(I1001="","待补阻塞原因","阻塞（非实测）"),IF(J1001&lt;&gt;"已实测",IF(F1001="","待展开路径","未实测"),IF(H1001&lt;&gt;"适用","待确认适用性",IF(INDEX(Equipment[登记状态（自动）],MATCH(B1001,Equipment[组合编号],0))&lt;&gt;"已登记","待补设备组合",IF(AND(F1001&lt;&gt;"",G1001&lt;&gt;"",K1001&lt;&gt;"",L1001&lt;&gt;"",M1001&lt;&gt;"",N1001&lt;&gt;"",ISNUMBER(O1001),O1001&gt;0,P1001&lt;&gt;""),"记录齐全","待补实测记录")))))))))))</x:f>
        <x:v>待展开路径</x:v>
      </x:c>
    </x:row>
    <x:row r="1002" ht="43.5" customHeight="1">
      <x:c r="A1002" s="20" t="str">
        <x:v>REC-00993</x:v>
      </x:c>
      <x:c r="B1002" s="20" t="str">
        <x:v>P2-B5-01</x:v>
      </x:c>
      <x:c r="C1002" s="30" t="str">
        <x:f>IF(B1002="","",IF(COUNTIFS(Equipment[组合编号],B1002)&lt;&gt;1,"组合编号无效",INDEX(Equipment[PLC组],MATCH(B1002,Equipment[组合编号],0))))</x:f>
        <x:v>汇川中大型</x:v>
      </x:c>
      <x:c r="D1002" s="30" t="str">
        <x:f>IF(B1002="","",IF(COUNTIFS(Equipment[组合编号],B1002)&lt;&gt;1,"组合编号无效",INDEX(Equipment[驱动品牌],MATCH(B1002,Equipment[组合编号],0))))</x:f>
        <x:v>KEBA（可选）</x:v>
      </x:c>
      <x:c r="E1002" s="20" t="str">
        <x:v>H02</x:v>
      </x:c>
      <x:c r="F1002" s="20"/>
      <x:c r="G1002" s="20"/>
      <x:c r="H1002" s="20" t="str">
        <x:v>待判定</x:v>
      </x:c>
      <x:c r="I1002" s="20"/>
      <x:c r="J1002" s="20" t="str">
        <x:v>未测试</x:v>
      </x:c>
      <x:c r="K1002" s="20"/>
      <x:c r="L1002" s="20"/>
      <x:c r="M1002" s="20"/>
      <x:c r="N1002" s="20"/>
      <x:c r="O1002" s="31"/>
      <x:c r="P1002" s="20"/>
      <x:c r="Q1002" s="20"/>
      <x:c r="R1002" s="20" t="str">
        <x:v>待展开</x:v>
      </x:c>
      <x:c r="S1002" s="20"/>
      <x:c r="T1002" s="31"/>
      <x:c r="U1002" s="30" t="str">
        <x:f>IF(A1002="","缺记录编号",IF(COUNTIFS(PathRecords[记录编号],A1002)&lt;&gt;1,"记录编号重复",IF(OR(B1002="",E1002=""),"缺组合/功能",IF(COUNTIFS(Equipment[组合编号],B1002)&lt;&gt;1,"组合编号无效",IF(COUNTIFS(FunctionMatrix[编号],E1002)=0,"功能编号无效",IF(H1002="不适用",IF(J1002="已实测","适用性冲突",IF(I1002="","待补不适用依据","不适用（非实测）")),IF(J1002="阻塞",IF(I1002="","待补阻塞原因","阻塞（非实测）"),IF(J1002&lt;&gt;"已实测",IF(F1002="","待展开路径","未实测"),IF(H1002&lt;&gt;"适用","待确认适用性",IF(INDEX(Equipment[登记状态（自动）],MATCH(B1002,Equipment[组合编号],0))&lt;&gt;"已登记","待补设备组合",IF(AND(F1002&lt;&gt;"",G1002&lt;&gt;"",K1002&lt;&gt;"",L1002&lt;&gt;"",M1002&lt;&gt;"",N1002&lt;&gt;"",ISNUMBER(O1002),O1002&gt;0,P1002&lt;&gt;""),"记录齐全","待补实测记录")))))))))))</x:f>
        <x:v>待展开路径</x:v>
      </x:c>
    </x:row>
    <x:row r="1003" ht="43.5" customHeight="1">
      <x:c r="A1003" s="20" t="str">
        <x:v>REC-00994</x:v>
      </x:c>
      <x:c r="B1003" s="20" t="str">
        <x:v>P2-B5-01</x:v>
      </x:c>
      <x:c r="C1003" s="30" t="str">
        <x:f>IF(B1003="","",IF(COUNTIFS(Equipment[组合编号],B1003)&lt;&gt;1,"组合编号无效",INDEX(Equipment[PLC组],MATCH(B1003,Equipment[组合编号],0))))</x:f>
        <x:v>汇川中大型</x:v>
      </x:c>
      <x:c r="D1003" s="30" t="str">
        <x:f>IF(B1003="","",IF(COUNTIFS(Equipment[组合编号],B1003)&lt;&gt;1,"组合编号无效",INDEX(Equipment[驱动品牌],MATCH(B1003,Equipment[组合编号],0))))</x:f>
        <x:v>KEBA（可选）</x:v>
      </x:c>
      <x:c r="E1003" s="20" t="str">
        <x:v>H03</x:v>
      </x:c>
      <x:c r="F1003" s="20"/>
      <x:c r="G1003" s="20"/>
      <x:c r="H1003" s="20" t="str">
        <x:v>待判定</x:v>
      </x:c>
      <x:c r="I1003" s="20"/>
      <x:c r="J1003" s="20" t="str">
        <x:v>未测试</x:v>
      </x:c>
      <x:c r="K1003" s="20"/>
      <x:c r="L1003" s="20"/>
      <x:c r="M1003" s="20"/>
      <x:c r="N1003" s="20"/>
      <x:c r="O1003" s="31"/>
      <x:c r="P1003" s="20"/>
      <x:c r="Q1003" s="20"/>
      <x:c r="R1003" s="20" t="str">
        <x:v>待展开</x:v>
      </x:c>
      <x:c r="S1003" s="20"/>
      <x:c r="T1003" s="31"/>
      <x:c r="U1003" s="30" t="str">
        <x:f>IF(A1003="","缺记录编号",IF(COUNTIFS(PathRecords[记录编号],A1003)&lt;&gt;1,"记录编号重复",IF(OR(B1003="",E1003=""),"缺组合/功能",IF(COUNTIFS(Equipment[组合编号],B1003)&lt;&gt;1,"组合编号无效",IF(COUNTIFS(FunctionMatrix[编号],E1003)=0,"功能编号无效",IF(H1003="不适用",IF(J1003="已实测","适用性冲突",IF(I1003="","待补不适用依据","不适用（非实测）")),IF(J1003="阻塞",IF(I1003="","待补阻塞原因","阻塞（非实测）"),IF(J1003&lt;&gt;"已实测",IF(F1003="","待展开路径","未实测"),IF(H1003&lt;&gt;"适用","待确认适用性",IF(INDEX(Equipment[登记状态（自动）],MATCH(B1003,Equipment[组合编号],0))&lt;&gt;"已登记","待补设备组合",IF(AND(F1003&lt;&gt;"",G1003&lt;&gt;"",K1003&lt;&gt;"",L1003&lt;&gt;"",M1003&lt;&gt;"",N1003&lt;&gt;"",ISNUMBER(O1003),O1003&gt;0,P1003&lt;&gt;""),"记录齐全","待补实测记录")))))))))))</x:f>
        <x:v>待展开路径</x:v>
      </x:c>
    </x:row>
    <x:row r="1004" ht="43.5" customHeight="1">
      <x:c r="A1004" s="20" t="str">
        <x:v>REC-00995</x:v>
      </x:c>
      <x:c r="B1004" s="20" t="str">
        <x:v>P2-B5-01</x:v>
      </x:c>
      <x:c r="C1004" s="30" t="str">
        <x:f>IF(B1004="","",IF(COUNTIFS(Equipment[组合编号],B1004)&lt;&gt;1,"组合编号无效",INDEX(Equipment[PLC组],MATCH(B1004,Equipment[组合编号],0))))</x:f>
        <x:v>汇川中大型</x:v>
      </x:c>
      <x:c r="D1004" s="30" t="str">
        <x:f>IF(B1004="","",IF(COUNTIFS(Equipment[组合编号],B1004)&lt;&gt;1,"组合编号无效",INDEX(Equipment[驱动品牌],MATCH(B1004,Equipment[组合编号],0))))</x:f>
        <x:v>KEBA（可选）</x:v>
      </x:c>
      <x:c r="E1004" s="20" t="str">
        <x:v>H04</x:v>
      </x:c>
      <x:c r="F1004" s="20"/>
      <x:c r="G1004" s="20"/>
      <x:c r="H1004" s="20" t="str">
        <x:v>待判定</x:v>
      </x:c>
      <x:c r="I1004" s="20"/>
      <x:c r="J1004" s="20" t="str">
        <x:v>未测试</x:v>
      </x:c>
      <x:c r="K1004" s="20"/>
      <x:c r="L1004" s="20"/>
      <x:c r="M1004" s="20"/>
      <x:c r="N1004" s="20"/>
      <x:c r="O1004" s="31"/>
      <x:c r="P1004" s="20"/>
      <x:c r="Q1004" s="20"/>
      <x:c r="R1004" s="20" t="str">
        <x:v>待展开</x:v>
      </x:c>
      <x:c r="S1004" s="20"/>
      <x:c r="T1004" s="31"/>
      <x:c r="U1004" s="30" t="str">
        <x:f>IF(A1004="","缺记录编号",IF(COUNTIFS(PathRecords[记录编号],A1004)&lt;&gt;1,"记录编号重复",IF(OR(B1004="",E1004=""),"缺组合/功能",IF(COUNTIFS(Equipment[组合编号],B1004)&lt;&gt;1,"组合编号无效",IF(COUNTIFS(FunctionMatrix[编号],E1004)=0,"功能编号无效",IF(H1004="不适用",IF(J1004="已实测","适用性冲突",IF(I1004="","待补不适用依据","不适用（非实测）")),IF(J1004="阻塞",IF(I1004="","待补阻塞原因","阻塞（非实测）"),IF(J1004&lt;&gt;"已实测",IF(F1004="","待展开路径","未实测"),IF(H1004&lt;&gt;"适用","待确认适用性",IF(INDEX(Equipment[登记状态（自动）],MATCH(B1004,Equipment[组合编号],0))&lt;&gt;"已登记","待补设备组合",IF(AND(F1004&lt;&gt;"",G1004&lt;&gt;"",K1004&lt;&gt;"",L1004&lt;&gt;"",M1004&lt;&gt;"",N1004&lt;&gt;"",ISNUMBER(O1004),O1004&gt;0,P1004&lt;&gt;""),"记录齐全","待补实测记录")))))))))))</x:f>
        <x:v>待展开路径</x:v>
      </x:c>
    </x:row>
    <x:row r="1005" ht="43.5" customHeight="1">
      <x:c r="A1005" s="20" t="str">
        <x:v>REC-00996</x:v>
      </x:c>
      <x:c r="B1005" s="20" t="str">
        <x:v>P2-B5-01</x:v>
      </x:c>
      <x:c r="C1005" s="30" t="str">
        <x:f>IF(B1005="","",IF(COUNTIFS(Equipment[组合编号],B1005)&lt;&gt;1,"组合编号无效",INDEX(Equipment[PLC组],MATCH(B1005,Equipment[组合编号],0))))</x:f>
        <x:v>汇川中大型</x:v>
      </x:c>
      <x:c r="D1005" s="30" t="str">
        <x:f>IF(B1005="","",IF(COUNTIFS(Equipment[组合编号],B1005)&lt;&gt;1,"组合编号无效",INDEX(Equipment[驱动品牌],MATCH(B1005,Equipment[组合编号],0))))</x:f>
        <x:v>KEBA（可选）</x:v>
      </x:c>
      <x:c r="E1005" s="20" t="str">
        <x:v>H05</x:v>
      </x:c>
      <x:c r="F1005" s="20"/>
      <x:c r="G1005" s="20"/>
      <x:c r="H1005" s="20" t="str">
        <x:v>待判定</x:v>
      </x:c>
      <x:c r="I1005" s="20"/>
      <x:c r="J1005" s="20" t="str">
        <x:v>未测试</x:v>
      </x:c>
      <x:c r="K1005" s="20"/>
      <x:c r="L1005" s="20"/>
      <x:c r="M1005" s="20"/>
      <x:c r="N1005" s="20"/>
      <x:c r="O1005" s="31"/>
      <x:c r="P1005" s="20"/>
      <x:c r="Q1005" s="20"/>
      <x:c r="R1005" s="20" t="str">
        <x:v>待展开</x:v>
      </x:c>
      <x:c r="S1005" s="20"/>
      <x:c r="T1005" s="31"/>
      <x:c r="U1005" s="30" t="str">
        <x:f>IF(A1005="","缺记录编号",IF(COUNTIFS(PathRecords[记录编号],A1005)&lt;&gt;1,"记录编号重复",IF(OR(B1005="",E1005=""),"缺组合/功能",IF(COUNTIFS(Equipment[组合编号],B1005)&lt;&gt;1,"组合编号无效",IF(COUNTIFS(FunctionMatrix[编号],E1005)=0,"功能编号无效",IF(H1005="不适用",IF(J1005="已实测","适用性冲突",IF(I1005="","待补不适用依据","不适用（非实测）")),IF(J1005="阻塞",IF(I1005="","待补阻塞原因","阻塞（非实测）"),IF(J1005&lt;&gt;"已实测",IF(F1005="","待展开路径","未实测"),IF(H1005&lt;&gt;"适用","待确认适用性",IF(INDEX(Equipment[登记状态（自动）],MATCH(B1005,Equipment[组合编号],0))&lt;&gt;"已登记","待补设备组合",IF(AND(F1005&lt;&gt;"",G1005&lt;&gt;"",K1005&lt;&gt;"",L1005&lt;&gt;"",M1005&lt;&gt;"",N1005&lt;&gt;"",ISNUMBER(O1005),O1005&gt;0,P1005&lt;&gt;""),"记录齐全","待补实测记录")))))))))))</x:f>
        <x:v>待展开路径</x:v>
      </x:c>
    </x:row>
    <x:row r="1006" ht="43.5" customHeight="1">
      <x:c r="A1006" s="20" t="str">
        <x:v>REC-00997</x:v>
      </x:c>
      <x:c r="B1006" s="20" t="str">
        <x:v>P2-B5-01</x:v>
      </x:c>
      <x:c r="C1006" s="30" t="str">
        <x:f>IF(B1006="","",IF(COUNTIFS(Equipment[组合编号],B1006)&lt;&gt;1,"组合编号无效",INDEX(Equipment[PLC组],MATCH(B1006,Equipment[组合编号],0))))</x:f>
        <x:v>汇川中大型</x:v>
      </x:c>
      <x:c r="D1006" s="30" t="str">
        <x:f>IF(B1006="","",IF(COUNTIFS(Equipment[组合编号],B1006)&lt;&gt;1,"组合编号无效",INDEX(Equipment[驱动品牌],MATCH(B1006,Equipment[组合编号],0))))</x:f>
        <x:v>KEBA（可选）</x:v>
      </x:c>
      <x:c r="E1006" s="20" t="str">
        <x:v>H06</x:v>
      </x:c>
      <x:c r="F1006" s="20"/>
      <x:c r="G1006" s="20"/>
      <x:c r="H1006" s="20" t="str">
        <x:v>待判定</x:v>
      </x:c>
      <x:c r="I1006" s="20"/>
      <x:c r="J1006" s="20" t="str">
        <x:v>未测试</x:v>
      </x:c>
      <x:c r="K1006" s="20"/>
      <x:c r="L1006" s="20"/>
      <x:c r="M1006" s="20"/>
      <x:c r="N1006" s="20"/>
      <x:c r="O1006" s="31"/>
      <x:c r="P1006" s="20"/>
      <x:c r="Q1006" s="20"/>
      <x:c r="R1006" s="20" t="str">
        <x:v>待展开</x:v>
      </x:c>
      <x:c r="S1006" s="20"/>
      <x:c r="T1006" s="31"/>
      <x:c r="U1006" s="30" t="str">
        <x:f>IF(A1006="","缺记录编号",IF(COUNTIFS(PathRecords[记录编号],A1006)&lt;&gt;1,"记录编号重复",IF(OR(B1006="",E1006=""),"缺组合/功能",IF(COUNTIFS(Equipment[组合编号],B1006)&lt;&gt;1,"组合编号无效",IF(COUNTIFS(FunctionMatrix[编号],E1006)=0,"功能编号无效",IF(H1006="不适用",IF(J1006="已实测","适用性冲突",IF(I1006="","待补不适用依据","不适用（非实测）")),IF(J1006="阻塞",IF(I1006="","待补阻塞原因","阻塞（非实测）"),IF(J1006&lt;&gt;"已实测",IF(F1006="","待展开路径","未实测"),IF(H1006&lt;&gt;"适用","待确认适用性",IF(INDEX(Equipment[登记状态（自动）],MATCH(B1006,Equipment[组合编号],0))&lt;&gt;"已登记","待补设备组合",IF(AND(F1006&lt;&gt;"",G1006&lt;&gt;"",K1006&lt;&gt;"",L1006&lt;&gt;"",M1006&lt;&gt;"",N1006&lt;&gt;"",ISNUMBER(O1006),O1006&gt;0,P1006&lt;&gt;""),"记录齐全","待补实测记录")))))))))))</x:f>
        <x:v>待展开路径</x:v>
      </x:c>
    </x:row>
    <x:row r="1007" ht="43.5" customHeight="1">
      <x:c r="A1007" s="20" t="str">
        <x:v>REC-00998</x:v>
      </x:c>
      <x:c r="B1007" s="20" t="str">
        <x:v>P2-B5-01</x:v>
      </x:c>
      <x:c r="C1007" s="30" t="str">
        <x:f>IF(B1007="","",IF(COUNTIFS(Equipment[组合编号],B1007)&lt;&gt;1,"组合编号无效",INDEX(Equipment[PLC组],MATCH(B1007,Equipment[组合编号],0))))</x:f>
        <x:v>汇川中大型</x:v>
      </x:c>
      <x:c r="D1007" s="30" t="str">
        <x:f>IF(B1007="","",IF(COUNTIFS(Equipment[组合编号],B1007)&lt;&gt;1,"组合编号无效",INDEX(Equipment[驱动品牌],MATCH(B1007,Equipment[组合编号],0))))</x:f>
        <x:v>KEBA（可选）</x:v>
      </x:c>
      <x:c r="E1007" s="20" t="str">
        <x:v>H07</x:v>
      </x:c>
      <x:c r="F1007" s="20"/>
      <x:c r="G1007" s="20"/>
      <x:c r="H1007" s="20" t="str">
        <x:v>待判定</x:v>
      </x:c>
      <x:c r="I1007" s="20"/>
      <x:c r="J1007" s="20" t="str">
        <x:v>未测试</x:v>
      </x:c>
      <x:c r="K1007" s="20"/>
      <x:c r="L1007" s="20"/>
      <x:c r="M1007" s="20"/>
      <x:c r="N1007" s="20"/>
      <x:c r="O1007" s="31"/>
      <x:c r="P1007" s="20"/>
      <x:c r="Q1007" s="20"/>
      <x:c r="R1007" s="20" t="str">
        <x:v>待展开</x:v>
      </x:c>
      <x:c r="S1007" s="20"/>
      <x:c r="T1007" s="31"/>
      <x:c r="U1007" s="30" t="str">
        <x:f>IF(A1007="","缺记录编号",IF(COUNTIFS(PathRecords[记录编号],A1007)&lt;&gt;1,"记录编号重复",IF(OR(B1007="",E1007=""),"缺组合/功能",IF(COUNTIFS(Equipment[组合编号],B1007)&lt;&gt;1,"组合编号无效",IF(COUNTIFS(FunctionMatrix[编号],E1007)=0,"功能编号无效",IF(H1007="不适用",IF(J1007="已实测","适用性冲突",IF(I1007="","待补不适用依据","不适用（非实测）")),IF(J1007="阻塞",IF(I1007="","待补阻塞原因","阻塞（非实测）"),IF(J1007&lt;&gt;"已实测",IF(F1007="","待展开路径","未实测"),IF(H1007&lt;&gt;"适用","待确认适用性",IF(INDEX(Equipment[登记状态（自动）],MATCH(B1007,Equipment[组合编号],0))&lt;&gt;"已登记","待补设备组合",IF(AND(F1007&lt;&gt;"",G1007&lt;&gt;"",K1007&lt;&gt;"",L1007&lt;&gt;"",M1007&lt;&gt;"",N1007&lt;&gt;"",ISNUMBER(O1007),O1007&gt;0,P1007&lt;&gt;""),"记录齐全","待补实测记录")))))))))))</x:f>
        <x:v>待展开路径</x:v>
      </x:c>
    </x:row>
    <x:row r="1008" ht="43.5" customHeight="1">
      <x:c r="A1008" s="20" t="str">
        <x:v>REC-00999</x:v>
      </x:c>
      <x:c r="B1008" s="20" t="str">
        <x:v>P2-B5-01</x:v>
      </x:c>
      <x:c r="C1008" s="30" t="str">
        <x:f>IF(B1008="","",IF(COUNTIFS(Equipment[组合编号],B1008)&lt;&gt;1,"组合编号无效",INDEX(Equipment[PLC组],MATCH(B1008,Equipment[组合编号],0))))</x:f>
        <x:v>汇川中大型</x:v>
      </x:c>
      <x:c r="D1008" s="30" t="str">
        <x:f>IF(B1008="","",IF(COUNTIFS(Equipment[组合编号],B1008)&lt;&gt;1,"组合编号无效",INDEX(Equipment[驱动品牌],MATCH(B1008,Equipment[组合编号],0))))</x:f>
        <x:v>KEBA（可选）</x:v>
      </x:c>
      <x:c r="E1008" s="20" t="str">
        <x:v>H08</x:v>
      </x:c>
      <x:c r="F1008" s="20"/>
      <x:c r="G1008" s="20"/>
      <x:c r="H1008" s="20" t="str">
        <x:v>待判定</x:v>
      </x:c>
      <x:c r="I1008" s="20"/>
      <x:c r="J1008" s="20" t="str">
        <x:v>未测试</x:v>
      </x:c>
      <x:c r="K1008" s="20"/>
      <x:c r="L1008" s="20"/>
      <x:c r="M1008" s="20"/>
      <x:c r="N1008" s="20"/>
      <x:c r="O1008" s="31"/>
      <x:c r="P1008" s="20"/>
      <x:c r="Q1008" s="20"/>
      <x:c r="R1008" s="20" t="str">
        <x:v>待展开</x:v>
      </x:c>
      <x:c r="S1008" s="20"/>
      <x:c r="T1008" s="31"/>
      <x:c r="U1008" s="30" t="str">
        <x:f>IF(A1008="","缺记录编号",IF(COUNTIFS(PathRecords[记录编号],A1008)&lt;&gt;1,"记录编号重复",IF(OR(B1008="",E1008=""),"缺组合/功能",IF(COUNTIFS(Equipment[组合编号],B1008)&lt;&gt;1,"组合编号无效",IF(COUNTIFS(FunctionMatrix[编号],E1008)=0,"功能编号无效",IF(H1008="不适用",IF(J1008="已实测","适用性冲突",IF(I1008="","待补不适用依据","不适用（非实测）")),IF(J1008="阻塞",IF(I1008="","待补阻塞原因","阻塞（非实测）"),IF(J1008&lt;&gt;"已实测",IF(F1008="","待展开路径","未实测"),IF(H1008&lt;&gt;"适用","待确认适用性",IF(INDEX(Equipment[登记状态（自动）],MATCH(B1008,Equipment[组合编号],0))&lt;&gt;"已登记","待补设备组合",IF(AND(F1008&lt;&gt;"",G1008&lt;&gt;"",K1008&lt;&gt;"",L1008&lt;&gt;"",M1008&lt;&gt;"",N1008&lt;&gt;"",ISNUMBER(O1008),O1008&gt;0,P1008&lt;&gt;""),"记录齐全","待补实测记录")))))))))))</x:f>
        <x:v>待展开路径</x:v>
      </x:c>
    </x:row>
    <x:row r="1009" ht="43.5" customHeight="1">
      <x:c r="A1009" s="20" t="str">
        <x:v>REC-01000</x:v>
      </x:c>
      <x:c r="B1009" s="20" t="str">
        <x:v>P2-B5-01</x:v>
      </x:c>
      <x:c r="C1009" s="30" t="str">
        <x:f>IF(B1009="","",IF(COUNTIFS(Equipment[组合编号],B1009)&lt;&gt;1,"组合编号无效",INDEX(Equipment[PLC组],MATCH(B1009,Equipment[组合编号],0))))</x:f>
        <x:v>汇川中大型</x:v>
      </x:c>
      <x:c r="D1009" s="30" t="str">
        <x:f>IF(B1009="","",IF(COUNTIFS(Equipment[组合编号],B1009)&lt;&gt;1,"组合编号无效",INDEX(Equipment[驱动品牌],MATCH(B1009,Equipment[组合编号],0))))</x:f>
        <x:v>KEBA（可选）</x:v>
      </x:c>
      <x:c r="E1009" s="20" t="str">
        <x:v>H09</x:v>
      </x:c>
      <x:c r="F1009" s="20"/>
      <x:c r="G1009" s="20"/>
      <x:c r="H1009" s="20" t="str">
        <x:v>待判定</x:v>
      </x:c>
      <x:c r="I1009" s="20"/>
      <x:c r="J1009" s="20" t="str">
        <x:v>未测试</x:v>
      </x:c>
      <x:c r="K1009" s="20"/>
      <x:c r="L1009" s="20"/>
      <x:c r="M1009" s="20"/>
      <x:c r="N1009" s="20"/>
      <x:c r="O1009" s="31"/>
      <x:c r="P1009" s="20"/>
      <x:c r="Q1009" s="20"/>
      <x:c r="R1009" s="20" t="str">
        <x:v>待展开</x:v>
      </x:c>
      <x:c r="S1009" s="20"/>
      <x:c r="T1009" s="31"/>
      <x:c r="U1009" s="30" t="str">
        <x:f>IF(A1009="","缺记录编号",IF(COUNTIFS(PathRecords[记录编号],A1009)&lt;&gt;1,"记录编号重复",IF(OR(B1009="",E1009=""),"缺组合/功能",IF(COUNTIFS(Equipment[组合编号],B1009)&lt;&gt;1,"组合编号无效",IF(COUNTIFS(FunctionMatrix[编号],E1009)=0,"功能编号无效",IF(H1009="不适用",IF(J1009="已实测","适用性冲突",IF(I1009="","待补不适用依据","不适用（非实测）")),IF(J1009="阻塞",IF(I1009="","待补阻塞原因","阻塞（非实测）"),IF(J1009&lt;&gt;"已实测",IF(F1009="","待展开路径","未实测"),IF(H1009&lt;&gt;"适用","待确认适用性",IF(INDEX(Equipment[登记状态（自动）],MATCH(B1009,Equipment[组合编号],0))&lt;&gt;"已登记","待补设备组合",IF(AND(F1009&lt;&gt;"",G1009&lt;&gt;"",K1009&lt;&gt;"",L1009&lt;&gt;"",M1009&lt;&gt;"",N1009&lt;&gt;"",ISNUMBER(O1009),O1009&gt;0,P1009&lt;&gt;""),"记录齐全","待补实测记录")))))))))))</x:f>
        <x:v>待展开路径</x:v>
      </x:c>
    </x:row>
    <x:row r="1010" ht="43.5" customHeight="1">
      <x:c r="A1010" s="20" t="str">
        <x:v>REC-01001</x:v>
      </x:c>
      <x:c r="B1010" s="20" t="str">
        <x:v>P2-B5-01</x:v>
      </x:c>
      <x:c r="C1010" s="30" t="str">
        <x:f>IF(B1010="","",IF(COUNTIFS(Equipment[组合编号],B1010)&lt;&gt;1,"组合编号无效",INDEX(Equipment[PLC组],MATCH(B1010,Equipment[组合编号],0))))</x:f>
        <x:v>汇川中大型</x:v>
      </x:c>
      <x:c r="D1010" s="30" t="str">
        <x:f>IF(B1010="","",IF(COUNTIFS(Equipment[组合编号],B1010)&lt;&gt;1,"组合编号无效",INDEX(Equipment[驱动品牌],MATCH(B1010,Equipment[组合编号],0))))</x:f>
        <x:v>KEBA（可选）</x:v>
      </x:c>
      <x:c r="E1010" s="20" t="str">
        <x:v>H10</x:v>
      </x:c>
      <x:c r="F1010" s="20"/>
      <x:c r="G1010" s="20"/>
      <x:c r="H1010" s="20" t="str">
        <x:v>待判定</x:v>
      </x:c>
      <x:c r="I1010" s="20"/>
      <x:c r="J1010" s="20" t="str">
        <x:v>未测试</x:v>
      </x:c>
      <x:c r="K1010" s="20"/>
      <x:c r="L1010" s="20"/>
      <x:c r="M1010" s="20"/>
      <x:c r="N1010" s="20"/>
      <x:c r="O1010" s="31"/>
      <x:c r="P1010" s="20"/>
      <x:c r="Q1010" s="20"/>
      <x:c r="R1010" s="20" t="str">
        <x:v>待展开</x:v>
      </x:c>
      <x:c r="S1010" s="20"/>
      <x:c r="T1010" s="31"/>
      <x:c r="U1010" s="30" t="str">
        <x:f>IF(A1010="","缺记录编号",IF(COUNTIFS(PathRecords[记录编号],A1010)&lt;&gt;1,"记录编号重复",IF(OR(B1010="",E1010=""),"缺组合/功能",IF(COUNTIFS(Equipment[组合编号],B1010)&lt;&gt;1,"组合编号无效",IF(COUNTIFS(FunctionMatrix[编号],E1010)=0,"功能编号无效",IF(H1010="不适用",IF(J1010="已实测","适用性冲突",IF(I1010="","待补不适用依据","不适用（非实测）")),IF(J1010="阻塞",IF(I1010="","待补阻塞原因","阻塞（非实测）"),IF(J1010&lt;&gt;"已实测",IF(F1010="","待展开路径","未实测"),IF(H1010&lt;&gt;"适用","待确认适用性",IF(INDEX(Equipment[登记状态（自动）],MATCH(B1010,Equipment[组合编号],0))&lt;&gt;"已登记","待补设备组合",IF(AND(F1010&lt;&gt;"",G1010&lt;&gt;"",K1010&lt;&gt;"",L1010&lt;&gt;"",M1010&lt;&gt;"",N1010&lt;&gt;"",ISNUMBER(O1010),O1010&gt;0,P1010&lt;&gt;""),"记录齐全","待补实测记录")))))))))))</x:f>
        <x:v>待展开路径</x:v>
      </x:c>
    </x:row>
    <x:row r="1011" ht="43.5" customHeight="1">
      <x:c r="A1011" s="20" t="str">
        <x:v>REC-01002</x:v>
      </x:c>
      <x:c r="B1011" s="20" t="str">
        <x:v>P2-B5-01</x:v>
      </x:c>
      <x:c r="C1011" s="30" t="str">
        <x:f>IF(B1011="","",IF(COUNTIFS(Equipment[组合编号],B1011)&lt;&gt;1,"组合编号无效",INDEX(Equipment[PLC组],MATCH(B1011,Equipment[组合编号],0))))</x:f>
        <x:v>汇川中大型</x:v>
      </x:c>
      <x:c r="D1011" s="30" t="str">
        <x:f>IF(B1011="","",IF(COUNTIFS(Equipment[组合编号],B1011)&lt;&gt;1,"组合编号无效",INDEX(Equipment[驱动品牌],MATCH(B1011,Equipment[组合编号],0))))</x:f>
        <x:v>KEBA（可选）</x:v>
      </x:c>
      <x:c r="E1011" s="20" t="str">
        <x:v>H11</x:v>
      </x:c>
      <x:c r="F1011" s="20"/>
      <x:c r="G1011" s="20"/>
      <x:c r="H1011" s="20" t="str">
        <x:v>待判定</x:v>
      </x:c>
      <x:c r="I1011" s="20"/>
      <x:c r="J1011" s="20" t="str">
        <x:v>未测试</x:v>
      </x:c>
      <x:c r="K1011" s="20"/>
      <x:c r="L1011" s="20"/>
      <x:c r="M1011" s="20"/>
      <x:c r="N1011" s="20"/>
      <x:c r="O1011" s="31"/>
      <x:c r="P1011" s="20"/>
      <x:c r="Q1011" s="20"/>
      <x:c r="R1011" s="20" t="str">
        <x:v>待展开</x:v>
      </x:c>
      <x:c r="S1011" s="20"/>
      <x:c r="T1011" s="31"/>
      <x:c r="U1011" s="30" t="str">
        <x:f>IF(A1011="","缺记录编号",IF(COUNTIFS(PathRecords[记录编号],A1011)&lt;&gt;1,"记录编号重复",IF(OR(B1011="",E1011=""),"缺组合/功能",IF(COUNTIFS(Equipment[组合编号],B1011)&lt;&gt;1,"组合编号无效",IF(COUNTIFS(FunctionMatrix[编号],E1011)=0,"功能编号无效",IF(H1011="不适用",IF(J1011="已实测","适用性冲突",IF(I1011="","待补不适用依据","不适用（非实测）")),IF(J1011="阻塞",IF(I1011="","待补阻塞原因","阻塞（非实测）"),IF(J1011&lt;&gt;"已实测",IF(F1011="","待展开路径","未实测"),IF(H1011&lt;&gt;"适用","待确认适用性",IF(INDEX(Equipment[登记状态（自动）],MATCH(B1011,Equipment[组合编号],0))&lt;&gt;"已登记","待补设备组合",IF(AND(F1011&lt;&gt;"",G1011&lt;&gt;"",K1011&lt;&gt;"",L1011&lt;&gt;"",M1011&lt;&gt;"",N1011&lt;&gt;"",ISNUMBER(O1011),O1011&gt;0,P1011&lt;&gt;""),"记录齐全","待补实测记录")))))))))))</x:f>
        <x:v>待展开路径</x:v>
      </x:c>
    </x:row>
    <x:row r="1012" ht="43.5" customHeight="1">
      <x:c r="A1012" s="20" t="str">
        <x:v>REC-01003</x:v>
      </x:c>
      <x:c r="B1012" s="20" t="str">
        <x:v>P2-B5-01</x:v>
      </x:c>
      <x:c r="C1012" s="30" t="str">
        <x:f>IF(B1012="","",IF(COUNTIFS(Equipment[组合编号],B1012)&lt;&gt;1,"组合编号无效",INDEX(Equipment[PLC组],MATCH(B1012,Equipment[组合编号],0))))</x:f>
        <x:v>汇川中大型</x:v>
      </x:c>
      <x:c r="D1012" s="30" t="str">
        <x:f>IF(B1012="","",IF(COUNTIFS(Equipment[组合编号],B1012)&lt;&gt;1,"组合编号无效",INDEX(Equipment[驱动品牌],MATCH(B1012,Equipment[组合编号],0))))</x:f>
        <x:v>KEBA（可选）</x:v>
      </x:c>
      <x:c r="E1012" s="20" t="str">
        <x:v>N01</x:v>
      </x:c>
      <x:c r="F1012" s="20"/>
      <x:c r="G1012" s="20"/>
      <x:c r="H1012" s="20" t="str">
        <x:v>待判定</x:v>
      </x:c>
      <x:c r="I1012" s="20"/>
      <x:c r="J1012" s="20" t="str">
        <x:v>未测试</x:v>
      </x:c>
      <x:c r="K1012" s="20"/>
      <x:c r="L1012" s="20"/>
      <x:c r="M1012" s="20"/>
      <x:c r="N1012" s="20"/>
      <x:c r="O1012" s="31"/>
      <x:c r="P1012" s="20"/>
      <x:c r="Q1012" s="20"/>
      <x:c r="R1012" s="20" t="str">
        <x:v>待展开</x:v>
      </x:c>
      <x:c r="S1012" s="20"/>
      <x:c r="T1012" s="31"/>
      <x:c r="U1012" s="30" t="str">
        <x:f>IF(A1012="","缺记录编号",IF(COUNTIFS(PathRecords[记录编号],A1012)&lt;&gt;1,"记录编号重复",IF(OR(B1012="",E1012=""),"缺组合/功能",IF(COUNTIFS(Equipment[组合编号],B1012)&lt;&gt;1,"组合编号无效",IF(COUNTIFS(FunctionMatrix[编号],E1012)=0,"功能编号无效",IF(H1012="不适用",IF(J1012="已实测","适用性冲突",IF(I1012="","待补不适用依据","不适用（非实测）")),IF(J1012="阻塞",IF(I1012="","待补阻塞原因","阻塞（非实测）"),IF(J1012&lt;&gt;"已实测",IF(F1012="","待展开路径","未实测"),IF(H1012&lt;&gt;"适用","待确认适用性",IF(INDEX(Equipment[登记状态（自动）],MATCH(B1012,Equipment[组合编号],0))&lt;&gt;"已登记","待补设备组合",IF(AND(F1012&lt;&gt;"",G1012&lt;&gt;"",K1012&lt;&gt;"",L1012&lt;&gt;"",M1012&lt;&gt;"",N1012&lt;&gt;"",ISNUMBER(O1012),O1012&gt;0,P1012&lt;&gt;""),"记录齐全","待补实测记录")))))))))))</x:f>
        <x:v>待展开路径</x:v>
      </x:c>
    </x:row>
    <x:row r="1013" ht="43.5" customHeight="1">
      <x:c r="A1013" s="20" t="str">
        <x:v>REC-01004</x:v>
      </x:c>
      <x:c r="B1013" s="20" t="str">
        <x:v>P2-B5-01</x:v>
      </x:c>
      <x:c r="C1013" s="30" t="str">
        <x:f>IF(B1013="","",IF(COUNTIFS(Equipment[组合编号],B1013)&lt;&gt;1,"组合编号无效",INDEX(Equipment[PLC组],MATCH(B1013,Equipment[组合编号],0))))</x:f>
        <x:v>汇川中大型</x:v>
      </x:c>
      <x:c r="D1013" s="30" t="str">
        <x:f>IF(B1013="","",IF(COUNTIFS(Equipment[组合编号],B1013)&lt;&gt;1,"组合编号无效",INDEX(Equipment[驱动品牌],MATCH(B1013,Equipment[组合编号],0))))</x:f>
        <x:v>KEBA（可选）</x:v>
      </x:c>
      <x:c r="E1013" s="20" t="str">
        <x:v>N02</x:v>
      </x:c>
      <x:c r="F1013" s="20"/>
      <x:c r="G1013" s="20"/>
      <x:c r="H1013" s="20" t="str">
        <x:v>待判定</x:v>
      </x:c>
      <x:c r="I1013" s="20"/>
      <x:c r="J1013" s="20" t="str">
        <x:v>未测试</x:v>
      </x:c>
      <x:c r="K1013" s="20"/>
      <x:c r="L1013" s="20"/>
      <x:c r="M1013" s="20"/>
      <x:c r="N1013" s="20"/>
      <x:c r="O1013" s="31"/>
      <x:c r="P1013" s="20"/>
      <x:c r="Q1013" s="20"/>
      <x:c r="R1013" s="20" t="str">
        <x:v>待展开</x:v>
      </x:c>
      <x:c r="S1013" s="20"/>
      <x:c r="T1013" s="31"/>
      <x:c r="U1013" s="30" t="str">
        <x:f>IF(A1013="","缺记录编号",IF(COUNTIFS(PathRecords[记录编号],A1013)&lt;&gt;1,"记录编号重复",IF(OR(B1013="",E1013=""),"缺组合/功能",IF(COUNTIFS(Equipment[组合编号],B1013)&lt;&gt;1,"组合编号无效",IF(COUNTIFS(FunctionMatrix[编号],E1013)=0,"功能编号无效",IF(H1013="不适用",IF(J1013="已实测","适用性冲突",IF(I1013="","待补不适用依据","不适用（非实测）")),IF(J1013="阻塞",IF(I1013="","待补阻塞原因","阻塞（非实测）"),IF(J1013&lt;&gt;"已实测",IF(F1013="","待展开路径","未实测"),IF(H1013&lt;&gt;"适用","待确认适用性",IF(INDEX(Equipment[登记状态（自动）],MATCH(B1013,Equipment[组合编号],0))&lt;&gt;"已登记","待补设备组合",IF(AND(F1013&lt;&gt;"",G1013&lt;&gt;"",K1013&lt;&gt;"",L1013&lt;&gt;"",M1013&lt;&gt;"",N1013&lt;&gt;"",ISNUMBER(O1013),O1013&gt;0,P1013&lt;&gt;""),"记录齐全","待补实测记录")))))))))))</x:f>
        <x:v>待展开路径</x:v>
      </x:c>
    </x:row>
    <x:row r="1014" ht="43.5" customHeight="1">
      <x:c r="A1014" s="20" t="str">
        <x:v>REC-01005</x:v>
      </x:c>
      <x:c r="B1014" s="20" t="str">
        <x:v>P2-B5-01</x:v>
      </x:c>
      <x:c r="C1014" s="30" t="str">
        <x:f>IF(B1014="","",IF(COUNTIFS(Equipment[组合编号],B1014)&lt;&gt;1,"组合编号无效",INDEX(Equipment[PLC组],MATCH(B1014,Equipment[组合编号],0))))</x:f>
        <x:v>汇川中大型</x:v>
      </x:c>
      <x:c r="D1014" s="30" t="str">
        <x:f>IF(B1014="","",IF(COUNTIFS(Equipment[组合编号],B1014)&lt;&gt;1,"组合编号无效",INDEX(Equipment[驱动品牌],MATCH(B1014,Equipment[组合编号],0))))</x:f>
        <x:v>KEBA（可选）</x:v>
      </x:c>
      <x:c r="E1014" s="20" t="str">
        <x:v>N03</x:v>
      </x:c>
      <x:c r="F1014" s="20"/>
      <x:c r="G1014" s="20"/>
      <x:c r="H1014" s="20" t="str">
        <x:v>待判定</x:v>
      </x:c>
      <x:c r="I1014" s="20"/>
      <x:c r="J1014" s="20" t="str">
        <x:v>未测试</x:v>
      </x:c>
      <x:c r="K1014" s="20"/>
      <x:c r="L1014" s="20"/>
      <x:c r="M1014" s="20"/>
      <x:c r="N1014" s="20"/>
      <x:c r="O1014" s="31"/>
      <x:c r="P1014" s="20"/>
      <x:c r="Q1014" s="20"/>
      <x:c r="R1014" s="20" t="str">
        <x:v>待展开</x:v>
      </x:c>
      <x:c r="S1014" s="20"/>
      <x:c r="T1014" s="31"/>
      <x:c r="U1014" s="30" t="str">
        <x:f>IF(A1014="","缺记录编号",IF(COUNTIFS(PathRecords[记录编号],A1014)&lt;&gt;1,"记录编号重复",IF(OR(B1014="",E1014=""),"缺组合/功能",IF(COUNTIFS(Equipment[组合编号],B1014)&lt;&gt;1,"组合编号无效",IF(COUNTIFS(FunctionMatrix[编号],E1014)=0,"功能编号无效",IF(H1014="不适用",IF(J1014="已实测","适用性冲突",IF(I1014="","待补不适用依据","不适用（非实测）")),IF(J1014="阻塞",IF(I1014="","待补阻塞原因","阻塞（非实测）"),IF(J1014&lt;&gt;"已实测",IF(F1014="","待展开路径","未实测"),IF(H1014&lt;&gt;"适用","待确认适用性",IF(INDEX(Equipment[登记状态（自动）],MATCH(B1014,Equipment[组合编号],0))&lt;&gt;"已登记","待补设备组合",IF(AND(F1014&lt;&gt;"",G1014&lt;&gt;"",K1014&lt;&gt;"",L1014&lt;&gt;"",M1014&lt;&gt;"",N1014&lt;&gt;"",ISNUMBER(O1014),O1014&gt;0,P1014&lt;&gt;""),"记录齐全","待补实测记录")))))))))))</x:f>
        <x:v>待展开路径</x:v>
      </x:c>
    </x:row>
    <x:row r="1015" ht="43.5" customHeight="1">
      <x:c r="A1015" s="20" t="str">
        <x:v>REC-01006</x:v>
      </x:c>
      <x:c r="B1015" s="20" t="str">
        <x:v>P2-B5-01</x:v>
      </x:c>
      <x:c r="C1015" s="30" t="str">
        <x:f>IF(B1015="","",IF(COUNTIFS(Equipment[组合编号],B1015)&lt;&gt;1,"组合编号无效",INDEX(Equipment[PLC组],MATCH(B1015,Equipment[组合编号],0))))</x:f>
        <x:v>汇川中大型</x:v>
      </x:c>
      <x:c r="D1015" s="30" t="str">
        <x:f>IF(B1015="","",IF(COUNTIFS(Equipment[组合编号],B1015)&lt;&gt;1,"组合编号无效",INDEX(Equipment[驱动品牌],MATCH(B1015,Equipment[组合编号],0))))</x:f>
        <x:v>KEBA（可选）</x:v>
      </x:c>
      <x:c r="E1015" s="20" t="str">
        <x:v>N04</x:v>
      </x:c>
      <x:c r="F1015" s="20"/>
      <x:c r="G1015" s="20"/>
      <x:c r="H1015" s="20" t="str">
        <x:v>待判定</x:v>
      </x:c>
      <x:c r="I1015" s="20"/>
      <x:c r="J1015" s="20" t="str">
        <x:v>未测试</x:v>
      </x:c>
      <x:c r="K1015" s="20"/>
      <x:c r="L1015" s="20"/>
      <x:c r="M1015" s="20"/>
      <x:c r="N1015" s="20"/>
      <x:c r="O1015" s="31"/>
      <x:c r="P1015" s="20"/>
      <x:c r="Q1015" s="20"/>
      <x:c r="R1015" s="20" t="str">
        <x:v>待展开</x:v>
      </x:c>
      <x:c r="S1015" s="20"/>
      <x:c r="T1015" s="31"/>
      <x:c r="U1015" s="30" t="str">
        <x:f>IF(A1015="","缺记录编号",IF(COUNTIFS(PathRecords[记录编号],A1015)&lt;&gt;1,"记录编号重复",IF(OR(B1015="",E1015=""),"缺组合/功能",IF(COUNTIFS(Equipment[组合编号],B1015)&lt;&gt;1,"组合编号无效",IF(COUNTIFS(FunctionMatrix[编号],E1015)=0,"功能编号无效",IF(H1015="不适用",IF(J1015="已实测","适用性冲突",IF(I1015="","待补不适用依据","不适用（非实测）")),IF(J1015="阻塞",IF(I1015="","待补阻塞原因","阻塞（非实测）"),IF(J1015&lt;&gt;"已实测",IF(F1015="","待展开路径","未实测"),IF(H1015&lt;&gt;"适用","待确认适用性",IF(INDEX(Equipment[登记状态（自动）],MATCH(B1015,Equipment[组合编号],0))&lt;&gt;"已登记","待补设备组合",IF(AND(F1015&lt;&gt;"",G1015&lt;&gt;"",K1015&lt;&gt;"",L1015&lt;&gt;"",M1015&lt;&gt;"",N1015&lt;&gt;"",ISNUMBER(O1015),O1015&gt;0,P1015&lt;&gt;""),"记录齐全","待补实测记录")))))))))))</x:f>
        <x:v>待展开路径</x:v>
      </x:c>
    </x:row>
    <x:row r="1016" ht="43.5" customHeight="1">
      <x:c r="A1016" s="20" t="str">
        <x:v>REC-01007</x:v>
      </x:c>
      <x:c r="B1016" s="20" t="str">
        <x:v>P2-B5-01</x:v>
      </x:c>
      <x:c r="C1016" s="30" t="str">
        <x:f>IF(B1016="","",IF(COUNTIFS(Equipment[组合编号],B1016)&lt;&gt;1,"组合编号无效",INDEX(Equipment[PLC组],MATCH(B1016,Equipment[组合编号],0))))</x:f>
        <x:v>汇川中大型</x:v>
      </x:c>
      <x:c r="D1016" s="30" t="str">
        <x:f>IF(B1016="","",IF(COUNTIFS(Equipment[组合编号],B1016)&lt;&gt;1,"组合编号无效",INDEX(Equipment[驱动品牌],MATCH(B1016,Equipment[组合编号],0))))</x:f>
        <x:v>KEBA（可选）</x:v>
      </x:c>
      <x:c r="E1016" s="20" t="str">
        <x:v>N05</x:v>
      </x:c>
      <x:c r="F1016" s="20"/>
      <x:c r="G1016" s="20"/>
      <x:c r="H1016" s="20" t="str">
        <x:v>待判定</x:v>
      </x:c>
      <x:c r="I1016" s="20"/>
      <x:c r="J1016" s="20" t="str">
        <x:v>未测试</x:v>
      </x:c>
      <x:c r="K1016" s="20"/>
      <x:c r="L1016" s="20"/>
      <x:c r="M1016" s="20"/>
      <x:c r="N1016" s="20"/>
      <x:c r="O1016" s="31"/>
      <x:c r="P1016" s="20"/>
      <x:c r="Q1016" s="20"/>
      <x:c r="R1016" s="20" t="str">
        <x:v>待展开</x:v>
      </x:c>
      <x:c r="S1016" s="20"/>
      <x:c r="T1016" s="31"/>
      <x:c r="U1016" s="30" t="str">
        <x:f>IF(A1016="","缺记录编号",IF(COUNTIFS(PathRecords[记录编号],A1016)&lt;&gt;1,"记录编号重复",IF(OR(B1016="",E1016=""),"缺组合/功能",IF(COUNTIFS(Equipment[组合编号],B1016)&lt;&gt;1,"组合编号无效",IF(COUNTIFS(FunctionMatrix[编号],E1016)=0,"功能编号无效",IF(H1016="不适用",IF(J1016="已实测","适用性冲突",IF(I1016="","待补不适用依据","不适用（非实测）")),IF(J1016="阻塞",IF(I1016="","待补阻塞原因","阻塞（非实测）"),IF(J1016&lt;&gt;"已实测",IF(F1016="","待展开路径","未实测"),IF(H1016&lt;&gt;"适用","待确认适用性",IF(INDEX(Equipment[登记状态（自动）],MATCH(B1016,Equipment[组合编号],0))&lt;&gt;"已登记","待补设备组合",IF(AND(F1016&lt;&gt;"",G1016&lt;&gt;"",K1016&lt;&gt;"",L1016&lt;&gt;"",M1016&lt;&gt;"",N1016&lt;&gt;"",ISNUMBER(O1016),O1016&gt;0,P1016&lt;&gt;""),"记录齐全","待补实测记录")))))))))))</x:f>
        <x:v>待展开路径</x:v>
      </x:c>
    </x:row>
    <x:row r="1017" ht="43.5" customHeight="1">
      <x:c r="A1017" s="20" t="str">
        <x:v>REC-01008</x:v>
      </x:c>
      <x:c r="B1017" s="20" t="str">
        <x:v>P2-B5-01</x:v>
      </x:c>
      <x:c r="C1017" s="30" t="str">
        <x:f>IF(B1017="","",IF(COUNTIFS(Equipment[组合编号],B1017)&lt;&gt;1,"组合编号无效",INDEX(Equipment[PLC组],MATCH(B1017,Equipment[组合编号],0))))</x:f>
        <x:v>汇川中大型</x:v>
      </x:c>
      <x:c r="D1017" s="30" t="str">
        <x:f>IF(B1017="","",IF(COUNTIFS(Equipment[组合编号],B1017)&lt;&gt;1,"组合编号无效",INDEX(Equipment[驱动品牌],MATCH(B1017,Equipment[组合编号],0))))</x:f>
        <x:v>KEBA（可选）</x:v>
      </x:c>
      <x:c r="E1017" s="20" t="str">
        <x:v>N06</x:v>
      </x:c>
      <x:c r="F1017" s="20"/>
      <x:c r="G1017" s="20"/>
      <x:c r="H1017" s="20" t="str">
        <x:v>待判定</x:v>
      </x:c>
      <x:c r="I1017" s="20"/>
      <x:c r="J1017" s="20" t="str">
        <x:v>未测试</x:v>
      </x:c>
      <x:c r="K1017" s="20"/>
      <x:c r="L1017" s="20"/>
      <x:c r="M1017" s="20"/>
      <x:c r="N1017" s="20"/>
      <x:c r="O1017" s="31"/>
      <x:c r="P1017" s="20"/>
      <x:c r="Q1017" s="20"/>
      <x:c r="R1017" s="20" t="str">
        <x:v>待展开</x:v>
      </x:c>
      <x:c r="S1017" s="20"/>
      <x:c r="T1017" s="31"/>
      <x:c r="U1017" s="30" t="str">
        <x:f>IF(A1017="","缺记录编号",IF(COUNTIFS(PathRecords[记录编号],A1017)&lt;&gt;1,"记录编号重复",IF(OR(B1017="",E1017=""),"缺组合/功能",IF(COUNTIFS(Equipment[组合编号],B1017)&lt;&gt;1,"组合编号无效",IF(COUNTIFS(FunctionMatrix[编号],E1017)=0,"功能编号无效",IF(H1017="不适用",IF(J1017="已实测","适用性冲突",IF(I1017="","待补不适用依据","不适用（非实测）")),IF(J1017="阻塞",IF(I1017="","待补阻塞原因","阻塞（非实测）"),IF(J1017&lt;&gt;"已实测",IF(F1017="","待展开路径","未实测"),IF(H1017&lt;&gt;"适用","待确认适用性",IF(INDEX(Equipment[登记状态（自动）],MATCH(B1017,Equipment[组合编号],0))&lt;&gt;"已登记","待补设备组合",IF(AND(F1017&lt;&gt;"",G1017&lt;&gt;"",K1017&lt;&gt;"",L1017&lt;&gt;"",M1017&lt;&gt;"",N1017&lt;&gt;"",ISNUMBER(O1017),O1017&gt;0,P1017&lt;&gt;""),"记录齐全","待补实测记录")))))))))))</x:f>
        <x:v>待展开路径</x:v>
      </x:c>
    </x:row>
    <x:row r="1018" ht="43.5" customHeight="1">
      <x:c r="A1018" s="20" t="str">
        <x:v>REC-01009</x:v>
      </x:c>
      <x:c r="B1018" s="20" t="str">
        <x:v>P2-B5-01</x:v>
      </x:c>
      <x:c r="C1018" s="30" t="str">
        <x:f>IF(B1018="","",IF(COUNTIFS(Equipment[组合编号],B1018)&lt;&gt;1,"组合编号无效",INDEX(Equipment[PLC组],MATCH(B1018,Equipment[组合编号],0))))</x:f>
        <x:v>汇川中大型</x:v>
      </x:c>
      <x:c r="D1018" s="30" t="str">
        <x:f>IF(B1018="","",IF(COUNTIFS(Equipment[组合编号],B1018)&lt;&gt;1,"组合编号无效",INDEX(Equipment[驱动品牌],MATCH(B1018,Equipment[组合编号],0))))</x:f>
        <x:v>KEBA（可选）</x:v>
      </x:c>
      <x:c r="E1018" s="20" t="str">
        <x:v>N07</x:v>
      </x:c>
      <x:c r="F1018" s="20"/>
      <x:c r="G1018" s="20"/>
      <x:c r="H1018" s="20" t="str">
        <x:v>待判定</x:v>
      </x:c>
      <x:c r="I1018" s="20"/>
      <x:c r="J1018" s="20" t="str">
        <x:v>未测试</x:v>
      </x:c>
      <x:c r="K1018" s="20"/>
      <x:c r="L1018" s="20"/>
      <x:c r="M1018" s="20"/>
      <x:c r="N1018" s="20"/>
      <x:c r="O1018" s="31"/>
      <x:c r="P1018" s="20"/>
      <x:c r="Q1018" s="20"/>
      <x:c r="R1018" s="20" t="str">
        <x:v>待展开</x:v>
      </x:c>
      <x:c r="S1018" s="20"/>
      <x:c r="T1018" s="31"/>
      <x:c r="U1018" s="30" t="str">
        <x:f>IF(A1018="","缺记录编号",IF(COUNTIFS(PathRecords[记录编号],A1018)&lt;&gt;1,"记录编号重复",IF(OR(B1018="",E1018=""),"缺组合/功能",IF(COUNTIFS(Equipment[组合编号],B1018)&lt;&gt;1,"组合编号无效",IF(COUNTIFS(FunctionMatrix[编号],E1018)=0,"功能编号无效",IF(H1018="不适用",IF(J1018="已实测","适用性冲突",IF(I1018="","待补不适用依据","不适用（非实测）")),IF(J1018="阻塞",IF(I1018="","待补阻塞原因","阻塞（非实测）"),IF(J1018&lt;&gt;"已实测",IF(F1018="","待展开路径","未实测"),IF(H1018&lt;&gt;"适用","待确认适用性",IF(INDEX(Equipment[登记状态（自动）],MATCH(B1018,Equipment[组合编号],0))&lt;&gt;"已登记","待补设备组合",IF(AND(F1018&lt;&gt;"",G1018&lt;&gt;"",K1018&lt;&gt;"",L1018&lt;&gt;"",M1018&lt;&gt;"",N1018&lt;&gt;"",ISNUMBER(O1018),O1018&gt;0,P1018&lt;&gt;""),"记录齐全","待补实测记录")))))))))))</x:f>
        <x:v>待展开路径</x:v>
      </x:c>
    </x:row>
    <x:row r="1019" ht="43.5" customHeight="1">
      <x:c r="A1019" s="20" t="str">
        <x:v>REC-01010</x:v>
      </x:c>
      <x:c r="B1019" s="20" t="str">
        <x:v>P2-B5-01</x:v>
      </x:c>
      <x:c r="C1019" s="30" t="str">
        <x:f>IF(B1019="","",IF(COUNTIFS(Equipment[组合编号],B1019)&lt;&gt;1,"组合编号无效",INDEX(Equipment[PLC组],MATCH(B1019,Equipment[组合编号],0))))</x:f>
        <x:v>汇川中大型</x:v>
      </x:c>
      <x:c r="D1019" s="30" t="str">
        <x:f>IF(B1019="","",IF(COUNTIFS(Equipment[组合编号],B1019)&lt;&gt;1,"组合编号无效",INDEX(Equipment[驱动品牌],MATCH(B1019,Equipment[组合编号],0))))</x:f>
        <x:v>KEBA（可选）</x:v>
      </x:c>
      <x:c r="E1019" s="20" t="str">
        <x:v>N08</x:v>
      </x:c>
      <x:c r="F1019" s="20"/>
      <x:c r="G1019" s="20"/>
      <x:c r="H1019" s="20" t="str">
        <x:v>待判定</x:v>
      </x:c>
      <x:c r="I1019" s="20"/>
      <x:c r="J1019" s="20" t="str">
        <x:v>未测试</x:v>
      </x:c>
      <x:c r="K1019" s="20"/>
      <x:c r="L1019" s="20"/>
      <x:c r="M1019" s="20"/>
      <x:c r="N1019" s="20"/>
      <x:c r="O1019" s="31"/>
      <x:c r="P1019" s="20"/>
      <x:c r="Q1019" s="20"/>
      <x:c r="R1019" s="20" t="str">
        <x:v>待展开</x:v>
      </x:c>
      <x:c r="S1019" s="20"/>
      <x:c r="T1019" s="31"/>
      <x:c r="U1019" s="30" t="str">
        <x:f>IF(A1019="","缺记录编号",IF(COUNTIFS(PathRecords[记录编号],A1019)&lt;&gt;1,"记录编号重复",IF(OR(B1019="",E1019=""),"缺组合/功能",IF(COUNTIFS(Equipment[组合编号],B1019)&lt;&gt;1,"组合编号无效",IF(COUNTIFS(FunctionMatrix[编号],E1019)=0,"功能编号无效",IF(H1019="不适用",IF(J1019="已实测","适用性冲突",IF(I1019="","待补不适用依据","不适用（非实测）")),IF(J1019="阻塞",IF(I1019="","待补阻塞原因","阻塞（非实测）"),IF(J1019&lt;&gt;"已实测",IF(F1019="","待展开路径","未实测"),IF(H1019&lt;&gt;"适用","待确认适用性",IF(INDEX(Equipment[登记状态（自动）],MATCH(B1019,Equipment[组合编号],0))&lt;&gt;"已登记","待补设备组合",IF(AND(F1019&lt;&gt;"",G1019&lt;&gt;"",K1019&lt;&gt;"",L1019&lt;&gt;"",M1019&lt;&gt;"",N1019&lt;&gt;"",ISNUMBER(O1019),O1019&gt;0,P1019&lt;&gt;""),"记录齐全","待补实测记录")))))))))))</x:f>
        <x:v>待展开路径</x:v>
      </x:c>
    </x:row>
    <x:row r="1020" ht="43.5" customHeight="1">
      <x:c r="A1020" s="20" t="str">
        <x:v>REC-01011</x:v>
      </x:c>
      <x:c r="B1020" s="20" t="str">
        <x:v>P2-B5-01</x:v>
      </x:c>
      <x:c r="C1020" s="30" t="str">
        <x:f>IF(B1020="","",IF(COUNTIFS(Equipment[组合编号],B1020)&lt;&gt;1,"组合编号无效",INDEX(Equipment[PLC组],MATCH(B1020,Equipment[组合编号],0))))</x:f>
        <x:v>汇川中大型</x:v>
      </x:c>
      <x:c r="D1020" s="30" t="str">
        <x:f>IF(B1020="","",IF(COUNTIFS(Equipment[组合编号],B1020)&lt;&gt;1,"组合编号无效",INDEX(Equipment[驱动品牌],MATCH(B1020,Equipment[组合编号],0))))</x:f>
        <x:v>KEBA（可选）</x:v>
      </x:c>
      <x:c r="E1020" s="20" t="str">
        <x:v>N09</x:v>
      </x:c>
      <x:c r="F1020" s="20"/>
      <x:c r="G1020" s="20"/>
      <x:c r="H1020" s="20" t="str">
        <x:v>待判定</x:v>
      </x:c>
      <x:c r="I1020" s="20"/>
      <x:c r="J1020" s="20" t="str">
        <x:v>未测试</x:v>
      </x:c>
      <x:c r="K1020" s="20"/>
      <x:c r="L1020" s="20"/>
      <x:c r="M1020" s="20"/>
      <x:c r="N1020" s="20"/>
      <x:c r="O1020" s="31"/>
      <x:c r="P1020" s="20"/>
      <x:c r="Q1020" s="20"/>
      <x:c r="R1020" s="20" t="str">
        <x:v>待展开</x:v>
      </x:c>
      <x:c r="S1020" s="20"/>
      <x:c r="T1020" s="31"/>
      <x:c r="U1020" s="30" t="str">
        <x:f>IF(A1020="","缺记录编号",IF(COUNTIFS(PathRecords[记录编号],A1020)&lt;&gt;1,"记录编号重复",IF(OR(B1020="",E1020=""),"缺组合/功能",IF(COUNTIFS(Equipment[组合编号],B1020)&lt;&gt;1,"组合编号无效",IF(COUNTIFS(FunctionMatrix[编号],E1020)=0,"功能编号无效",IF(H1020="不适用",IF(J1020="已实测","适用性冲突",IF(I1020="","待补不适用依据","不适用（非实测）")),IF(J1020="阻塞",IF(I1020="","待补阻塞原因","阻塞（非实测）"),IF(J1020&lt;&gt;"已实测",IF(F1020="","待展开路径","未实测"),IF(H1020&lt;&gt;"适用","待确认适用性",IF(INDEX(Equipment[登记状态（自动）],MATCH(B1020,Equipment[组合编号],0))&lt;&gt;"已登记","待补设备组合",IF(AND(F1020&lt;&gt;"",G1020&lt;&gt;"",K1020&lt;&gt;"",L1020&lt;&gt;"",M1020&lt;&gt;"",N1020&lt;&gt;"",ISNUMBER(O1020),O1020&gt;0,P1020&lt;&gt;""),"记录齐全","待补实测记录")))))))))))</x:f>
        <x:v>待展开路径</x:v>
      </x:c>
    </x:row>
    <x:row r="1021" ht="43.5" customHeight="1">
      <x:c r="A1021" s="20" t="str">
        <x:v>REC-01012</x:v>
      </x:c>
      <x:c r="B1021" s="20" t="str">
        <x:v>P2-B5-01</x:v>
      </x:c>
      <x:c r="C1021" s="30" t="str">
        <x:f>IF(B1021="","",IF(COUNTIFS(Equipment[组合编号],B1021)&lt;&gt;1,"组合编号无效",INDEX(Equipment[PLC组],MATCH(B1021,Equipment[组合编号],0))))</x:f>
        <x:v>汇川中大型</x:v>
      </x:c>
      <x:c r="D1021" s="30" t="str">
        <x:f>IF(B1021="","",IF(COUNTIFS(Equipment[组合编号],B1021)&lt;&gt;1,"组合编号无效",INDEX(Equipment[驱动品牌],MATCH(B1021,Equipment[组合编号],0))))</x:f>
        <x:v>KEBA（可选）</x:v>
      </x:c>
      <x:c r="E1021" s="20" t="str">
        <x:v>N10</x:v>
      </x:c>
      <x:c r="F1021" s="20"/>
      <x:c r="G1021" s="20"/>
      <x:c r="H1021" s="20" t="str">
        <x:v>待判定</x:v>
      </x:c>
      <x:c r="I1021" s="20"/>
      <x:c r="J1021" s="20" t="str">
        <x:v>未测试</x:v>
      </x:c>
      <x:c r="K1021" s="20"/>
      <x:c r="L1021" s="20"/>
      <x:c r="M1021" s="20"/>
      <x:c r="N1021" s="20"/>
      <x:c r="O1021" s="31"/>
      <x:c r="P1021" s="20"/>
      <x:c r="Q1021" s="20"/>
      <x:c r="R1021" s="20" t="str">
        <x:v>待展开</x:v>
      </x:c>
      <x:c r="S1021" s="20"/>
      <x:c r="T1021" s="31"/>
      <x:c r="U1021" s="30" t="str">
        <x:f>IF(A1021="","缺记录编号",IF(COUNTIFS(PathRecords[记录编号],A1021)&lt;&gt;1,"记录编号重复",IF(OR(B1021="",E1021=""),"缺组合/功能",IF(COUNTIFS(Equipment[组合编号],B1021)&lt;&gt;1,"组合编号无效",IF(COUNTIFS(FunctionMatrix[编号],E1021)=0,"功能编号无效",IF(H1021="不适用",IF(J1021="已实测","适用性冲突",IF(I1021="","待补不适用依据","不适用（非实测）")),IF(J1021="阻塞",IF(I1021="","待补阻塞原因","阻塞（非实测）"),IF(J1021&lt;&gt;"已实测",IF(F1021="","待展开路径","未实测"),IF(H1021&lt;&gt;"适用","待确认适用性",IF(INDEX(Equipment[登记状态（自动）],MATCH(B1021,Equipment[组合编号],0))&lt;&gt;"已登记","待补设备组合",IF(AND(F1021&lt;&gt;"",G1021&lt;&gt;"",K1021&lt;&gt;"",L1021&lt;&gt;"",M1021&lt;&gt;"",N1021&lt;&gt;"",ISNUMBER(O1021),O1021&gt;0,P1021&lt;&gt;""),"记录齐全","待补实测记录")))))))))))</x:f>
        <x:v>待展开路径</x:v>
      </x:c>
    </x:row>
    <x:row r="1022" ht="43.5" customHeight="1">
      <x:c r="A1022" s="20" t="str">
        <x:v>REC-01013</x:v>
      </x:c>
      <x:c r="B1022" s="20" t="str">
        <x:v>P2-B5-01</x:v>
      </x:c>
      <x:c r="C1022" s="30" t="str">
        <x:f>IF(B1022="","",IF(COUNTIFS(Equipment[组合编号],B1022)&lt;&gt;1,"组合编号无效",INDEX(Equipment[PLC组],MATCH(B1022,Equipment[组合编号],0))))</x:f>
        <x:v>汇川中大型</x:v>
      </x:c>
      <x:c r="D1022" s="30" t="str">
        <x:f>IF(B1022="","",IF(COUNTIFS(Equipment[组合编号],B1022)&lt;&gt;1,"组合编号无效",INDEX(Equipment[驱动品牌],MATCH(B1022,Equipment[组合编号],0))))</x:f>
        <x:v>KEBA（可选）</x:v>
      </x:c>
      <x:c r="E1022" s="20" t="str">
        <x:v>N11</x:v>
      </x:c>
      <x:c r="F1022" s="20"/>
      <x:c r="G1022" s="20"/>
      <x:c r="H1022" s="20" t="str">
        <x:v>待判定</x:v>
      </x:c>
      <x:c r="I1022" s="20"/>
      <x:c r="J1022" s="20" t="str">
        <x:v>未测试</x:v>
      </x:c>
      <x:c r="K1022" s="20"/>
      <x:c r="L1022" s="20"/>
      <x:c r="M1022" s="20"/>
      <x:c r="N1022" s="20"/>
      <x:c r="O1022" s="31"/>
      <x:c r="P1022" s="20"/>
      <x:c r="Q1022" s="20"/>
      <x:c r="R1022" s="20" t="str">
        <x:v>待展开</x:v>
      </x:c>
      <x:c r="S1022" s="20"/>
      <x:c r="T1022" s="31"/>
      <x:c r="U1022" s="30" t="str">
        <x:f>IF(A1022="","缺记录编号",IF(COUNTIFS(PathRecords[记录编号],A1022)&lt;&gt;1,"记录编号重复",IF(OR(B1022="",E1022=""),"缺组合/功能",IF(COUNTIFS(Equipment[组合编号],B1022)&lt;&gt;1,"组合编号无效",IF(COUNTIFS(FunctionMatrix[编号],E1022)=0,"功能编号无效",IF(H1022="不适用",IF(J1022="已实测","适用性冲突",IF(I1022="","待补不适用依据","不适用（非实测）")),IF(J1022="阻塞",IF(I1022="","待补阻塞原因","阻塞（非实测）"),IF(J1022&lt;&gt;"已实测",IF(F1022="","待展开路径","未实测"),IF(H1022&lt;&gt;"适用","待确认适用性",IF(INDEX(Equipment[登记状态（自动）],MATCH(B1022,Equipment[组合编号],0))&lt;&gt;"已登记","待补设备组合",IF(AND(F1022&lt;&gt;"",G1022&lt;&gt;"",K1022&lt;&gt;"",L1022&lt;&gt;"",M1022&lt;&gt;"",N1022&lt;&gt;"",ISNUMBER(O1022),O1022&gt;0,P1022&lt;&gt;""),"记录齐全","待补实测记录")))))))))))</x:f>
        <x:v>待展开路径</x:v>
      </x:c>
    </x:row>
    <x:row r="1023" ht="43.5" customHeight="1">
      <x:c r="A1023" s="20" t="str">
        <x:v>REC-01014</x:v>
      </x:c>
      <x:c r="B1023" s="20" t="str">
        <x:v>P2-B5-01</x:v>
      </x:c>
      <x:c r="C1023" s="30" t="str">
        <x:f>IF(B1023="","",IF(COUNTIFS(Equipment[组合编号],B1023)&lt;&gt;1,"组合编号无效",INDEX(Equipment[PLC组],MATCH(B1023,Equipment[组合编号],0))))</x:f>
        <x:v>汇川中大型</x:v>
      </x:c>
      <x:c r="D1023" s="30" t="str">
        <x:f>IF(B1023="","",IF(COUNTIFS(Equipment[组合编号],B1023)&lt;&gt;1,"组合编号无效",INDEX(Equipment[驱动品牌],MATCH(B1023,Equipment[组合编号],0))))</x:f>
        <x:v>KEBA（可选）</x:v>
      </x:c>
      <x:c r="E1023" s="20" t="str">
        <x:v>N12</x:v>
      </x:c>
      <x:c r="F1023" s="20"/>
      <x:c r="G1023" s="20"/>
      <x:c r="H1023" s="20" t="str">
        <x:v>待判定</x:v>
      </x:c>
      <x:c r="I1023" s="20"/>
      <x:c r="J1023" s="20" t="str">
        <x:v>未测试</x:v>
      </x:c>
      <x:c r="K1023" s="20"/>
      <x:c r="L1023" s="20"/>
      <x:c r="M1023" s="20"/>
      <x:c r="N1023" s="20"/>
      <x:c r="O1023" s="31"/>
      <x:c r="P1023" s="20"/>
      <x:c r="Q1023" s="20"/>
      <x:c r="R1023" s="20" t="str">
        <x:v>待展开</x:v>
      </x:c>
      <x:c r="S1023" s="20"/>
      <x:c r="T1023" s="31"/>
      <x:c r="U1023" s="30" t="str">
        <x:f>IF(A1023="","缺记录编号",IF(COUNTIFS(PathRecords[记录编号],A1023)&lt;&gt;1,"记录编号重复",IF(OR(B1023="",E1023=""),"缺组合/功能",IF(COUNTIFS(Equipment[组合编号],B1023)&lt;&gt;1,"组合编号无效",IF(COUNTIFS(FunctionMatrix[编号],E1023)=0,"功能编号无效",IF(H1023="不适用",IF(J1023="已实测","适用性冲突",IF(I1023="","待补不适用依据","不适用（非实测）")),IF(J1023="阻塞",IF(I1023="","待补阻塞原因","阻塞（非实测）"),IF(J1023&lt;&gt;"已实测",IF(F1023="","待展开路径","未实测"),IF(H1023&lt;&gt;"适用","待确认适用性",IF(INDEX(Equipment[登记状态（自动）],MATCH(B1023,Equipment[组合编号],0))&lt;&gt;"已登记","待补设备组合",IF(AND(F1023&lt;&gt;"",G1023&lt;&gt;"",K1023&lt;&gt;"",L1023&lt;&gt;"",M1023&lt;&gt;"",N1023&lt;&gt;"",ISNUMBER(O1023),O1023&gt;0,P1023&lt;&gt;""),"记录齐全","待补实测记录")))))))))))</x:f>
        <x:v>待展开路径</x:v>
      </x:c>
    </x:row>
    <x:row r="1024" ht="43.5" customHeight="1">
      <x:c r="A1024" s="20" t="str">
        <x:v>REC-01015</x:v>
      </x:c>
      <x:c r="B1024" s="20" t="str">
        <x:v>P2-B5-01</x:v>
      </x:c>
      <x:c r="C1024" s="30" t="str">
        <x:f>IF(B1024="","",IF(COUNTIFS(Equipment[组合编号],B1024)&lt;&gt;1,"组合编号无效",INDEX(Equipment[PLC组],MATCH(B1024,Equipment[组合编号],0))))</x:f>
        <x:v>汇川中大型</x:v>
      </x:c>
      <x:c r="D1024" s="30" t="str">
        <x:f>IF(B1024="","",IF(COUNTIFS(Equipment[组合编号],B1024)&lt;&gt;1,"组合编号无效",INDEX(Equipment[驱动品牌],MATCH(B1024,Equipment[组合编号],0))))</x:f>
        <x:v>KEBA（可选）</x:v>
      </x:c>
      <x:c r="E1024" s="20" t="str">
        <x:v>P01</x:v>
      </x:c>
      <x:c r="F1024" s="20"/>
      <x:c r="G1024" s="20"/>
      <x:c r="H1024" s="20" t="str">
        <x:v>待判定</x:v>
      </x:c>
      <x:c r="I1024" s="20"/>
      <x:c r="J1024" s="20" t="str">
        <x:v>未测试</x:v>
      </x:c>
      <x:c r="K1024" s="20"/>
      <x:c r="L1024" s="20"/>
      <x:c r="M1024" s="20"/>
      <x:c r="N1024" s="20"/>
      <x:c r="O1024" s="31"/>
      <x:c r="P1024" s="20"/>
      <x:c r="Q1024" s="20"/>
      <x:c r="R1024" s="20" t="str">
        <x:v>待展开</x:v>
      </x:c>
      <x:c r="S1024" s="20"/>
      <x:c r="T1024" s="31"/>
      <x:c r="U1024" s="30" t="str">
        <x:f>IF(A1024="","缺记录编号",IF(COUNTIFS(PathRecords[记录编号],A1024)&lt;&gt;1,"记录编号重复",IF(OR(B1024="",E1024=""),"缺组合/功能",IF(COUNTIFS(Equipment[组合编号],B1024)&lt;&gt;1,"组合编号无效",IF(COUNTIFS(FunctionMatrix[编号],E1024)=0,"功能编号无效",IF(H1024="不适用",IF(J1024="已实测","适用性冲突",IF(I1024="","待补不适用依据","不适用（非实测）")),IF(J1024="阻塞",IF(I1024="","待补阻塞原因","阻塞（非实测）"),IF(J1024&lt;&gt;"已实测",IF(F1024="","待展开路径","未实测"),IF(H1024&lt;&gt;"适用","待确认适用性",IF(INDEX(Equipment[登记状态（自动）],MATCH(B1024,Equipment[组合编号],0))&lt;&gt;"已登记","待补设备组合",IF(AND(F1024&lt;&gt;"",G1024&lt;&gt;"",K1024&lt;&gt;"",L1024&lt;&gt;"",M1024&lt;&gt;"",N1024&lt;&gt;"",ISNUMBER(O1024),O1024&gt;0,P1024&lt;&gt;""),"记录齐全","待补实测记录")))))))))))</x:f>
        <x:v>待展开路径</x:v>
      </x:c>
    </x:row>
    <x:row r="1025" ht="43.5" customHeight="1">
      <x:c r="A1025" s="20" t="str">
        <x:v>REC-01016</x:v>
      </x:c>
      <x:c r="B1025" s="20" t="str">
        <x:v>P2-B5-01</x:v>
      </x:c>
      <x:c r="C1025" s="30" t="str">
        <x:f>IF(B1025="","",IF(COUNTIFS(Equipment[组合编号],B1025)&lt;&gt;1,"组合编号无效",INDEX(Equipment[PLC组],MATCH(B1025,Equipment[组合编号],0))))</x:f>
        <x:v>汇川中大型</x:v>
      </x:c>
      <x:c r="D1025" s="30" t="str">
        <x:f>IF(B1025="","",IF(COUNTIFS(Equipment[组合编号],B1025)&lt;&gt;1,"组合编号无效",INDEX(Equipment[驱动品牌],MATCH(B1025,Equipment[组合编号],0))))</x:f>
        <x:v>KEBA（可选）</x:v>
      </x:c>
      <x:c r="E1025" s="20" t="str">
        <x:v>P02</x:v>
      </x:c>
      <x:c r="F1025" s="20"/>
      <x:c r="G1025" s="20"/>
      <x:c r="H1025" s="20" t="str">
        <x:v>待判定</x:v>
      </x:c>
      <x:c r="I1025" s="20"/>
      <x:c r="J1025" s="20" t="str">
        <x:v>未测试</x:v>
      </x:c>
      <x:c r="K1025" s="20"/>
      <x:c r="L1025" s="20"/>
      <x:c r="M1025" s="20"/>
      <x:c r="N1025" s="20"/>
      <x:c r="O1025" s="31"/>
      <x:c r="P1025" s="20"/>
      <x:c r="Q1025" s="20"/>
      <x:c r="R1025" s="20" t="str">
        <x:v>待展开</x:v>
      </x:c>
      <x:c r="S1025" s="20"/>
      <x:c r="T1025" s="31"/>
      <x:c r="U1025" s="30" t="str">
        <x:f>IF(A1025="","缺记录编号",IF(COUNTIFS(PathRecords[记录编号],A1025)&lt;&gt;1,"记录编号重复",IF(OR(B1025="",E1025=""),"缺组合/功能",IF(COUNTIFS(Equipment[组合编号],B1025)&lt;&gt;1,"组合编号无效",IF(COUNTIFS(FunctionMatrix[编号],E1025)=0,"功能编号无效",IF(H1025="不适用",IF(J1025="已实测","适用性冲突",IF(I1025="","待补不适用依据","不适用（非实测）")),IF(J1025="阻塞",IF(I1025="","待补阻塞原因","阻塞（非实测）"),IF(J1025&lt;&gt;"已实测",IF(F1025="","待展开路径","未实测"),IF(H1025&lt;&gt;"适用","待确认适用性",IF(INDEX(Equipment[登记状态（自动）],MATCH(B1025,Equipment[组合编号],0))&lt;&gt;"已登记","待补设备组合",IF(AND(F1025&lt;&gt;"",G1025&lt;&gt;"",K1025&lt;&gt;"",L1025&lt;&gt;"",M1025&lt;&gt;"",N1025&lt;&gt;"",ISNUMBER(O1025),O1025&gt;0,P1025&lt;&gt;""),"记录齐全","待补实测记录")))))))))))</x:f>
        <x:v>待展开路径</x:v>
      </x:c>
    </x:row>
    <x:row r="1026" ht="43.5" customHeight="1">
      <x:c r="A1026" s="20" t="str">
        <x:v>REC-01017</x:v>
      </x:c>
      <x:c r="B1026" s="20" t="str">
        <x:v>P2-B5-01</x:v>
      </x:c>
      <x:c r="C1026" s="30" t="str">
        <x:f>IF(B1026="","",IF(COUNTIFS(Equipment[组合编号],B1026)&lt;&gt;1,"组合编号无效",INDEX(Equipment[PLC组],MATCH(B1026,Equipment[组合编号],0))))</x:f>
        <x:v>汇川中大型</x:v>
      </x:c>
      <x:c r="D1026" s="30" t="str">
        <x:f>IF(B1026="","",IF(COUNTIFS(Equipment[组合编号],B1026)&lt;&gt;1,"组合编号无效",INDEX(Equipment[驱动品牌],MATCH(B1026,Equipment[组合编号],0))))</x:f>
        <x:v>KEBA（可选）</x:v>
      </x:c>
      <x:c r="E1026" s="20" t="str">
        <x:v>P03</x:v>
      </x:c>
      <x:c r="F1026" s="20"/>
      <x:c r="G1026" s="20"/>
      <x:c r="H1026" s="20" t="str">
        <x:v>待判定</x:v>
      </x:c>
      <x:c r="I1026" s="20"/>
      <x:c r="J1026" s="20" t="str">
        <x:v>未测试</x:v>
      </x:c>
      <x:c r="K1026" s="20"/>
      <x:c r="L1026" s="20"/>
      <x:c r="M1026" s="20"/>
      <x:c r="N1026" s="20"/>
      <x:c r="O1026" s="31"/>
      <x:c r="P1026" s="20"/>
      <x:c r="Q1026" s="20"/>
      <x:c r="R1026" s="20" t="str">
        <x:v>待展开</x:v>
      </x:c>
      <x:c r="S1026" s="20"/>
      <x:c r="T1026" s="31"/>
      <x:c r="U1026" s="30" t="str">
        <x:f>IF(A1026="","缺记录编号",IF(COUNTIFS(PathRecords[记录编号],A1026)&lt;&gt;1,"记录编号重复",IF(OR(B1026="",E1026=""),"缺组合/功能",IF(COUNTIFS(Equipment[组合编号],B1026)&lt;&gt;1,"组合编号无效",IF(COUNTIFS(FunctionMatrix[编号],E1026)=0,"功能编号无效",IF(H1026="不适用",IF(J1026="已实测","适用性冲突",IF(I1026="","待补不适用依据","不适用（非实测）")),IF(J1026="阻塞",IF(I1026="","待补阻塞原因","阻塞（非实测）"),IF(J1026&lt;&gt;"已实测",IF(F1026="","待展开路径","未实测"),IF(H1026&lt;&gt;"适用","待确认适用性",IF(INDEX(Equipment[登记状态（自动）],MATCH(B1026,Equipment[组合编号],0))&lt;&gt;"已登记","待补设备组合",IF(AND(F1026&lt;&gt;"",G1026&lt;&gt;"",K1026&lt;&gt;"",L1026&lt;&gt;"",M1026&lt;&gt;"",N1026&lt;&gt;"",ISNUMBER(O1026),O1026&gt;0,P1026&lt;&gt;""),"记录齐全","待补实测记录")))))))))))</x:f>
        <x:v>待展开路径</x:v>
      </x:c>
    </x:row>
    <x:row r="1027" ht="43.5" customHeight="1">
      <x:c r="A1027" s="20" t="str">
        <x:v>REC-01018</x:v>
      </x:c>
      <x:c r="B1027" s="20" t="str">
        <x:v>P2-B5-01</x:v>
      </x:c>
      <x:c r="C1027" s="30" t="str">
        <x:f>IF(B1027="","",IF(COUNTIFS(Equipment[组合编号],B1027)&lt;&gt;1,"组合编号无效",INDEX(Equipment[PLC组],MATCH(B1027,Equipment[组合编号],0))))</x:f>
        <x:v>汇川中大型</x:v>
      </x:c>
      <x:c r="D1027" s="30" t="str">
        <x:f>IF(B1027="","",IF(COUNTIFS(Equipment[组合编号],B1027)&lt;&gt;1,"组合编号无效",INDEX(Equipment[驱动品牌],MATCH(B1027,Equipment[组合编号],0))))</x:f>
        <x:v>KEBA（可选）</x:v>
      </x:c>
      <x:c r="E1027" s="20" t="str">
        <x:v>P04</x:v>
      </x:c>
      <x:c r="F1027" s="20"/>
      <x:c r="G1027" s="20"/>
      <x:c r="H1027" s="20" t="str">
        <x:v>待判定</x:v>
      </x:c>
      <x:c r="I1027" s="20"/>
      <x:c r="J1027" s="20" t="str">
        <x:v>未测试</x:v>
      </x:c>
      <x:c r="K1027" s="20"/>
      <x:c r="L1027" s="20"/>
      <x:c r="M1027" s="20"/>
      <x:c r="N1027" s="20"/>
      <x:c r="O1027" s="31"/>
      <x:c r="P1027" s="20"/>
      <x:c r="Q1027" s="20"/>
      <x:c r="R1027" s="20" t="str">
        <x:v>待展开</x:v>
      </x:c>
      <x:c r="S1027" s="20"/>
      <x:c r="T1027" s="31"/>
      <x:c r="U1027" s="30" t="str">
        <x:f>IF(A1027="","缺记录编号",IF(COUNTIFS(PathRecords[记录编号],A1027)&lt;&gt;1,"记录编号重复",IF(OR(B1027="",E1027=""),"缺组合/功能",IF(COUNTIFS(Equipment[组合编号],B1027)&lt;&gt;1,"组合编号无效",IF(COUNTIFS(FunctionMatrix[编号],E1027)=0,"功能编号无效",IF(H1027="不适用",IF(J1027="已实测","适用性冲突",IF(I1027="","待补不适用依据","不适用（非实测）")),IF(J1027="阻塞",IF(I1027="","待补阻塞原因","阻塞（非实测）"),IF(J1027&lt;&gt;"已实测",IF(F1027="","待展开路径","未实测"),IF(H1027&lt;&gt;"适用","待确认适用性",IF(INDEX(Equipment[登记状态（自动）],MATCH(B1027,Equipment[组合编号],0))&lt;&gt;"已登记","待补设备组合",IF(AND(F1027&lt;&gt;"",G1027&lt;&gt;"",K1027&lt;&gt;"",L1027&lt;&gt;"",M1027&lt;&gt;"",N1027&lt;&gt;"",ISNUMBER(O1027),O1027&gt;0,P1027&lt;&gt;""),"记录齐全","待补实测记录")))))))))))</x:f>
        <x:v>待展开路径</x:v>
      </x:c>
    </x:row>
    <x:row r="1028" ht="43.5" customHeight="1">
      <x:c r="A1028" s="20" t="str">
        <x:v>REC-01019</x:v>
      </x:c>
      <x:c r="B1028" s="20" t="str">
        <x:v>P2-B5-01</x:v>
      </x:c>
      <x:c r="C1028" s="30" t="str">
        <x:f>IF(B1028="","",IF(COUNTIFS(Equipment[组合编号],B1028)&lt;&gt;1,"组合编号无效",INDEX(Equipment[PLC组],MATCH(B1028,Equipment[组合编号],0))))</x:f>
        <x:v>汇川中大型</x:v>
      </x:c>
      <x:c r="D1028" s="30" t="str">
        <x:f>IF(B1028="","",IF(COUNTIFS(Equipment[组合编号],B1028)&lt;&gt;1,"组合编号无效",INDEX(Equipment[驱动品牌],MATCH(B1028,Equipment[组合编号],0))))</x:f>
        <x:v>KEBA（可选）</x:v>
      </x:c>
      <x:c r="E1028" s="20" t="str">
        <x:v>P05</x:v>
      </x:c>
      <x:c r="F1028" s="20"/>
      <x:c r="G1028" s="20"/>
      <x:c r="H1028" s="20" t="str">
        <x:v>待判定</x:v>
      </x:c>
      <x:c r="I1028" s="20"/>
      <x:c r="J1028" s="20" t="str">
        <x:v>未测试</x:v>
      </x:c>
      <x:c r="K1028" s="20"/>
      <x:c r="L1028" s="20"/>
      <x:c r="M1028" s="20"/>
      <x:c r="N1028" s="20"/>
      <x:c r="O1028" s="31"/>
      <x:c r="P1028" s="20"/>
      <x:c r="Q1028" s="20"/>
      <x:c r="R1028" s="20" t="str">
        <x:v>待展开</x:v>
      </x:c>
      <x:c r="S1028" s="20"/>
      <x:c r="T1028" s="31"/>
      <x:c r="U1028" s="30" t="str">
        <x:f>IF(A1028="","缺记录编号",IF(COUNTIFS(PathRecords[记录编号],A1028)&lt;&gt;1,"记录编号重复",IF(OR(B1028="",E1028=""),"缺组合/功能",IF(COUNTIFS(Equipment[组合编号],B1028)&lt;&gt;1,"组合编号无效",IF(COUNTIFS(FunctionMatrix[编号],E1028)=0,"功能编号无效",IF(H1028="不适用",IF(J1028="已实测","适用性冲突",IF(I1028="","待补不适用依据","不适用（非实测）")),IF(J1028="阻塞",IF(I1028="","待补阻塞原因","阻塞（非实测）"),IF(J1028&lt;&gt;"已实测",IF(F1028="","待展开路径","未实测"),IF(H1028&lt;&gt;"适用","待确认适用性",IF(INDEX(Equipment[登记状态（自动）],MATCH(B1028,Equipment[组合编号],0))&lt;&gt;"已登记","待补设备组合",IF(AND(F1028&lt;&gt;"",G1028&lt;&gt;"",K1028&lt;&gt;"",L1028&lt;&gt;"",M1028&lt;&gt;"",N1028&lt;&gt;"",ISNUMBER(O1028),O1028&gt;0,P1028&lt;&gt;""),"记录齐全","待补实测记录")))))))))))</x:f>
        <x:v>待展开路径</x:v>
      </x:c>
    </x:row>
    <x:row r="1029" ht="43.5" customHeight="1">
      <x:c r="A1029" s="20" t="str">
        <x:v>REC-01020</x:v>
      </x:c>
      <x:c r="B1029" s="20" t="str">
        <x:v>P2-B5-01</x:v>
      </x:c>
      <x:c r="C1029" s="30" t="str">
        <x:f>IF(B1029="","",IF(COUNTIFS(Equipment[组合编号],B1029)&lt;&gt;1,"组合编号无效",INDEX(Equipment[PLC组],MATCH(B1029,Equipment[组合编号],0))))</x:f>
        <x:v>汇川中大型</x:v>
      </x:c>
      <x:c r="D1029" s="30" t="str">
        <x:f>IF(B1029="","",IF(COUNTIFS(Equipment[组合编号],B1029)&lt;&gt;1,"组合编号无效",INDEX(Equipment[驱动品牌],MATCH(B1029,Equipment[组合编号],0))))</x:f>
        <x:v>KEBA（可选）</x:v>
      </x:c>
      <x:c r="E1029" s="20" t="str">
        <x:v>P06</x:v>
      </x:c>
      <x:c r="F1029" s="20"/>
      <x:c r="G1029" s="20"/>
      <x:c r="H1029" s="20" t="str">
        <x:v>待判定</x:v>
      </x:c>
      <x:c r="I1029" s="20"/>
      <x:c r="J1029" s="20" t="str">
        <x:v>未测试</x:v>
      </x:c>
      <x:c r="K1029" s="20"/>
      <x:c r="L1029" s="20"/>
      <x:c r="M1029" s="20"/>
      <x:c r="N1029" s="20"/>
      <x:c r="O1029" s="31"/>
      <x:c r="P1029" s="20"/>
      <x:c r="Q1029" s="20"/>
      <x:c r="R1029" s="20" t="str">
        <x:v>待展开</x:v>
      </x:c>
      <x:c r="S1029" s="20"/>
      <x:c r="T1029" s="31"/>
      <x:c r="U1029" s="30" t="str">
        <x:f>IF(A1029="","缺记录编号",IF(COUNTIFS(PathRecords[记录编号],A1029)&lt;&gt;1,"记录编号重复",IF(OR(B1029="",E1029=""),"缺组合/功能",IF(COUNTIFS(Equipment[组合编号],B1029)&lt;&gt;1,"组合编号无效",IF(COUNTIFS(FunctionMatrix[编号],E1029)=0,"功能编号无效",IF(H1029="不适用",IF(J1029="已实测","适用性冲突",IF(I1029="","待补不适用依据","不适用（非实测）")),IF(J1029="阻塞",IF(I1029="","待补阻塞原因","阻塞（非实测）"),IF(J1029&lt;&gt;"已实测",IF(F1029="","待展开路径","未实测"),IF(H1029&lt;&gt;"适用","待确认适用性",IF(INDEX(Equipment[登记状态（自动）],MATCH(B1029,Equipment[组合编号],0))&lt;&gt;"已登记","待补设备组合",IF(AND(F1029&lt;&gt;"",G1029&lt;&gt;"",K1029&lt;&gt;"",L1029&lt;&gt;"",M1029&lt;&gt;"",N1029&lt;&gt;"",ISNUMBER(O1029),O1029&gt;0,P1029&lt;&gt;""),"记录齐全","待补实测记录")))))))))))</x:f>
        <x:v>待展开路径</x:v>
      </x:c>
    </x:row>
    <x:row r="1030" ht="43.5" customHeight="1">
      <x:c r="A1030" s="20" t="str">
        <x:v>REC-01021</x:v>
      </x:c>
      <x:c r="B1030" s="20" t="str">
        <x:v>P2-B5-01</x:v>
      </x:c>
      <x:c r="C1030" s="30" t="str">
        <x:f>IF(B1030="","",IF(COUNTIFS(Equipment[组合编号],B1030)&lt;&gt;1,"组合编号无效",INDEX(Equipment[PLC组],MATCH(B1030,Equipment[组合编号],0))))</x:f>
        <x:v>汇川中大型</x:v>
      </x:c>
      <x:c r="D1030" s="30" t="str">
        <x:f>IF(B1030="","",IF(COUNTIFS(Equipment[组合编号],B1030)&lt;&gt;1,"组合编号无效",INDEX(Equipment[驱动品牌],MATCH(B1030,Equipment[组合编号],0))))</x:f>
        <x:v>KEBA（可选）</x:v>
      </x:c>
      <x:c r="E1030" s="20" t="str">
        <x:v>P07</x:v>
      </x:c>
      <x:c r="F1030" s="20"/>
      <x:c r="G1030" s="20"/>
      <x:c r="H1030" s="20" t="str">
        <x:v>待判定</x:v>
      </x:c>
      <x:c r="I1030" s="20"/>
      <x:c r="J1030" s="20" t="str">
        <x:v>未测试</x:v>
      </x:c>
      <x:c r="K1030" s="20"/>
      <x:c r="L1030" s="20"/>
      <x:c r="M1030" s="20"/>
      <x:c r="N1030" s="20"/>
      <x:c r="O1030" s="31"/>
      <x:c r="P1030" s="20"/>
      <x:c r="Q1030" s="20"/>
      <x:c r="R1030" s="20" t="str">
        <x:v>待展开</x:v>
      </x:c>
      <x:c r="S1030" s="20"/>
      <x:c r="T1030" s="31"/>
      <x:c r="U1030" s="30" t="str">
        <x:f>IF(A1030="","缺记录编号",IF(COUNTIFS(PathRecords[记录编号],A1030)&lt;&gt;1,"记录编号重复",IF(OR(B1030="",E1030=""),"缺组合/功能",IF(COUNTIFS(Equipment[组合编号],B1030)&lt;&gt;1,"组合编号无效",IF(COUNTIFS(FunctionMatrix[编号],E1030)=0,"功能编号无效",IF(H1030="不适用",IF(J1030="已实测","适用性冲突",IF(I1030="","待补不适用依据","不适用（非实测）")),IF(J1030="阻塞",IF(I1030="","待补阻塞原因","阻塞（非实测）"),IF(J1030&lt;&gt;"已实测",IF(F1030="","待展开路径","未实测"),IF(H1030&lt;&gt;"适用","待确认适用性",IF(INDEX(Equipment[登记状态（自动）],MATCH(B1030,Equipment[组合编号],0))&lt;&gt;"已登记","待补设备组合",IF(AND(F1030&lt;&gt;"",G1030&lt;&gt;"",K1030&lt;&gt;"",L1030&lt;&gt;"",M1030&lt;&gt;"",N1030&lt;&gt;"",ISNUMBER(O1030),O1030&gt;0,P1030&lt;&gt;""),"记录齐全","待补实测记录")))))))))))</x:f>
        <x:v>待展开路径</x:v>
      </x:c>
    </x:row>
    <x:row r="1031" ht="43.5" customHeight="1">
      <x:c r="A1031" s="20" t="str">
        <x:v>REC-01022</x:v>
      </x:c>
      <x:c r="B1031" s="20" t="str">
        <x:v>P2-B5-01</x:v>
      </x:c>
      <x:c r="C1031" s="30" t="str">
        <x:f>IF(B1031="","",IF(COUNTIFS(Equipment[组合编号],B1031)&lt;&gt;1,"组合编号无效",INDEX(Equipment[PLC组],MATCH(B1031,Equipment[组合编号],0))))</x:f>
        <x:v>汇川中大型</x:v>
      </x:c>
      <x:c r="D1031" s="30" t="str">
        <x:f>IF(B1031="","",IF(COUNTIFS(Equipment[组合编号],B1031)&lt;&gt;1,"组合编号无效",INDEX(Equipment[驱动品牌],MATCH(B1031,Equipment[组合编号],0))))</x:f>
        <x:v>KEBA（可选）</x:v>
      </x:c>
      <x:c r="E1031" s="20" t="str">
        <x:v>P08</x:v>
      </x:c>
      <x:c r="F1031" s="20"/>
      <x:c r="G1031" s="20"/>
      <x:c r="H1031" s="20" t="str">
        <x:v>待判定</x:v>
      </x:c>
      <x:c r="I1031" s="20"/>
      <x:c r="J1031" s="20" t="str">
        <x:v>未测试</x:v>
      </x:c>
      <x:c r="K1031" s="20"/>
      <x:c r="L1031" s="20"/>
      <x:c r="M1031" s="20"/>
      <x:c r="N1031" s="20"/>
      <x:c r="O1031" s="31"/>
      <x:c r="P1031" s="20"/>
      <x:c r="Q1031" s="20"/>
      <x:c r="R1031" s="20" t="str">
        <x:v>待展开</x:v>
      </x:c>
      <x:c r="S1031" s="20"/>
      <x:c r="T1031" s="31"/>
      <x:c r="U1031" s="30" t="str">
        <x:f>IF(A1031="","缺记录编号",IF(COUNTIFS(PathRecords[记录编号],A1031)&lt;&gt;1,"记录编号重复",IF(OR(B1031="",E1031=""),"缺组合/功能",IF(COUNTIFS(Equipment[组合编号],B1031)&lt;&gt;1,"组合编号无效",IF(COUNTIFS(FunctionMatrix[编号],E1031)=0,"功能编号无效",IF(H1031="不适用",IF(J1031="已实测","适用性冲突",IF(I1031="","待补不适用依据","不适用（非实测）")),IF(J1031="阻塞",IF(I1031="","待补阻塞原因","阻塞（非实测）"),IF(J1031&lt;&gt;"已实测",IF(F1031="","待展开路径","未实测"),IF(H1031&lt;&gt;"适用","待确认适用性",IF(INDEX(Equipment[登记状态（自动）],MATCH(B1031,Equipment[组合编号],0))&lt;&gt;"已登记","待补设备组合",IF(AND(F1031&lt;&gt;"",G1031&lt;&gt;"",K1031&lt;&gt;"",L1031&lt;&gt;"",M1031&lt;&gt;"",N1031&lt;&gt;"",ISNUMBER(O1031),O1031&gt;0,P1031&lt;&gt;""),"记录齐全","待补实测记录")))))))))))</x:f>
        <x:v>待展开路径</x:v>
      </x:c>
    </x:row>
    <x:row r="1032" ht="43.5" customHeight="1">
      <x:c r="A1032" s="20" t="str">
        <x:v>REC-01023</x:v>
      </x:c>
      <x:c r="B1032" s="20" t="str">
        <x:v>P2-B5-01</x:v>
      </x:c>
      <x:c r="C1032" s="30" t="str">
        <x:f>IF(B1032="","",IF(COUNTIFS(Equipment[组合编号],B1032)&lt;&gt;1,"组合编号无效",INDEX(Equipment[PLC组],MATCH(B1032,Equipment[组合编号],0))))</x:f>
        <x:v>汇川中大型</x:v>
      </x:c>
      <x:c r="D1032" s="30" t="str">
        <x:f>IF(B1032="","",IF(COUNTIFS(Equipment[组合编号],B1032)&lt;&gt;1,"组合编号无效",INDEX(Equipment[驱动品牌],MATCH(B1032,Equipment[组合编号],0))))</x:f>
        <x:v>KEBA（可选）</x:v>
      </x:c>
      <x:c r="E1032" s="20" t="str">
        <x:v>P09</x:v>
      </x:c>
      <x:c r="F1032" s="20"/>
      <x:c r="G1032" s="20"/>
      <x:c r="H1032" s="20" t="str">
        <x:v>待判定</x:v>
      </x:c>
      <x:c r="I1032" s="20"/>
      <x:c r="J1032" s="20" t="str">
        <x:v>未测试</x:v>
      </x:c>
      <x:c r="K1032" s="20"/>
      <x:c r="L1032" s="20"/>
      <x:c r="M1032" s="20"/>
      <x:c r="N1032" s="20"/>
      <x:c r="O1032" s="31"/>
      <x:c r="P1032" s="20"/>
      <x:c r="Q1032" s="20"/>
      <x:c r="R1032" s="20" t="str">
        <x:v>待展开</x:v>
      </x:c>
      <x:c r="S1032" s="20"/>
      <x:c r="T1032" s="31"/>
      <x:c r="U1032" s="30" t="str">
        <x:f>IF(A1032="","缺记录编号",IF(COUNTIFS(PathRecords[记录编号],A1032)&lt;&gt;1,"记录编号重复",IF(OR(B1032="",E1032=""),"缺组合/功能",IF(COUNTIFS(Equipment[组合编号],B1032)&lt;&gt;1,"组合编号无效",IF(COUNTIFS(FunctionMatrix[编号],E1032)=0,"功能编号无效",IF(H1032="不适用",IF(J1032="已实测","适用性冲突",IF(I1032="","待补不适用依据","不适用（非实测）")),IF(J1032="阻塞",IF(I1032="","待补阻塞原因","阻塞（非实测）"),IF(J1032&lt;&gt;"已实测",IF(F1032="","待展开路径","未实测"),IF(H1032&lt;&gt;"适用","待确认适用性",IF(INDEX(Equipment[登记状态（自动）],MATCH(B1032,Equipment[组合编号],0))&lt;&gt;"已登记","待补设备组合",IF(AND(F1032&lt;&gt;"",G1032&lt;&gt;"",K1032&lt;&gt;"",L1032&lt;&gt;"",M1032&lt;&gt;"",N1032&lt;&gt;"",ISNUMBER(O1032),O1032&gt;0,P1032&lt;&gt;""),"记录齐全","待补实测记录")))))))))))</x:f>
        <x:v>待展开路径</x:v>
      </x:c>
    </x:row>
    <x:row r="1033" ht="43.5" customHeight="1">
      <x:c r="A1033" s="20" t="str">
        <x:v>REC-01024</x:v>
      </x:c>
      <x:c r="B1033" s="20" t="str">
        <x:v>P2-B5-01</x:v>
      </x:c>
      <x:c r="C1033" s="30" t="str">
        <x:f>IF(B1033="","",IF(COUNTIFS(Equipment[组合编号],B1033)&lt;&gt;1,"组合编号无效",INDEX(Equipment[PLC组],MATCH(B1033,Equipment[组合编号],0))))</x:f>
        <x:v>汇川中大型</x:v>
      </x:c>
      <x:c r="D1033" s="30" t="str">
        <x:f>IF(B1033="","",IF(COUNTIFS(Equipment[组合编号],B1033)&lt;&gt;1,"组合编号无效",INDEX(Equipment[驱动品牌],MATCH(B1033,Equipment[组合编号],0))))</x:f>
        <x:v>KEBA（可选）</x:v>
      </x:c>
      <x:c r="E1033" s="20" t="str">
        <x:v>P10</x:v>
      </x:c>
      <x:c r="F1033" s="20"/>
      <x:c r="G1033" s="20"/>
      <x:c r="H1033" s="20" t="str">
        <x:v>待判定</x:v>
      </x:c>
      <x:c r="I1033" s="20"/>
      <x:c r="J1033" s="20" t="str">
        <x:v>未测试</x:v>
      </x:c>
      <x:c r="K1033" s="20"/>
      <x:c r="L1033" s="20"/>
      <x:c r="M1033" s="20"/>
      <x:c r="N1033" s="20"/>
      <x:c r="O1033" s="31"/>
      <x:c r="P1033" s="20"/>
      <x:c r="Q1033" s="20"/>
      <x:c r="R1033" s="20" t="str">
        <x:v>待展开</x:v>
      </x:c>
      <x:c r="S1033" s="20"/>
      <x:c r="T1033" s="31"/>
      <x:c r="U1033" s="30" t="str">
        <x:f>IF(A1033="","缺记录编号",IF(COUNTIFS(PathRecords[记录编号],A1033)&lt;&gt;1,"记录编号重复",IF(OR(B1033="",E1033=""),"缺组合/功能",IF(COUNTIFS(Equipment[组合编号],B1033)&lt;&gt;1,"组合编号无效",IF(COUNTIFS(FunctionMatrix[编号],E1033)=0,"功能编号无效",IF(H1033="不适用",IF(J1033="已实测","适用性冲突",IF(I1033="","待补不适用依据","不适用（非实测）")),IF(J1033="阻塞",IF(I1033="","待补阻塞原因","阻塞（非实测）"),IF(J1033&lt;&gt;"已实测",IF(F1033="","待展开路径","未实测"),IF(H1033&lt;&gt;"适用","待确认适用性",IF(INDEX(Equipment[登记状态（自动）],MATCH(B1033,Equipment[组合编号],0))&lt;&gt;"已登记","待补设备组合",IF(AND(F1033&lt;&gt;"",G1033&lt;&gt;"",K1033&lt;&gt;"",L1033&lt;&gt;"",M1033&lt;&gt;"",N1033&lt;&gt;"",ISNUMBER(O1033),O1033&gt;0,P1033&lt;&gt;""),"记录齐全","待补实测记录")))))))))))</x:f>
        <x:v>待展开路径</x:v>
      </x:c>
    </x:row>
    <x:row r="1034" ht="43.5" customHeight="1">
      <x:c r="A1034" s="20" t="str">
        <x:v>REC-01025</x:v>
      </x:c>
      <x:c r="B1034" s="20" t="str">
        <x:v>P2-B5-01</x:v>
      </x:c>
      <x:c r="C1034" s="30" t="str">
        <x:f>IF(B1034="","",IF(COUNTIFS(Equipment[组合编号],B1034)&lt;&gt;1,"组合编号无效",INDEX(Equipment[PLC组],MATCH(B1034,Equipment[组合编号],0))))</x:f>
        <x:v>汇川中大型</x:v>
      </x:c>
      <x:c r="D1034" s="30" t="str">
        <x:f>IF(B1034="","",IF(COUNTIFS(Equipment[组合编号],B1034)&lt;&gt;1,"组合编号无效",INDEX(Equipment[驱动品牌],MATCH(B1034,Equipment[组合编号],0))))</x:f>
        <x:v>KEBA（可选）</x:v>
      </x:c>
      <x:c r="E1034" s="20" t="str">
        <x:v>A01</x:v>
      </x:c>
      <x:c r="F1034" s="20"/>
      <x:c r="G1034" s="20"/>
      <x:c r="H1034" s="20" t="str">
        <x:v>待判定</x:v>
      </x:c>
      <x:c r="I1034" s="20"/>
      <x:c r="J1034" s="20" t="str">
        <x:v>未测试</x:v>
      </x:c>
      <x:c r="K1034" s="20"/>
      <x:c r="L1034" s="20"/>
      <x:c r="M1034" s="20"/>
      <x:c r="N1034" s="20"/>
      <x:c r="O1034" s="31"/>
      <x:c r="P1034" s="20"/>
      <x:c r="Q1034" s="20"/>
      <x:c r="R1034" s="20" t="str">
        <x:v>待展开</x:v>
      </x:c>
      <x:c r="S1034" s="20"/>
      <x:c r="T1034" s="31"/>
      <x:c r="U1034" s="30" t="str">
        <x:f>IF(A1034="","缺记录编号",IF(COUNTIFS(PathRecords[记录编号],A1034)&lt;&gt;1,"记录编号重复",IF(OR(B1034="",E1034=""),"缺组合/功能",IF(COUNTIFS(Equipment[组合编号],B1034)&lt;&gt;1,"组合编号无效",IF(COUNTIFS(FunctionMatrix[编号],E1034)=0,"功能编号无效",IF(H1034="不适用",IF(J1034="已实测","适用性冲突",IF(I1034="","待补不适用依据","不适用（非实测）")),IF(J1034="阻塞",IF(I1034="","待补阻塞原因","阻塞（非实测）"),IF(J1034&lt;&gt;"已实测",IF(F1034="","待展开路径","未实测"),IF(H1034&lt;&gt;"适用","待确认适用性",IF(INDEX(Equipment[登记状态（自动）],MATCH(B1034,Equipment[组合编号],0))&lt;&gt;"已登记","待补设备组合",IF(AND(F1034&lt;&gt;"",G1034&lt;&gt;"",K1034&lt;&gt;"",L1034&lt;&gt;"",M1034&lt;&gt;"",N1034&lt;&gt;"",ISNUMBER(O1034),O1034&gt;0,P1034&lt;&gt;""),"记录齐全","待补实测记录")))))))))))</x:f>
        <x:v>待展开路径</x:v>
      </x:c>
    </x:row>
    <x:row r="1035" ht="43.5" customHeight="1">
      <x:c r="A1035" s="20" t="str">
        <x:v>REC-01026</x:v>
      </x:c>
      <x:c r="B1035" s="20" t="str">
        <x:v>P2-B5-01</x:v>
      </x:c>
      <x:c r="C1035" s="30" t="str">
        <x:f>IF(B1035="","",IF(COUNTIFS(Equipment[组合编号],B1035)&lt;&gt;1,"组合编号无效",INDEX(Equipment[PLC组],MATCH(B1035,Equipment[组合编号],0))))</x:f>
        <x:v>汇川中大型</x:v>
      </x:c>
      <x:c r="D1035" s="30" t="str">
        <x:f>IF(B1035="","",IF(COUNTIFS(Equipment[组合编号],B1035)&lt;&gt;1,"组合编号无效",INDEX(Equipment[驱动品牌],MATCH(B1035,Equipment[组合编号],0))))</x:f>
        <x:v>KEBA（可选）</x:v>
      </x:c>
      <x:c r="E1035" s="20" t="str">
        <x:v>A02</x:v>
      </x:c>
      <x:c r="F1035" s="20"/>
      <x:c r="G1035" s="20"/>
      <x:c r="H1035" s="20" t="str">
        <x:v>待判定</x:v>
      </x:c>
      <x:c r="I1035" s="20"/>
      <x:c r="J1035" s="20" t="str">
        <x:v>未测试</x:v>
      </x:c>
      <x:c r="K1035" s="20"/>
      <x:c r="L1035" s="20"/>
      <x:c r="M1035" s="20"/>
      <x:c r="N1035" s="20"/>
      <x:c r="O1035" s="31"/>
      <x:c r="P1035" s="20"/>
      <x:c r="Q1035" s="20"/>
      <x:c r="R1035" s="20" t="str">
        <x:v>待展开</x:v>
      </x:c>
      <x:c r="S1035" s="20"/>
      <x:c r="T1035" s="31"/>
      <x:c r="U1035" s="30" t="str">
        <x:f>IF(A1035="","缺记录编号",IF(COUNTIFS(PathRecords[记录编号],A1035)&lt;&gt;1,"记录编号重复",IF(OR(B1035="",E1035=""),"缺组合/功能",IF(COUNTIFS(Equipment[组合编号],B1035)&lt;&gt;1,"组合编号无效",IF(COUNTIFS(FunctionMatrix[编号],E1035)=0,"功能编号无效",IF(H1035="不适用",IF(J1035="已实测","适用性冲突",IF(I1035="","待补不适用依据","不适用（非实测）")),IF(J1035="阻塞",IF(I1035="","待补阻塞原因","阻塞（非实测）"),IF(J1035&lt;&gt;"已实测",IF(F1035="","待展开路径","未实测"),IF(H1035&lt;&gt;"适用","待确认适用性",IF(INDEX(Equipment[登记状态（自动）],MATCH(B1035,Equipment[组合编号],0))&lt;&gt;"已登记","待补设备组合",IF(AND(F1035&lt;&gt;"",G1035&lt;&gt;"",K1035&lt;&gt;"",L1035&lt;&gt;"",M1035&lt;&gt;"",N1035&lt;&gt;"",ISNUMBER(O1035),O1035&gt;0,P1035&lt;&gt;""),"记录齐全","待补实测记录")))))))))))</x:f>
        <x:v>待展开路径</x:v>
      </x:c>
    </x:row>
    <x:row r="1036" ht="43.5" customHeight="1">
      <x:c r="A1036" s="20" t="str">
        <x:v>REC-01027</x:v>
      </x:c>
      <x:c r="B1036" s="20" t="str">
        <x:v>P2-B5-01</x:v>
      </x:c>
      <x:c r="C1036" s="30" t="str">
        <x:f>IF(B1036="","",IF(COUNTIFS(Equipment[组合编号],B1036)&lt;&gt;1,"组合编号无效",INDEX(Equipment[PLC组],MATCH(B1036,Equipment[组合编号],0))))</x:f>
        <x:v>汇川中大型</x:v>
      </x:c>
      <x:c r="D1036" s="30" t="str">
        <x:f>IF(B1036="","",IF(COUNTIFS(Equipment[组合编号],B1036)&lt;&gt;1,"组合编号无效",INDEX(Equipment[驱动品牌],MATCH(B1036,Equipment[组合编号],0))))</x:f>
        <x:v>KEBA（可选）</x:v>
      </x:c>
      <x:c r="E1036" s="20" t="str">
        <x:v>A03</x:v>
      </x:c>
      <x:c r="F1036" s="20"/>
      <x:c r="G1036" s="20"/>
      <x:c r="H1036" s="20" t="str">
        <x:v>待判定</x:v>
      </x:c>
      <x:c r="I1036" s="20"/>
      <x:c r="J1036" s="20" t="str">
        <x:v>未测试</x:v>
      </x:c>
      <x:c r="K1036" s="20"/>
      <x:c r="L1036" s="20"/>
      <x:c r="M1036" s="20"/>
      <x:c r="N1036" s="20"/>
      <x:c r="O1036" s="31"/>
      <x:c r="P1036" s="20"/>
      <x:c r="Q1036" s="20"/>
      <x:c r="R1036" s="20" t="str">
        <x:v>待展开</x:v>
      </x:c>
      <x:c r="S1036" s="20"/>
      <x:c r="T1036" s="31"/>
      <x:c r="U1036" s="30" t="str">
        <x:f>IF(A1036="","缺记录编号",IF(COUNTIFS(PathRecords[记录编号],A1036)&lt;&gt;1,"记录编号重复",IF(OR(B1036="",E1036=""),"缺组合/功能",IF(COUNTIFS(Equipment[组合编号],B1036)&lt;&gt;1,"组合编号无效",IF(COUNTIFS(FunctionMatrix[编号],E1036)=0,"功能编号无效",IF(H1036="不适用",IF(J1036="已实测","适用性冲突",IF(I1036="","待补不适用依据","不适用（非实测）")),IF(J1036="阻塞",IF(I1036="","待补阻塞原因","阻塞（非实测）"),IF(J1036&lt;&gt;"已实测",IF(F1036="","待展开路径","未实测"),IF(H1036&lt;&gt;"适用","待确认适用性",IF(INDEX(Equipment[登记状态（自动）],MATCH(B1036,Equipment[组合编号],0))&lt;&gt;"已登记","待补设备组合",IF(AND(F1036&lt;&gt;"",G1036&lt;&gt;"",K1036&lt;&gt;"",L1036&lt;&gt;"",M1036&lt;&gt;"",N1036&lt;&gt;"",ISNUMBER(O1036),O1036&gt;0,P1036&lt;&gt;""),"记录齐全","待补实测记录")))))))))))</x:f>
        <x:v>待展开路径</x:v>
      </x:c>
    </x:row>
    <x:row r="1037" ht="43.5" customHeight="1">
      <x:c r="A1037" s="20" t="str">
        <x:v>REC-01028</x:v>
      </x:c>
      <x:c r="B1037" s="20" t="str">
        <x:v>P2-B5-01</x:v>
      </x:c>
      <x:c r="C1037" s="30" t="str">
        <x:f>IF(B1037="","",IF(COUNTIFS(Equipment[组合编号],B1037)&lt;&gt;1,"组合编号无效",INDEX(Equipment[PLC组],MATCH(B1037,Equipment[组合编号],0))))</x:f>
        <x:v>汇川中大型</x:v>
      </x:c>
      <x:c r="D1037" s="30" t="str">
        <x:f>IF(B1037="","",IF(COUNTIFS(Equipment[组合编号],B1037)&lt;&gt;1,"组合编号无效",INDEX(Equipment[驱动品牌],MATCH(B1037,Equipment[组合编号],0))))</x:f>
        <x:v>KEBA（可选）</x:v>
      </x:c>
      <x:c r="E1037" s="20" t="str">
        <x:v>A04</x:v>
      </x:c>
      <x:c r="F1037" s="20"/>
      <x:c r="G1037" s="20"/>
      <x:c r="H1037" s="20" t="str">
        <x:v>待判定</x:v>
      </x:c>
      <x:c r="I1037" s="20"/>
      <x:c r="J1037" s="20" t="str">
        <x:v>未测试</x:v>
      </x:c>
      <x:c r="K1037" s="20"/>
      <x:c r="L1037" s="20"/>
      <x:c r="M1037" s="20"/>
      <x:c r="N1037" s="20"/>
      <x:c r="O1037" s="31"/>
      <x:c r="P1037" s="20"/>
      <x:c r="Q1037" s="20"/>
      <x:c r="R1037" s="20" t="str">
        <x:v>待展开</x:v>
      </x:c>
      <x:c r="S1037" s="20"/>
      <x:c r="T1037" s="31"/>
      <x:c r="U1037" s="30" t="str">
        <x:f>IF(A1037="","缺记录编号",IF(COUNTIFS(PathRecords[记录编号],A1037)&lt;&gt;1,"记录编号重复",IF(OR(B1037="",E1037=""),"缺组合/功能",IF(COUNTIFS(Equipment[组合编号],B1037)&lt;&gt;1,"组合编号无效",IF(COUNTIFS(FunctionMatrix[编号],E1037)=0,"功能编号无效",IF(H1037="不适用",IF(J1037="已实测","适用性冲突",IF(I1037="","待补不适用依据","不适用（非实测）")),IF(J1037="阻塞",IF(I1037="","待补阻塞原因","阻塞（非实测）"),IF(J1037&lt;&gt;"已实测",IF(F1037="","待展开路径","未实测"),IF(H1037&lt;&gt;"适用","待确认适用性",IF(INDEX(Equipment[登记状态（自动）],MATCH(B1037,Equipment[组合编号],0))&lt;&gt;"已登记","待补设备组合",IF(AND(F1037&lt;&gt;"",G1037&lt;&gt;"",K1037&lt;&gt;"",L1037&lt;&gt;"",M1037&lt;&gt;"",N1037&lt;&gt;"",ISNUMBER(O1037),O1037&gt;0,P1037&lt;&gt;""),"记录齐全","待补实测记录")))))))))))</x:f>
        <x:v>待展开路径</x:v>
      </x:c>
    </x:row>
    <x:row r="1038" ht="43.5" customHeight="1">
      <x:c r="A1038" s="20" t="str">
        <x:v>REC-01029</x:v>
      </x:c>
      <x:c r="B1038" s="20" t="str">
        <x:v>P2-B5-01</x:v>
      </x:c>
      <x:c r="C1038" s="30" t="str">
        <x:f>IF(B1038="","",IF(COUNTIFS(Equipment[组合编号],B1038)&lt;&gt;1,"组合编号无效",INDEX(Equipment[PLC组],MATCH(B1038,Equipment[组合编号],0))))</x:f>
        <x:v>汇川中大型</x:v>
      </x:c>
      <x:c r="D1038" s="30" t="str">
        <x:f>IF(B1038="","",IF(COUNTIFS(Equipment[组合编号],B1038)&lt;&gt;1,"组合编号无效",INDEX(Equipment[驱动品牌],MATCH(B1038,Equipment[组合编号],0))))</x:f>
        <x:v>KEBA（可选）</x:v>
      </x:c>
      <x:c r="E1038" s="20" t="str">
        <x:v>A05</x:v>
      </x:c>
      <x:c r="F1038" s="20"/>
      <x:c r="G1038" s="20"/>
      <x:c r="H1038" s="20" t="str">
        <x:v>待判定</x:v>
      </x:c>
      <x:c r="I1038" s="20"/>
      <x:c r="J1038" s="20" t="str">
        <x:v>未测试</x:v>
      </x:c>
      <x:c r="K1038" s="20"/>
      <x:c r="L1038" s="20"/>
      <x:c r="M1038" s="20"/>
      <x:c r="N1038" s="20"/>
      <x:c r="O1038" s="31"/>
      <x:c r="P1038" s="20"/>
      <x:c r="Q1038" s="20"/>
      <x:c r="R1038" s="20" t="str">
        <x:v>待展开</x:v>
      </x:c>
      <x:c r="S1038" s="20"/>
      <x:c r="T1038" s="31"/>
      <x:c r="U1038" s="30" t="str">
        <x:f>IF(A1038="","缺记录编号",IF(COUNTIFS(PathRecords[记录编号],A1038)&lt;&gt;1,"记录编号重复",IF(OR(B1038="",E1038=""),"缺组合/功能",IF(COUNTIFS(Equipment[组合编号],B1038)&lt;&gt;1,"组合编号无效",IF(COUNTIFS(FunctionMatrix[编号],E1038)=0,"功能编号无效",IF(H1038="不适用",IF(J1038="已实测","适用性冲突",IF(I1038="","待补不适用依据","不适用（非实测）")),IF(J1038="阻塞",IF(I1038="","待补阻塞原因","阻塞（非实测）"),IF(J1038&lt;&gt;"已实测",IF(F1038="","待展开路径","未实测"),IF(H1038&lt;&gt;"适用","待确认适用性",IF(INDEX(Equipment[登记状态（自动）],MATCH(B1038,Equipment[组合编号],0))&lt;&gt;"已登记","待补设备组合",IF(AND(F1038&lt;&gt;"",G1038&lt;&gt;"",K1038&lt;&gt;"",L1038&lt;&gt;"",M1038&lt;&gt;"",N1038&lt;&gt;"",ISNUMBER(O1038),O1038&gt;0,P1038&lt;&gt;""),"记录齐全","待补实测记录")))))))))))</x:f>
        <x:v>待展开路径</x:v>
      </x:c>
    </x:row>
    <x:row r="1039" ht="43.5" customHeight="1">
      <x:c r="A1039" s="20" t="str">
        <x:v>REC-01030</x:v>
      </x:c>
      <x:c r="B1039" s="20" t="str">
        <x:v>P2-B5-01</x:v>
      </x:c>
      <x:c r="C1039" s="30" t="str">
        <x:f>IF(B1039="","",IF(COUNTIFS(Equipment[组合编号],B1039)&lt;&gt;1,"组合编号无效",INDEX(Equipment[PLC组],MATCH(B1039,Equipment[组合编号],0))))</x:f>
        <x:v>汇川中大型</x:v>
      </x:c>
      <x:c r="D1039" s="30" t="str">
        <x:f>IF(B1039="","",IF(COUNTIFS(Equipment[组合编号],B1039)&lt;&gt;1,"组合编号无效",INDEX(Equipment[驱动品牌],MATCH(B1039,Equipment[组合编号],0))))</x:f>
        <x:v>KEBA（可选）</x:v>
      </x:c>
      <x:c r="E1039" s="20" t="str">
        <x:v>A06</x:v>
      </x:c>
      <x:c r="F1039" s="20"/>
      <x:c r="G1039" s="20"/>
      <x:c r="H1039" s="20" t="str">
        <x:v>待判定</x:v>
      </x:c>
      <x:c r="I1039" s="20"/>
      <x:c r="J1039" s="20" t="str">
        <x:v>未测试</x:v>
      </x:c>
      <x:c r="K1039" s="20"/>
      <x:c r="L1039" s="20"/>
      <x:c r="M1039" s="20"/>
      <x:c r="N1039" s="20"/>
      <x:c r="O1039" s="31"/>
      <x:c r="P1039" s="20"/>
      <x:c r="Q1039" s="20"/>
      <x:c r="R1039" s="20" t="str">
        <x:v>待展开</x:v>
      </x:c>
      <x:c r="S1039" s="20"/>
      <x:c r="T1039" s="31"/>
      <x:c r="U1039" s="30" t="str">
        <x:f>IF(A1039="","缺记录编号",IF(COUNTIFS(PathRecords[记录编号],A1039)&lt;&gt;1,"记录编号重复",IF(OR(B1039="",E1039=""),"缺组合/功能",IF(COUNTIFS(Equipment[组合编号],B1039)&lt;&gt;1,"组合编号无效",IF(COUNTIFS(FunctionMatrix[编号],E1039)=0,"功能编号无效",IF(H1039="不适用",IF(J1039="已实测","适用性冲突",IF(I1039="","待补不适用依据","不适用（非实测）")),IF(J1039="阻塞",IF(I1039="","待补阻塞原因","阻塞（非实测）"),IF(J1039&lt;&gt;"已实测",IF(F1039="","待展开路径","未实测"),IF(H1039&lt;&gt;"适用","待确认适用性",IF(INDEX(Equipment[登记状态（自动）],MATCH(B1039,Equipment[组合编号],0))&lt;&gt;"已登记","待补设备组合",IF(AND(F1039&lt;&gt;"",G1039&lt;&gt;"",K1039&lt;&gt;"",L1039&lt;&gt;"",M1039&lt;&gt;"",N1039&lt;&gt;"",ISNUMBER(O1039),O1039&gt;0,P1039&lt;&gt;""),"记录齐全","待补实测记录")))))))))))</x:f>
        <x:v>待展开路径</x:v>
      </x:c>
    </x:row>
    <x:row r="1040" ht="43.5" customHeight="1">
      <x:c r="A1040" s="20" t="str">
        <x:v>REC-01031</x:v>
      </x:c>
      <x:c r="B1040" s="20" t="str">
        <x:v>P2-B5-01</x:v>
      </x:c>
      <x:c r="C1040" s="30" t="str">
        <x:f>IF(B1040="","",IF(COUNTIFS(Equipment[组合编号],B1040)&lt;&gt;1,"组合编号无效",INDEX(Equipment[PLC组],MATCH(B1040,Equipment[组合编号],0))))</x:f>
        <x:v>汇川中大型</x:v>
      </x:c>
      <x:c r="D1040" s="30" t="str">
        <x:f>IF(B1040="","",IF(COUNTIFS(Equipment[组合编号],B1040)&lt;&gt;1,"组合编号无效",INDEX(Equipment[驱动品牌],MATCH(B1040,Equipment[组合编号],0))))</x:f>
        <x:v>KEBA（可选）</x:v>
      </x:c>
      <x:c r="E1040" s="20" t="str">
        <x:v>A07</x:v>
      </x:c>
      <x:c r="F1040" s="20"/>
      <x:c r="G1040" s="20"/>
      <x:c r="H1040" s="20" t="str">
        <x:v>待判定</x:v>
      </x:c>
      <x:c r="I1040" s="20"/>
      <x:c r="J1040" s="20" t="str">
        <x:v>未测试</x:v>
      </x:c>
      <x:c r="K1040" s="20"/>
      <x:c r="L1040" s="20"/>
      <x:c r="M1040" s="20"/>
      <x:c r="N1040" s="20"/>
      <x:c r="O1040" s="31"/>
      <x:c r="P1040" s="20"/>
      <x:c r="Q1040" s="20"/>
      <x:c r="R1040" s="20" t="str">
        <x:v>待展开</x:v>
      </x:c>
      <x:c r="S1040" s="20"/>
      <x:c r="T1040" s="31"/>
      <x:c r="U1040" s="30" t="str">
        <x:f>IF(A1040="","缺记录编号",IF(COUNTIFS(PathRecords[记录编号],A1040)&lt;&gt;1,"记录编号重复",IF(OR(B1040="",E1040=""),"缺组合/功能",IF(COUNTIFS(Equipment[组合编号],B1040)&lt;&gt;1,"组合编号无效",IF(COUNTIFS(FunctionMatrix[编号],E1040)=0,"功能编号无效",IF(H1040="不适用",IF(J1040="已实测","适用性冲突",IF(I1040="","待补不适用依据","不适用（非实测）")),IF(J1040="阻塞",IF(I1040="","待补阻塞原因","阻塞（非实测）"),IF(J1040&lt;&gt;"已实测",IF(F1040="","待展开路径","未实测"),IF(H1040&lt;&gt;"适用","待确认适用性",IF(INDEX(Equipment[登记状态（自动）],MATCH(B1040,Equipment[组合编号],0))&lt;&gt;"已登记","待补设备组合",IF(AND(F1040&lt;&gt;"",G1040&lt;&gt;"",K1040&lt;&gt;"",L1040&lt;&gt;"",M1040&lt;&gt;"",N1040&lt;&gt;"",ISNUMBER(O1040),O1040&gt;0,P1040&lt;&gt;""),"记录齐全","待补实测记录")))))))))))</x:f>
        <x:v>待展开路径</x:v>
      </x:c>
    </x:row>
    <x:row r="1041" ht="43.5" customHeight="1">
      <x:c r="A1041" s="20" t="str">
        <x:v>REC-01032</x:v>
      </x:c>
      <x:c r="B1041" s="20" t="str">
        <x:v>P2-B5-01</x:v>
      </x:c>
      <x:c r="C1041" s="30" t="str">
        <x:f>IF(B1041="","",IF(COUNTIFS(Equipment[组合编号],B1041)&lt;&gt;1,"组合编号无效",INDEX(Equipment[PLC组],MATCH(B1041,Equipment[组合编号],0))))</x:f>
        <x:v>汇川中大型</x:v>
      </x:c>
      <x:c r="D1041" s="30" t="str">
        <x:f>IF(B1041="","",IF(COUNTIFS(Equipment[组合编号],B1041)&lt;&gt;1,"组合编号无效",INDEX(Equipment[驱动品牌],MATCH(B1041,Equipment[组合编号],0))))</x:f>
        <x:v>KEBA（可选）</x:v>
      </x:c>
      <x:c r="E1041" s="20" t="str">
        <x:v>A08</x:v>
      </x:c>
      <x:c r="F1041" s="20"/>
      <x:c r="G1041" s="20"/>
      <x:c r="H1041" s="20" t="str">
        <x:v>待判定</x:v>
      </x:c>
      <x:c r="I1041" s="20"/>
      <x:c r="J1041" s="20" t="str">
        <x:v>未测试</x:v>
      </x:c>
      <x:c r="K1041" s="20"/>
      <x:c r="L1041" s="20"/>
      <x:c r="M1041" s="20"/>
      <x:c r="N1041" s="20"/>
      <x:c r="O1041" s="31"/>
      <x:c r="P1041" s="20"/>
      <x:c r="Q1041" s="20"/>
      <x:c r="R1041" s="20" t="str">
        <x:v>待展开</x:v>
      </x:c>
      <x:c r="S1041" s="20"/>
      <x:c r="T1041" s="31"/>
      <x:c r="U1041" s="30" t="str">
        <x:f>IF(A1041="","缺记录编号",IF(COUNTIFS(PathRecords[记录编号],A1041)&lt;&gt;1,"记录编号重复",IF(OR(B1041="",E1041=""),"缺组合/功能",IF(COUNTIFS(Equipment[组合编号],B1041)&lt;&gt;1,"组合编号无效",IF(COUNTIFS(FunctionMatrix[编号],E1041)=0,"功能编号无效",IF(H1041="不适用",IF(J1041="已实测","适用性冲突",IF(I1041="","待补不适用依据","不适用（非实测）")),IF(J1041="阻塞",IF(I1041="","待补阻塞原因","阻塞（非实测）"),IF(J1041&lt;&gt;"已实测",IF(F1041="","待展开路径","未实测"),IF(H1041&lt;&gt;"适用","待确认适用性",IF(INDEX(Equipment[登记状态（自动）],MATCH(B1041,Equipment[组合编号],0))&lt;&gt;"已登记","待补设备组合",IF(AND(F1041&lt;&gt;"",G1041&lt;&gt;"",K1041&lt;&gt;"",L1041&lt;&gt;"",M1041&lt;&gt;"",N1041&lt;&gt;"",ISNUMBER(O1041),O1041&gt;0,P1041&lt;&gt;""),"记录齐全","待补实测记录")))))))))))</x:f>
        <x:v>待展开路径</x:v>
      </x:c>
    </x:row>
    <x:row r="1042" ht="43.5" customHeight="1">
      <x:c r="A1042" s="20" t="str">
        <x:v>REC-01033</x:v>
      </x:c>
      <x:c r="B1042" s="20" t="str">
        <x:v>P2-B5-01</x:v>
      </x:c>
      <x:c r="C1042" s="30" t="str">
        <x:f>IF(B1042="","",IF(COUNTIFS(Equipment[组合编号],B1042)&lt;&gt;1,"组合编号无效",INDEX(Equipment[PLC组],MATCH(B1042,Equipment[组合编号],0))))</x:f>
        <x:v>汇川中大型</x:v>
      </x:c>
      <x:c r="D1042" s="30" t="str">
        <x:f>IF(B1042="","",IF(COUNTIFS(Equipment[组合编号],B1042)&lt;&gt;1,"组合编号无效",INDEX(Equipment[驱动品牌],MATCH(B1042,Equipment[组合编号],0))))</x:f>
        <x:v>KEBA（可选）</x:v>
      </x:c>
      <x:c r="E1042" s="20" t="str">
        <x:v>A09</x:v>
      </x:c>
      <x:c r="F1042" s="20"/>
      <x:c r="G1042" s="20"/>
      <x:c r="H1042" s="20" t="str">
        <x:v>待判定</x:v>
      </x:c>
      <x:c r="I1042" s="20"/>
      <x:c r="J1042" s="20" t="str">
        <x:v>未测试</x:v>
      </x:c>
      <x:c r="K1042" s="20"/>
      <x:c r="L1042" s="20"/>
      <x:c r="M1042" s="20"/>
      <x:c r="N1042" s="20"/>
      <x:c r="O1042" s="31"/>
      <x:c r="P1042" s="20"/>
      <x:c r="Q1042" s="20"/>
      <x:c r="R1042" s="20" t="str">
        <x:v>待展开</x:v>
      </x:c>
      <x:c r="S1042" s="20"/>
      <x:c r="T1042" s="31"/>
      <x:c r="U1042" s="30" t="str">
        <x:f>IF(A1042="","缺记录编号",IF(COUNTIFS(PathRecords[记录编号],A1042)&lt;&gt;1,"记录编号重复",IF(OR(B1042="",E1042=""),"缺组合/功能",IF(COUNTIFS(Equipment[组合编号],B1042)&lt;&gt;1,"组合编号无效",IF(COUNTIFS(FunctionMatrix[编号],E1042)=0,"功能编号无效",IF(H1042="不适用",IF(J1042="已实测","适用性冲突",IF(I1042="","待补不适用依据","不适用（非实测）")),IF(J1042="阻塞",IF(I1042="","待补阻塞原因","阻塞（非实测）"),IF(J1042&lt;&gt;"已实测",IF(F1042="","待展开路径","未实测"),IF(H1042&lt;&gt;"适用","待确认适用性",IF(INDEX(Equipment[登记状态（自动）],MATCH(B1042,Equipment[组合编号],0))&lt;&gt;"已登记","待补设备组合",IF(AND(F1042&lt;&gt;"",G1042&lt;&gt;"",K1042&lt;&gt;"",L1042&lt;&gt;"",M1042&lt;&gt;"",N1042&lt;&gt;"",ISNUMBER(O1042),O1042&gt;0,P1042&lt;&gt;""),"记录齐全","待补实测记录")))))))))))</x:f>
        <x:v>待展开路径</x:v>
      </x:c>
    </x:row>
    <x:row r="1043" ht="43.5" customHeight="1">
      <x:c r="A1043" s="20" t="str">
        <x:v>REC-01034</x:v>
      </x:c>
      <x:c r="B1043" s="20" t="str">
        <x:v>P2-B5-01</x:v>
      </x:c>
      <x:c r="C1043" s="30" t="str">
        <x:f>IF(B1043="","",IF(COUNTIFS(Equipment[组合编号],B1043)&lt;&gt;1,"组合编号无效",INDEX(Equipment[PLC组],MATCH(B1043,Equipment[组合编号],0))))</x:f>
        <x:v>汇川中大型</x:v>
      </x:c>
      <x:c r="D1043" s="30" t="str">
        <x:f>IF(B1043="","",IF(COUNTIFS(Equipment[组合编号],B1043)&lt;&gt;1,"组合编号无效",INDEX(Equipment[驱动品牌],MATCH(B1043,Equipment[组合编号],0))))</x:f>
        <x:v>KEBA（可选）</x:v>
      </x:c>
      <x:c r="E1043" s="20" t="str">
        <x:v>C01</x:v>
      </x:c>
      <x:c r="F1043" s="20"/>
      <x:c r="G1043" s="20"/>
      <x:c r="H1043" s="20" t="str">
        <x:v>待判定</x:v>
      </x:c>
      <x:c r="I1043" s="20"/>
      <x:c r="J1043" s="20" t="str">
        <x:v>未测试</x:v>
      </x:c>
      <x:c r="K1043" s="20"/>
      <x:c r="L1043" s="20"/>
      <x:c r="M1043" s="20"/>
      <x:c r="N1043" s="20"/>
      <x:c r="O1043" s="31"/>
      <x:c r="P1043" s="20"/>
      <x:c r="Q1043" s="20"/>
      <x:c r="R1043" s="20" t="str">
        <x:v>待展开</x:v>
      </x:c>
      <x:c r="S1043" s="20"/>
      <x:c r="T1043" s="31"/>
      <x:c r="U1043" s="30" t="str">
        <x:f>IF(A1043="","缺记录编号",IF(COUNTIFS(PathRecords[记录编号],A1043)&lt;&gt;1,"记录编号重复",IF(OR(B1043="",E1043=""),"缺组合/功能",IF(COUNTIFS(Equipment[组合编号],B1043)&lt;&gt;1,"组合编号无效",IF(COUNTIFS(FunctionMatrix[编号],E1043)=0,"功能编号无效",IF(H1043="不适用",IF(J1043="已实测","适用性冲突",IF(I1043="","待补不适用依据","不适用（非实测）")),IF(J1043="阻塞",IF(I1043="","待补阻塞原因","阻塞（非实测）"),IF(J1043&lt;&gt;"已实测",IF(F1043="","待展开路径","未实测"),IF(H1043&lt;&gt;"适用","待确认适用性",IF(INDEX(Equipment[登记状态（自动）],MATCH(B1043,Equipment[组合编号],0))&lt;&gt;"已登记","待补设备组合",IF(AND(F1043&lt;&gt;"",G1043&lt;&gt;"",K1043&lt;&gt;"",L1043&lt;&gt;"",M1043&lt;&gt;"",N1043&lt;&gt;"",ISNUMBER(O1043),O1043&gt;0,P1043&lt;&gt;""),"记录齐全","待补实测记录")))))))))))</x:f>
        <x:v>待展开路径</x:v>
      </x:c>
    </x:row>
    <x:row r="1044" ht="43.5" customHeight="1">
      <x:c r="A1044" s="20" t="str">
        <x:v>REC-01035</x:v>
      </x:c>
      <x:c r="B1044" s="20" t="str">
        <x:v>P2-B5-01</x:v>
      </x:c>
      <x:c r="C1044" s="30" t="str">
        <x:f>IF(B1044="","",IF(COUNTIFS(Equipment[组合编号],B1044)&lt;&gt;1,"组合编号无效",INDEX(Equipment[PLC组],MATCH(B1044,Equipment[组合编号],0))))</x:f>
        <x:v>汇川中大型</x:v>
      </x:c>
      <x:c r="D1044" s="30" t="str">
        <x:f>IF(B1044="","",IF(COUNTIFS(Equipment[组合编号],B1044)&lt;&gt;1,"组合编号无效",INDEX(Equipment[驱动品牌],MATCH(B1044,Equipment[组合编号],0))))</x:f>
        <x:v>KEBA（可选）</x:v>
      </x:c>
      <x:c r="E1044" s="20" t="str">
        <x:v>C02</x:v>
      </x:c>
      <x:c r="F1044" s="20"/>
      <x:c r="G1044" s="20"/>
      <x:c r="H1044" s="20" t="str">
        <x:v>待判定</x:v>
      </x:c>
      <x:c r="I1044" s="20"/>
      <x:c r="J1044" s="20" t="str">
        <x:v>未测试</x:v>
      </x:c>
      <x:c r="K1044" s="20"/>
      <x:c r="L1044" s="20"/>
      <x:c r="M1044" s="20"/>
      <x:c r="N1044" s="20"/>
      <x:c r="O1044" s="31"/>
      <x:c r="P1044" s="20"/>
      <x:c r="Q1044" s="20"/>
      <x:c r="R1044" s="20" t="str">
        <x:v>待展开</x:v>
      </x:c>
      <x:c r="S1044" s="20"/>
      <x:c r="T1044" s="31"/>
      <x:c r="U1044" s="30" t="str">
        <x:f>IF(A1044="","缺记录编号",IF(COUNTIFS(PathRecords[记录编号],A1044)&lt;&gt;1,"记录编号重复",IF(OR(B1044="",E1044=""),"缺组合/功能",IF(COUNTIFS(Equipment[组合编号],B1044)&lt;&gt;1,"组合编号无效",IF(COUNTIFS(FunctionMatrix[编号],E1044)=0,"功能编号无效",IF(H1044="不适用",IF(J1044="已实测","适用性冲突",IF(I1044="","待补不适用依据","不适用（非实测）")),IF(J1044="阻塞",IF(I1044="","待补阻塞原因","阻塞（非实测）"),IF(J1044&lt;&gt;"已实测",IF(F1044="","待展开路径","未实测"),IF(H1044&lt;&gt;"适用","待确认适用性",IF(INDEX(Equipment[登记状态（自动）],MATCH(B1044,Equipment[组合编号],0))&lt;&gt;"已登记","待补设备组合",IF(AND(F1044&lt;&gt;"",G1044&lt;&gt;"",K1044&lt;&gt;"",L1044&lt;&gt;"",M1044&lt;&gt;"",N1044&lt;&gt;"",ISNUMBER(O1044),O1044&gt;0,P1044&lt;&gt;""),"记录齐全","待补实测记录")))))))))))</x:f>
        <x:v>待展开路径</x:v>
      </x:c>
    </x:row>
    <x:row r="1045" ht="43.5" customHeight="1">
      <x:c r="A1045" s="20" t="str">
        <x:v>REC-01036</x:v>
      </x:c>
      <x:c r="B1045" s="20" t="str">
        <x:v>P2-B5-01</x:v>
      </x:c>
      <x:c r="C1045" s="30" t="str">
        <x:f>IF(B1045="","",IF(COUNTIFS(Equipment[组合编号],B1045)&lt;&gt;1,"组合编号无效",INDEX(Equipment[PLC组],MATCH(B1045,Equipment[组合编号],0))))</x:f>
        <x:v>汇川中大型</x:v>
      </x:c>
      <x:c r="D1045" s="30" t="str">
        <x:f>IF(B1045="","",IF(COUNTIFS(Equipment[组合编号],B1045)&lt;&gt;1,"组合编号无效",INDEX(Equipment[驱动品牌],MATCH(B1045,Equipment[组合编号],0))))</x:f>
        <x:v>KEBA（可选）</x:v>
      </x:c>
      <x:c r="E1045" s="20" t="str">
        <x:v>C03</x:v>
      </x:c>
      <x:c r="F1045" s="20"/>
      <x:c r="G1045" s="20"/>
      <x:c r="H1045" s="20" t="str">
        <x:v>待判定</x:v>
      </x:c>
      <x:c r="I1045" s="20"/>
      <x:c r="J1045" s="20" t="str">
        <x:v>未测试</x:v>
      </x:c>
      <x:c r="K1045" s="20"/>
      <x:c r="L1045" s="20"/>
      <x:c r="M1045" s="20"/>
      <x:c r="N1045" s="20"/>
      <x:c r="O1045" s="31"/>
      <x:c r="P1045" s="20"/>
      <x:c r="Q1045" s="20"/>
      <x:c r="R1045" s="20" t="str">
        <x:v>待展开</x:v>
      </x:c>
      <x:c r="S1045" s="20"/>
      <x:c r="T1045" s="31"/>
      <x:c r="U1045" s="30" t="str">
        <x:f>IF(A1045="","缺记录编号",IF(COUNTIFS(PathRecords[记录编号],A1045)&lt;&gt;1,"记录编号重复",IF(OR(B1045="",E1045=""),"缺组合/功能",IF(COUNTIFS(Equipment[组合编号],B1045)&lt;&gt;1,"组合编号无效",IF(COUNTIFS(FunctionMatrix[编号],E1045)=0,"功能编号无效",IF(H1045="不适用",IF(J1045="已实测","适用性冲突",IF(I1045="","待补不适用依据","不适用（非实测）")),IF(J1045="阻塞",IF(I1045="","待补阻塞原因","阻塞（非实测）"),IF(J1045&lt;&gt;"已实测",IF(F1045="","待展开路径","未实测"),IF(H1045&lt;&gt;"适用","待确认适用性",IF(INDEX(Equipment[登记状态（自动）],MATCH(B1045,Equipment[组合编号],0))&lt;&gt;"已登记","待补设备组合",IF(AND(F1045&lt;&gt;"",G1045&lt;&gt;"",K1045&lt;&gt;"",L1045&lt;&gt;"",M1045&lt;&gt;"",N1045&lt;&gt;"",ISNUMBER(O1045),O1045&gt;0,P1045&lt;&gt;""),"记录齐全","待补实测记录")))))))))))</x:f>
        <x:v>待展开路径</x:v>
      </x:c>
    </x:row>
    <x:row r="1046" ht="43.5" customHeight="1">
      <x:c r="A1046" s="20" t="str">
        <x:v>REC-01037</x:v>
      </x:c>
      <x:c r="B1046" s="20" t="str">
        <x:v>P2-B5-01</x:v>
      </x:c>
      <x:c r="C1046" s="30" t="str">
        <x:f>IF(B1046="","",IF(COUNTIFS(Equipment[组合编号],B1046)&lt;&gt;1,"组合编号无效",INDEX(Equipment[PLC组],MATCH(B1046,Equipment[组合编号],0))))</x:f>
        <x:v>汇川中大型</x:v>
      </x:c>
      <x:c r="D1046" s="30" t="str">
        <x:f>IF(B1046="","",IF(COUNTIFS(Equipment[组合编号],B1046)&lt;&gt;1,"组合编号无效",INDEX(Equipment[驱动品牌],MATCH(B1046,Equipment[组合编号],0))))</x:f>
        <x:v>KEBA（可选）</x:v>
      </x:c>
      <x:c r="E1046" s="20" t="str">
        <x:v>C04</x:v>
      </x:c>
      <x:c r="F1046" s="20"/>
      <x:c r="G1046" s="20"/>
      <x:c r="H1046" s="20" t="str">
        <x:v>待判定</x:v>
      </x:c>
      <x:c r="I1046" s="20"/>
      <x:c r="J1046" s="20" t="str">
        <x:v>未测试</x:v>
      </x:c>
      <x:c r="K1046" s="20"/>
      <x:c r="L1046" s="20"/>
      <x:c r="M1046" s="20"/>
      <x:c r="N1046" s="20"/>
      <x:c r="O1046" s="31"/>
      <x:c r="P1046" s="20"/>
      <x:c r="Q1046" s="20"/>
      <x:c r="R1046" s="20" t="str">
        <x:v>待展开</x:v>
      </x:c>
      <x:c r="S1046" s="20"/>
      <x:c r="T1046" s="31"/>
      <x:c r="U1046" s="30" t="str">
        <x:f>IF(A1046="","缺记录编号",IF(COUNTIFS(PathRecords[记录编号],A1046)&lt;&gt;1,"记录编号重复",IF(OR(B1046="",E1046=""),"缺组合/功能",IF(COUNTIFS(Equipment[组合编号],B1046)&lt;&gt;1,"组合编号无效",IF(COUNTIFS(FunctionMatrix[编号],E1046)=0,"功能编号无效",IF(H1046="不适用",IF(J1046="已实测","适用性冲突",IF(I1046="","待补不适用依据","不适用（非实测）")),IF(J1046="阻塞",IF(I1046="","待补阻塞原因","阻塞（非实测）"),IF(J1046&lt;&gt;"已实测",IF(F1046="","待展开路径","未实测"),IF(H1046&lt;&gt;"适用","待确认适用性",IF(INDEX(Equipment[登记状态（自动）],MATCH(B1046,Equipment[组合编号],0))&lt;&gt;"已登记","待补设备组合",IF(AND(F1046&lt;&gt;"",G1046&lt;&gt;"",K1046&lt;&gt;"",L1046&lt;&gt;"",M1046&lt;&gt;"",N1046&lt;&gt;"",ISNUMBER(O1046),O1046&gt;0,P1046&lt;&gt;""),"记录齐全","待补实测记录")))))))))))</x:f>
        <x:v>待展开路径</x:v>
      </x:c>
    </x:row>
    <x:row r="1047" ht="43.5" customHeight="1">
      <x:c r="A1047" s="20" t="str">
        <x:v>REC-01038</x:v>
      </x:c>
      <x:c r="B1047" s="20" t="str">
        <x:v>P2-B5-01</x:v>
      </x:c>
      <x:c r="C1047" s="30" t="str">
        <x:f>IF(B1047="","",IF(COUNTIFS(Equipment[组合编号],B1047)&lt;&gt;1,"组合编号无效",INDEX(Equipment[PLC组],MATCH(B1047,Equipment[组合编号],0))))</x:f>
        <x:v>汇川中大型</x:v>
      </x:c>
      <x:c r="D1047" s="30" t="str">
        <x:f>IF(B1047="","",IF(COUNTIFS(Equipment[组合编号],B1047)&lt;&gt;1,"组合编号无效",INDEX(Equipment[驱动品牌],MATCH(B1047,Equipment[组合编号],0))))</x:f>
        <x:v>KEBA（可选）</x:v>
      </x:c>
      <x:c r="E1047" s="20" t="str">
        <x:v>C05</x:v>
      </x:c>
      <x:c r="F1047" s="20"/>
      <x:c r="G1047" s="20"/>
      <x:c r="H1047" s="20" t="str">
        <x:v>待判定</x:v>
      </x:c>
      <x:c r="I1047" s="20"/>
      <x:c r="J1047" s="20" t="str">
        <x:v>未测试</x:v>
      </x:c>
      <x:c r="K1047" s="20"/>
      <x:c r="L1047" s="20"/>
      <x:c r="M1047" s="20"/>
      <x:c r="N1047" s="20"/>
      <x:c r="O1047" s="31"/>
      <x:c r="P1047" s="20"/>
      <x:c r="Q1047" s="20"/>
      <x:c r="R1047" s="20" t="str">
        <x:v>待展开</x:v>
      </x:c>
      <x:c r="S1047" s="20"/>
      <x:c r="T1047" s="31"/>
      <x:c r="U1047" s="30" t="str">
        <x:f>IF(A1047="","缺记录编号",IF(COUNTIFS(PathRecords[记录编号],A1047)&lt;&gt;1,"记录编号重复",IF(OR(B1047="",E1047=""),"缺组合/功能",IF(COUNTIFS(Equipment[组合编号],B1047)&lt;&gt;1,"组合编号无效",IF(COUNTIFS(FunctionMatrix[编号],E1047)=0,"功能编号无效",IF(H1047="不适用",IF(J1047="已实测","适用性冲突",IF(I1047="","待补不适用依据","不适用（非实测）")),IF(J1047="阻塞",IF(I1047="","待补阻塞原因","阻塞（非实测）"),IF(J1047&lt;&gt;"已实测",IF(F1047="","待展开路径","未实测"),IF(H1047&lt;&gt;"适用","待确认适用性",IF(INDEX(Equipment[登记状态（自动）],MATCH(B1047,Equipment[组合编号],0))&lt;&gt;"已登记","待补设备组合",IF(AND(F1047&lt;&gt;"",G1047&lt;&gt;"",K1047&lt;&gt;"",L1047&lt;&gt;"",M1047&lt;&gt;"",N1047&lt;&gt;"",ISNUMBER(O1047),O1047&gt;0,P1047&lt;&gt;""),"记录齐全","待补实测记录")))))))))))</x:f>
        <x:v>待展开路径</x:v>
      </x:c>
    </x:row>
    <x:row r="1048" ht="43.5" customHeight="1">
      <x:c r="A1048" s="20" t="str">
        <x:v>REC-01039</x:v>
      </x:c>
      <x:c r="B1048" s="20" t="str">
        <x:v>P2-B5-01</x:v>
      </x:c>
      <x:c r="C1048" s="30" t="str">
        <x:f>IF(B1048="","",IF(COUNTIFS(Equipment[组合编号],B1048)&lt;&gt;1,"组合编号无效",INDEX(Equipment[PLC组],MATCH(B1048,Equipment[组合编号],0))))</x:f>
        <x:v>汇川中大型</x:v>
      </x:c>
      <x:c r="D1048" s="30" t="str">
        <x:f>IF(B1048="","",IF(COUNTIFS(Equipment[组合编号],B1048)&lt;&gt;1,"组合编号无效",INDEX(Equipment[驱动品牌],MATCH(B1048,Equipment[组合编号],0))))</x:f>
        <x:v>KEBA（可选）</x:v>
      </x:c>
      <x:c r="E1048" s="20" t="str">
        <x:v>C06</x:v>
      </x:c>
      <x:c r="F1048" s="20"/>
      <x:c r="G1048" s="20"/>
      <x:c r="H1048" s="20" t="str">
        <x:v>待判定</x:v>
      </x:c>
      <x:c r="I1048" s="20"/>
      <x:c r="J1048" s="20" t="str">
        <x:v>未测试</x:v>
      </x:c>
      <x:c r="K1048" s="20"/>
      <x:c r="L1048" s="20"/>
      <x:c r="M1048" s="20"/>
      <x:c r="N1048" s="20"/>
      <x:c r="O1048" s="31"/>
      <x:c r="P1048" s="20"/>
      <x:c r="Q1048" s="20"/>
      <x:c r="R1048" s="20" t="str">
        <x:v>待展开</x:v>
      </x:c>
      <x:c r="S1048" s="20"/>
      <x:c r="T1048" s="31"/>
      <x:c r="U1048" s="30" t="str">
        <x:f>IF(A1048="","缺记录编号",IF(COUNTIFS(PathRecords[记录编号],A1048)&lt;&gt;1,"记录编号重复",IF(OR(B1048="",E1048=""),"缺组合/功能",IF(COUNTIFS(Equipment[组合编号],B1048)&lt;&gt;1,"组合编号无效",IF(COUNTIFS(FunctionMatrix[编号],E1048)=0,"功能编号无效",IF(H1048="不适用",IF(J1048="已实测","适用性冲突",IF(I1048="","待补不适用依据","不适用（非实测）")),IF(J1048="阻塞",IF(I1048="","待补阻塞原因","阻塞（非实测）"),IF(J1048&lt;&gt;"已实测",IF(F1048="","待展开路径","未实测"),IF(H1048&lt;&gt;"适用","待确认适用性",IF(INDEX(Equipment[登记状态（自动）],MATCH(B1048,Equipment[组合编号],0))&lt;&gt;"已登记","待补设备组合",IF(AND(F1048&lt;&gt;"",G1048&lt;&gt;"",K1048&lt;&gt;"",L1048&lt;&gt;"",M1048&lt;&gt;"",N1048&lt;&gt;"",ISNUMBER(O1048),O1048&gt;0,P1048&lt;&gt;""),"记录齐全","待补实测记录")))))))))))</x:f>
        <x:v>待展开路径</x:v>
      </x:c>
    </x:row>
    <x:row r="1049" ht="43.5" customHeight="1">
      <x:c r="A1049" s="20" t="str">
        <x:v>REC-01040</x:v>
      </x:c>
      <x:c r="B1049" s="20" t="str">
        <x:v>P2-B5-01</x:v>
      </x:c>
      <x:c r="C1049" s="30" t="str">
        <x:f>IF(B1049="","",IF(COUNTIFS(Equipment[组合编号],B1049)&lt;&gt;1,"组合编号无效",INDEX(Equipment[PLC组],MATCH(B1049,Equipment[组合编号],0))))</x:f>
        <x:v>汇川中大型</x:v>
      </x:c>
      <x:c r="D1049" s="30" t="str">
        <x:f>IF(B1049="","",IF(COUNTIFS(Equipment[组合编号],B1049)&lt;&gt;1,"组合编号无效",INDEX(Equipment[驱动品牌],MATCH(B1049,Equipment[组合编号],0))))</x:f>
        <x:v>KEBA（可选）</x:v>
      </x:c>
      <x:c r="E1049" s="20" t="str">
        <x:v>C07</x:v>
      </x:c>
      <x:c r="F1049" s="20"/>
      <x:c r="G1049" s="20"/>
      <x:c r="H1049" s="20" t="str">
        <x:v>待判定</x:v>
      </x:c>
      <x:c r="I1049" s="20"/>
      <x:c r="J1049" s="20" t="str">
        <x:v>未测试</x:v>
      </x:c>
      <x:c r="K1049" s="20"/>
      <x:c r="L1049" s="20"/>
      <x:c r="M1049" s="20"/>
      <x:c r="N1049" s="20"/>
      <x:c r="O1049" s="31"/>
      <x:c r="P1049" s="20"/>
      <x:c r="Q1049" s="20"/>
      <x:c r="R1049" s="20" t="str">
        <x:v>待展开</x:v>
      </x:c>
      <x:c r="S1049" s="20"/>
      <x:c r="T1049" s="31"/>
      <x:c r="U1049" s="30" t="str">
        <x:f>IF(A1049="","缺记录编号",IF(COUNTIFS(PathRecords[记录编号],A1049)&lt;&gt;1,"记录编号重复",IF(OR(B1049="",E1049=""),"缺组合/功能",IF(COUNTIFS(Equipment[组合编号],B1049)&lt;&gt;1,"组合编号无效",IF(COUNTIFS(FunctionMatrix[编号],E1049)=0,"功能编号无效",IF(H1049="不适用",IF(J1049="已实测","适用性冲突",IF(I1049="","待补不适用依据","不适用（非实测）")),IF(J1049="阻塞",IF(I1049="","待补阻塞原因","阻塞（非实测）"),IF(J1049&lt;&gt;"已实测",IF(F1049="","待展开路径","未实测"),IF(H1049&lt;&gt;"适用","待确认适用性",IF(INDEX(Equipment[登记状态（自动）],MATCH(B1049,Equipment[组合编号],0))&lt;&gt;"已登记","待补设备组合",IF(AND(F1049&lt;&gt;"",G1049&lt;&gt;"",K1049&lt;&gt;"",L1049&lt;&gt;"",M1049&lt;&gt;"",N1049&lt;&gt;"",ISNUMBER(O1049),O1049&gt;0,P1049&lt;&gt;""),"记录齐全","待补实测记录")))))))))))</x:f>
        <x:v>待展开路径</x:v>
      </x:c>
    </x:row>
    <x:row r="1050" ht="43.5" customHeight="1">
      <x:c r="A1050" s="20" t="str">
        <x:v>REC-01041</x:v>
      </x:c>
      <x:c r="B1050" s="20" t="str">
        <x:v>P2-B5-01</x:v>
      </x:c>
      <x:c r="C1050" s="30" t="str">
        <x:f>IF(B1050="","",IF(COUNTIFS(Equipment[组合编号],B1050)&lt;&gt;1,"组合编号无效",INDEX(Equipment[PLC组],MATCH(B1050,Equipment[组合编号],0))))</x:f>
        <x:v>汇川中大型</x:v>
      </x:c>
      <x:c r="D1050" s="30" t="str">
        <x:f>IF(B1050="","",IF(COUNTIFS(Equipment[组合编号],B1050)&lt;&gt;1,"组合编号无效",INDEX(Equipment[驱动品牌],MATCH(B1050,Equipment[组合编号],0))))</x:f>
        <x:v>KEBA（可选）</x:v>
      </x:c>
      <x:c r="E1050" s="20" t="str">
        <x:v>C08</x:v>
      </x:c>
      <x:c r="F1050" s="20"/>
      <x:c r="G1050" s="20"/>
      <x:c r="H1050" s="20" t="str">
        <x:v>待判定</x:v>
      </x:c>
      <x:c r="I1050" s="20"/>
      <x:c r="J1050" s="20" t="str">
        <x:v>未测试</x:v>
      </x:c>
      <x:c r="K1050" s="20"/>
      <x:c r="L1050" s="20"/>
      <x:c r="M1050" s="20"/>
      <x:c r="N1050" s="20"/>
      <x:c r="O1050" s="31"/>
      <x:c r="P1050" s="20"/>
      <x:c r="Q1050" s="20"/>
      <x:c r="R1050" s="20" t="str">
        <x:v>待展开</x:v>
      </x:c>
      <x:c r="S1050" s="20"/>
      <x:c r="T1050" s="31"/>
      <x:c r="U1050" s="30" t="str">
        <x:f>IF(A1050="","缺记录编号",IF(COUNTIFS(PathRecords[记录编号],A1050)&lt;&gt;1,"记录编号重复",IF(OR(B1050="",E1050=""),"缺组合/功能",IF(COUNTIFS(Equipment[组合编号],B1050)&lt;&gt;1,"组合编号无效",IF(COUNTIFS(FunctionMatrix[编号],E1050)=0,"功能编号无效",IF(H1050="不适用",IF(J1050="已实测","适用性冲突",IF(I1050="","待补不适用依据","不适用（非实测）")),IF(J1050="阻塞",IF(I1050="","待补阻塞原因","阻塞（非实测）"),IF(J1050&lt;&gt;"已实测",IF(F1050="","待展开路径","未实测"),IF(H1050&lt;&gt;"适用","待确认适用性",IF(INDEX(Equipment[登记状态（自动）],MATCH(B1050,Equipment[组合编号],0))&lt;&gt;"已登记","待补设备组合",IF(AND(F1050&lt;&gt;"",G1050&lt;&gt;"",K1050&lt;&gt;"",L1050&lt;&gt;"",M1050&lt;&gt;"",N1050&lt;&gt;"",ISNUMBER(O1050),O1050&gt;0,P1050&lt;&gt;""),"记录齐全","待补实测记录")))))))))))</x:f>
        <x:v>待展开路径</x:v>
      </x:c>
    </x:row>
    <x:row r="1051" ht="43.5" customHeight="1">
      <x:c r="A1051" s="20" t="str">
        <x:v>REC-01042</x:v>
      </x:c>
      <x:c r="B1051" s="20" t="str">
        <x:v>P2-B5-01</x:v>
      </x:c>
      <x:c r="C1051" s="30" t="str">
        <x:f>IF(B1051="","",IF(COUNTIFS(Equipment[组合编号],B1051)&lt;&gt;1,"组合编号无效",INDEX(Equipment[PLC组],MATCH(B1051,Equipment[组合编号],0))))</x:f>
        <x:v>汇川中大型</x:v>
      </x:c>
      <x:c r="D1051" s="30" t="str">
        <x:f>IF(B1051="","",IF(COUNTIFS(Equipment[组合编号],B1051)&lt;&gt;1,"组合编号无效",INDEX(Equipment[驱动品牌],MATCH(B1051,Equipment[组合编号],0))))</x:f>
        <x:v>KEBA（可选）</x:v>
      </x:c>
      <x:c r="E1051" s="20" t="str">
        <x:v>C09</x:v>
      </x:c>
      <x:c r="F1051" s="20"/>
      <x:c r="G1051" s="20"/>
      <x:c r="H1051" s="20" t="str">
        <x:v>待判定</x:v>
      </x:c>
      <x:c r="I1051" s="20"/>
      <x:c r="J1051" s="20" t="str">
        <x:v>未测试</x:v>
      </x:c>
      <x:c r="K1051" s="20"/>
      <x:c r="L1051" s="20"/>
      <x:c r="M1051" s="20"/>
      <x:c r="N1051" s="20"/>
      <x:c r="O1051" s="31"/>
      <x:c r="P1051" s="20"/>
      <x:c r="Q1051" s="20"/>
      <x:c r="R1051" s="20" t="str">
        <x:v>待展开</x:v>
      </x:c>
      <x:c r="S1051" s="20"/>
      <x:c r="T1051" s="31"/>
      <x:c r="U1051" s="30" t="str">
        <x:f>IF(A1051="","缺记录编号",IF(COUNTIFS(PathRecords[记录编号],A1051)&lt;&gt;1,"记录编号重复",IF(OR(B1051="",E1051=""),"缺组合/功能",IF(COUNTIFS(Equipment[组合编号],B1051)&lt;&gt;1,"组合编号无效",IF(COUNTIFS(FunctionMatrix[编号],E1051)=0,"功能编号无效",IF(H1051="不适用",IF(J1051="已实测","适用性冲突",IF(I1051="","待补不适用依据","不适用（非实测）")),IF(J1051="阻塞",IF(I1051="","待补阻塞原因","阻塞（非实测）"),IF(J1051&lt;&gt;"已实测",IF(F1051="","待展开路径","未实测"),IF(H1051&lt;&gt;"适用","待确认适用性",IF(INDEX(Equipment[登记状态（自动）],MATCH(B1051,Equipment[组合编号],0))&lt;&gt;"已登记","待补设备组合",IF(AND(F1051&lt;&gt;"",G1051&lt;&gt;"",K1051&lt;&gt;"",L1051&lt;&gt;"",M1051&lt;&gt;"",N1051&lt;&gt;"",ISNUMBER(O1051),O1051&gt;0,P1051&lt;&gt;""),"记录齐全","待补实测记录")))))))))))</x:f>
        <x:v>待展开路径</x:v>
      </x:c>
    </x:row>
    <x:row r="1052" ht="43.5" customHeight="1">
      <x:c r="A1052" s="20" t="str">
        <x:v>REC-01043</x:v>
      </x:c>
      <x:c r="B1052" s="20" t="str">
        <x:v>P2-B5-01</x:v>
      </x:c>
      <x:c r="C1052" s="30" t="str">
        <x:f>IF(B1052="","",IF(COUNTIFS(Equipment[组合编号],B1052)&lt;&gt;1,"组合编号无效",INDEX(Equipment[PLC组],MATCH(B1052,Equipment[组合编号],0))))</x:f>
        <x:v>汇川中大型</x:v>
      </x:c>
      <x:c r="D1052" s="30" t="str">
        <x:f>IF(B1052="","",IF(COUNTIFS(Equipment[组合编号],B1052)&lt;&gt;1,"组合编号无效",INDEX(Equipment[驱动品牌],MATCH(B1052,Equipment[组合编号],0))))</x:f>
        <x:v>KEBA（可选）</x:v>
      </x:c>
      <x:c r="E1052" s="20" t="str">
        <x:v>C10</x:v>
      </x:c>
      <x:c r="F1052" s="20"/>
      <x:c r="G1052" s="20"/>
      <x:c r="H1052" s="20" t="str">
        <x:v>待判定</x:v>
      </x:c>
      <x:c r="I1052" s="20"/>
      <x:c r="J1052" s="20" t="str">
        <x:v>未测试</x:v>
      </x:c>
      <x:c r="K1052" s="20"/>
      <x:c r="L1052" s="20"/>
      <x:c r="M1052" s="20"/>
      <x:c r="N1052" s="20"/>
      <x:c r="O1052" s="31"/>
      <x:c r="P1052" s="20"/>
      <x:c r="Q1052" s="20"/>
      <x:c r="R1052" s="20" t="str">
        <x:v>待展开</x:v>
      </x:c>
      <x:c r="S1052" s="20"/>
      <x:c r="T1052" s="31"/>
      <x:c r="U1052" s="30" t="str">
        <x:f>IF(A1052="","缺记录编号",IF(COUNTIFS(PathRecords[记录编号],A1052)&lt;&gt;1,"记录编号重复",IF(OR(B1052="",E1052=""),"缺组合/功能",IF(COUNTIFS(Equipment[组合编号],B1052)&lt;&gt;1,"组合编号无效",IF(COUNTIFS(FunctionMatrix[编号],E1052)=0,"功能编号无效",IF(H1052="不适用",IF(J1052="已实测","适用性冲突",IF(I1052="","待补不适用依据","不适用（非实测）")),IF(J1052="阻塞",IF(I1052="","待补阻塞原因","阻塞（非实测）"),IF(J1052&lt;&gt;"已实测",IF(F1052="","待展开路径","未实测"),IF(H1052&lt;&gt;"适用","待确认适用性",IF(INDEX(Equipment[登记状态（自动）],MATCH(B1052,Equipment[组合编号],0))&lt;&gt;"已登记","待补设备组合",IF(AND(F1052&lt;&gt;"",G1052&lt;&gt;"",K1052&lt;&gt;"",L1052&lt;&gt;"",M1052&lt;&gt;"",N1052&lt;&gt;"",ISNUMBER(O1052),O1052&gt;0,P1052&lt;&gt;""),"记录齐全","待补实测记录")))))))))))</x:f>
        <x:v>待展开路径</x:v>
      </x:c>
    </x:row>
    <x:row r="1053" ht="43.5" customHeight="1">
      <x:c r="A1053" s="20" t="str">
        <x:v>REC-01044</x:v>
      </x:c>
      <x:c r="B1053" s="20" t="str">
        <x:v>P2-B5-01</x:v>
      </x:c>
      <x:c r="C1053" s="30" t="str">
        <x:f>IF(B1053="","",IF(COUNTIFS(Equipment[组合编号],B1053)&lt;&gt;1,"组合编号无效",INDEX(Equipment[PLC组],MATCH(B1053,Equipment[组合编号],0))))</x:f>
        <x:v>汇川中大型</x:v>
      </x:c>
      <x:c r="D1053" s="30" t="str">
        <x:f>IF(B1053="","",IF(COUNTIFS(Equipment[组合编号],B1053)&lt;&gt;1,"组合编号无效",INDEX(Equipment[驱动品牌],MATCH(B1053,Equipment[组合编号],0))))</x:f>
        <x:v>KEBA（可选）</x:v>
      </x:c>
      <x:c r="E1053" s="20" t="str">
        <x:v>T01</x:v>
      </x:c>
      <x:c r="F1053" s="20"/>
      <x:c r="G1053" s="20"/>
      <x:c r="H1053" s="20" t="str">
        <x:v>待判定</x:v>
      </x:c>
      <x:c r="I1053" s="20"/>
      <x:c r="J1053" s="20" t="str">
        <x:v>未测试</x:v>
      </x:c>
      <x:c r="K1053" s="20"/>
      <x:c r="L1053" s="20"/>
      <x:c r="M1053" s="20"/>
      <x:c r="N1053" s="20"/>
      <x:c r="O1053" s="31"/>
      <x:c r="P1053" s="20"/>
      <x:c r="Q1053" s="20"/>
      <x:c r="R1053" s="20" t="str">
        <x:v>待展开</x:v>
      </x:c>
      <x:c r="S1053" s="20"/>
      <x:c r="T1053" s="31"/>
      <x:c r="U1053" s="30" t="str">
        <x:f>IF(A1053="","缺记录编号",IF(COUNTIFS(PathRecords[记录编号],A1053)&lt;&gt;1,"记录编号重复",IF(OR(B1053="",E1053=""),"缺组合/功能",IF(COUNTIFS(Equipment[组合编号],B1053)&lt;&gt;1,"组合编号无效",IF(COUNTIFS(FunctionMatrix[编号],E1053)=0,"功能编号无效",IF(H1053="不适用",IF(J1053="已实测","适用性冲突",IF(I1053="","待补不适用依据","不适用（非实测）")),IF(J1053="阻塞",IF(I1053="","待补阻塞原因","阻塞（非实测）"),IF(J1053&lt;&gt;"已实测",IF(F1053="","待展开路径","未实测"),IF(H1053&lt;&gt;"适用","待确认适用性",IF(INDEX(Equipment[登记状态（自动）],MATCH(B1053,Equipment[组合编号],0))&lt;&gt;"已登记","待补设备组合",IF(AND(F1053&lt;&gt;"",G1053&lt;&gt;"",K1053&lt;&gt;"",L1053&lt;&gt;"",M1053&lt;&gt;"",N1053&lt;&gt;"",ISNUMBER(O1053),O1053&gt;0,P1053&lt;&gt;""),"记录齐全","待补实测记录")))))))))))</x:f>
        <x:v>待展开路径</x:v>
      </x:c>
    </x:row>
    <x:row r="1054" ht="43.5" customHeight="1">
      <x:c r="A1054" s="20" t="str">
        <x:v>REC-01045</x:v>
      </x:c>
      <x:c r="B1054" s="20" t="str">
        <x:v>P2-B5-01</x:v>
      </x:c>
      <x:c r="C1054" s="30" t="str">
        <x:f>IF(B1054="","",IF(COUNTIFS(Equipment[组合编号],B1054)&lt;&gt;1,"组合编号无效",INDEX(Equipment[PLC组],MATCH(B1054,Equipment[组合编号],0))))</x:f>
        <x:v>汇川中大型</x:v>
      </x:c>
      <x:c r="D1054" s="30" t="str">
        <x:f>IF(B1054="","",IF(COUNTIFS(Equipment[组合编号],B1054)&lt;&gt;1,"组合编号无效",INDEX(Equipment[驱动品牌],MATCH(B1054,Equipment[组合编号],0))))</x:f>
        <x:v>KEBA（可选）</x:v>
      </x:c>
      <x:c r="E1054" s="20" t="str">
        <x:v>T02</x:v>
      </x:c>
      <x:c r="F1054" s="20"/>
      <x:c r="G1054" s="20"/>
      <x:c r="H1054" s="20" t="str">
        <x:v>待判定</x:v>
      </x:c>
      <x:c r="I1054" s="20"/>
      <x:c r="J1054" s="20" t="str">
        <x:v>未测试</x:v>
      </x:c>
      <x:c r="K1054" s="20"/>
      <x:c r="L1054" s="20"/>
      <x:c r="M1054" s="20"/>
      <x:c r="N1054" s="20"/>
      <x:c r="O1054" s="31"/>
      <x:c r="P1054" s="20"/>
      <x:c r="Q1054" s="20"/>
      <x:c r="R1054" s="20" t="str">
        <x:v>待展开</x:v>
      </x:c>
      <x:c r="S1054" s="20"/>
      <x:c r="T1054" s="31"/>
      <x:c r="U1054" s="30" t="str">
        <x:f>IF(A1054="","缺记录编号",IF(COUNTIFS(PathRecords[记录编号],A1054)&lt;&gt;1,"记录编号重复",IF(OR(B1054="",E1054=""),"缺组合/功能",IF(COUNTIFS(Equipment[组合编号],B1054)&lt;&gt;1,"组合编号无效",IF(COUNTIFS(FunctionMatrix[编号],E1054)=0,"功能编号无效",IF(H1054="不适用",IF(J1054="已实测","适用性冲突",IF(I1054="","待补不适用依据","不适用（非实测）")),IF(J1054="阻塞",IF(I1054="","待补阻塞原因","阻塞（非实测）"),IF(J1054&lt;&gt;"已实测",IF(F1054="","待展开路径","未实测"),IF(H1054&lt;&gt;"适用","待确认适用性",IF(INDEX(Equipment[登记状态（自动）],MATCH(B1054,Equipment[组合编号],0))&lt;&gt;"已登记","待补设备组合",IF(AND(F1054&lt;&gt;"",G1054&lt;&gt;"",K1054&lt;&gt;"",L1054&lt;&gt;"",M1054&lt;&gt;"",N1054&lt;&gt;"",ISNUMBER(O1054),O1054&gt;0,P1054&lt;&gt;""),"记录齐全","待补实测记录")))))))))))</x:f>
        <x:v>待展开路径</x:v>
      </x:c>
    </x:row>
    <x:row r="1055" ht="43.5" customHeight="1">
      <x:c r="A1055" s="20" t="str">
        <x:v>REC-01046</x:v>
      </x:c>
      <x:c r="B1055" s="20" t="str">
        <x:v>P2-B5-01</x:v>
      </x:c>
      <x:c r="C1055" s="30" t="str">
        <x:f>IF(B1055="","",IF(COUNTIFS(Equipment[组合编号],B1055)&lt;&gt;1,"组合编号无效",INDEX(Equipment[PLC组],MATCH(B1055,Equipment[组合编号],0))))</x:f>
        <x:v>汇川中大型</x:v>
      </x:c>
      <x:c r="D1055" s="30" t="str">
        <x:f>IF(B1055="","",IF(COUNTIFS(Equipment[组合编号],B1055)&lt;&gt;1,"组合编号无效",INDEX(Equipment[驱动品牌],MATCH(B1055,Equipment[组合编号],0))))</x:f>
        <x:v>KEBA（可选）</x:v>
      </x:c>
      <x:c r="E1055" s="20" t="str">
        <x:v>T03</x:v>
      </x:c>
      <x:c r="F1055" s="20"/>
      <x:c r="G1055" s="20"/>
      <x:c r="H1055" s="20" t="str">
        <x:v>待判定</x:v>
      </x:c>
      <x:c r="I1055" s="20"/>
      <x:c r="J1055" s="20" t="str">
        <x:v>未测试</x:v>
      </x:c>
      <x:c r="K1055" s="20"/>
      <x:c r="L1055" s="20"/>
      <x:c r="M1055" s="20"/>
      <x:c r="N1055" s="20"/>
      <x:c r="O1055" s="31"/>
      <x:c r="P1055" s="20"/>
      <x:c r="Q1055" s="20"/>
      <x:c r="R1055" s="20" t="str">
        <x:v>待展开</x:v>
      </x:c>
      <x:c r="S1055" s="20"/>
      <x:c r="T1055" s="31"/>
      <x:c r="U1055" s="30" t="str">
        <x:f>IF(A1055="","缺记录编号",IF(COUNTIFS(PathRecords[记录编号],A1055)&lt;&gt;1,"记录编号重复",IF(OR(B1055="",E1055=""),"缺组合/功能",IF(COUNTIFS(Equipment[组合编号],B1055)&lt;&gt;1,"组合编号无效",IF(COUNTIFS(FunctionMatrix[编号],E1055)=0,"功能编号无效",IF(H1055="不适用",IF(J1055="已实测","适用性冲突",IF(I1055="","待补不适用依据","不适用（非实测）")),IF(J1055="阻塞",IF(I1055="","待补阻塞原因","阻塞（非实测）"),IF(J1055&lt;&gt;"已实测",IF(F1055="","待展开路径","未实测"),IF(H1055&lt;&gt;"适用","待确认适用性",IF(INDEX(Equipment[登记状态（自动）],MATCH(B1055,Equipment[组合编号],0))&lt;&gt;"已登记","待补设备组合",IF(AND(F1055&lt;&gt;"",G1055&lt;&gt;"",K1055&lt;&gt;"",L1055&lt;&gt;"",M1055&lt;&gt;"",N1055&lt;&gt;"",ISNUMBER(O1055),O1055&gt;0,P1055&lt;&gt;""),"记录齐全","待补实测记录")))))))))))</x:f>
        <x:v>待展开路径</x:v>
      </x:c>
    </x:row>
    <x:row r="1056" ht="43.5" customHeight="1">
      <x:c r="A1056" s="20" t="str">
        <x:v>REC-01047</x:v>
      </x:c>
      <x:c r="B1056" s="20" t="str">
        <x:v>P2-B5-01</x:v>
      </x:c>
      <x:c r="C1056" s="30" t="str">
        <x:f>IF(B1056="","",IF(COUNTIFS(Equipment[组合编号],B1056)&lt;&gt;1,"组合编号无效",INDEX(Equipment[PLC组],MATCH(B1056,Equipment[组合编号],0))))</x:f>
        <x:v>汇川中大型</x:v>
      </x:c>
      <x:c r="D1056" s="30" t="str">
        <x:f>IF(B1056="","",IF(COUNTIFS(Equipment[组合编号],B1056)&lt;&gt;1,"组合编号无效",INDEX(Equipment[驱动品牌],MATCH(B1056,Equipment[组合编号],0))))</x:f>
        <x:v>KEBA（可选）</x:v>
      </x:c>
      <x:c r="E1056" s="20" t="str">
        <x:v>T04</x:v>
      </x:c>
      <x:c r="F1056" s="20"/>
      <x:c r="G1056" s="20"/>
      <x:c r="H1056" s="20" t="str">
        <x:v>待判定</x:v>
      </x:c>
      <x:c r="I1056" s="20"/>
      <x:c r="J1056" s="20" t="str">
        <x:v>未测试</x:v>
      </x:c>
      <x:c r="K1056" s="20"/>
      <x:c r="L1056" s="20"/>
      <x:c r="M1056" s="20"/>
      <x:c r="N1056" s="20"/>
      <x:c r="O1056" s="31"/>
      <x:c r="P1056" s="20"/>
      <x:c r="Q1056" s="20"/>
      <x:c r="R1056" s="20" t="str">
        <x:v>待展开</x:v>
      </x:c>
      <x:c r="S1056" s="20"/>
      <x:c r="T1056" s="31"/>
      <x:c r="U1056" s="30" t="str">
        <x:f>IF(A1056="","缺记录编号",IF(COUNTIFS(PathRecords[记录编号],A1056)&lt;&gt;1,"记录编号重复",IF(OR(B1056="",E1056=""),"缺组合/功能",IF(COUNTIFS(Equipment[组合编号],B1056)&lt;&gt;1,"组合编号无效",IF(COUNTIFS(FunctionMatrix[编号],E1056)=0,"功能编号无效",IF(H1056="不适用",IF(J1056="已实测","适用性冲突",IF(I1056="","待补不适用依据","不适用（非实测）")),IF(J1056="阻塞",IF(I1056="","待补阻塞原因","阻塞（非实测）"),IF(J1056&lt;&gt;"已实测",IF(F1056="","待展开路径","未实测"),IF(H1056&lt;&gt;"适用","待确认适用性",IF(INDEX(Equipment[登记状态（自动）],MATCH(B1056,Equipment[组合编号],0))&lt;&gt;"已登记","待补设备组合",IF(AND(F1056&lt;&gt;"",G1056&lt;&gt;"",K1056&lt;&gt;"",L1056&lt;&gt;"",M1056&lt;&gt;"",N1056&lt;&gt;"",ISNUMBER(O1056),O1056&gt;0,P1056&lt;&gt;""),"记录齐全","待补实测记录")))))))))))</x:f>
        <x:v>待展开路径</x:v>
      </x:c>
    </x:row>
    <x:row r="1057" ht="43.5" customHeight="1">
      <x:c r="A1057" s="20" t="str">
        <x:v>REC-01048</x:v>
      </x:c>
      <x:c r="B1057" s="20" t="str">
        <x:v>P2-B5-01</x:v>
      </x:c>
      <x:c r="C1057" s="30" t="str">
        <x:f>IF(B1057="","",IF(COUNTIFS(Equipment[组合编号],B1057)&lt;&gt;1,"组合编号无效",INDEX(Equipment[PLC组],MATCH(B1057,Equipment[组合编号],0))))</x:f>
        <x:v>汇川中大型</x:v>
      </x:c>
      <x:c r="D1057" s="30" t="str">
        <x:f>IF(B1057="","",IF(COUNTIFS(Equipment[组合编号],B1057)&lt;&gt;1,"组合编号无效",INDEX(Equipment[驱动品牌],MATCH(B1057,Equipment[组合编号],0))))</x:f>
        <x:v>KEBA（可选）</x:v>
      </x:c>
      <x:c r="E1057" s="20" t="str">
        <x:v>T05</x:v>
      </x:c>
      <x:c r="F1057" s="20"/>
      <x:c r="G1057" s="20"/>
      <x:c r="H1057" s="20" t="str">
        <x:v>待判定</x:v>
      </x:c>
      <x:c r="I1057" s="20"/>
      <x:c r="J1057" s="20" t="str">
        <x:v>未测试</x:v>
      </x:c>
      <x:c r="K1057" s="20"/>
      <x:c r="L1057" s="20"/>
      <x:c r="M1057" s="20"/>
      <x:c r="N1057" s="20"/>
      <x:c r="O1057" s="31"/>
      <x:c r="P1057" s="20"/>
      <x:c r="Q1057" s="20"/>
      <x:c r="R1057" s="20" t="str">
        <x:v>待展开</x:v>
      </x:c>
      <x:c r="S1057" s="20"/>
      <x:c r="T1057" s="31"/>
      <x:c r="U1057" s="30" t="str">
        <x:f>IF(A1057="","缺记录编号",IF(COUNTIFS(PathRecords[记录编号],A1057)&lt;&gt;1,"记录编号重复",IF(OR(B1057="",E1057=""),"缺组合/功能",IF(COUNTIFS(Equipment[组合编号],B1057)&lt;&gt;1,"组合编号无效",IF(COUNTIFS(FunctionMatrix[编号],E1057)=0,"功能编号无效",IF(H1057="不适用",IF(J1057="已实测","适用性冲突",IF(I1057="","待补不适用依据","不适用（非实测）")),IF(J1057="阻塞",IF(I1057="","待补阻塞原因","阻塞（非实测）"),IF(J1057&lt;&gt;"已实测",IF(F1057="","待展开路径","未实测"),IF(H1057&lt;&gt;"适用","待确认适用性",IF(INDEX(Equipment[登记状态（自动）],MATCH(B1057,Equipment[组合编号],0))&lt;&gt;"已登记","待补设备组合",IF(AND(F1057&lt;&gt;"",G1057&lt;&gt;"",K1057&lt;&gt;"",L1057&lt;&gt;"",M1057&lt;&gt;"",N1057&lt;&gt;"",ISNUMBER(O1057),O1057&gt;0,P1057&lt;&gt;""),"记录齐全","待补实测记录")))))))))))</x:f>
        <x:v>待展开路径</x:v>
      </x:c>
    </x:row>
    <x:row r="1058" ht="43.5" customHeight="1">
      <x:c r="A1058" s="20" t="str">
        <x:v>REC-01049</x:v>
      </x:c>
      <x:c r="B1058" s="20" t="str">
        <x:v>P2-B5-01</x:v>
      </x:c>
      <x:c r="C1058" s="30" t="str">
        <x:f>IF(B1058="","",IF(COUNTIFS(Equipment[组合编号],B1058)&lt;&gt;1,"组合编号无效",INDEX(Equipment[PLC组],MATCH(B1058,Equipment[组合编号],0))))</x:f>
        <x:v>汇川中大型</x:v>
      </x:c>
      <x:c r="D1058" s="30" t="str">
        <x:f>IF(B1058="","",IF(COUNTIFS(Equipment[组合编号],B1058)&lt;&gt;1,"组合编号无效",INDEX(Equipment[驱动品牌],MATCH(B1058,Equipment[组合编号],0))))</x:f>
        <x:v>KEBA（可选）</x:v>
      </x:c>
      <x:c r="E1058" s="20" t="str">
        <x:v>T06</x:v>
      </x:c>
      <x:c r="F1058" s="20"/>
      <x:c r="G1058" s="20"/>
      <x:c r="H1058" s="20" t="str">
        <x:v>待判定</x:v>
      </x:c>
      <x:c r="I1058" s="20"/>
      <x:c r="J1058" s="20" t="str">
        <x:v>未测试</x:v>
      </x:c>
      <x:c r="K1058" s="20"/>
      <x:c r="L1058" s="20"/>
      <x:c r="M1058" s="20"/>
      <x:c r="N1058" s="20"/>
      <x:c r="O1058" s="31"/>
      <x:c r="P1058" s="20"/>
      <x:c r="Q1058" s="20"/>
      <x:c r="R1058" s="20" t="str">
        <x:v>待展开</x:v>
      </x:c>
      <x:c r="S1058" s="20"/>
      <x:c r="T1058" s="31"/>
      <x:c r="U1058" s="30" t="str">
        <x:f>IF(A1058="","缺记录编号",IF(COUNTIFS(PathRecords[记录编号],A1058)&lt;&gt;1,"记录编号重复",IF(OR(B1058="",E1058=""),"缺组合/功能",IF(COUNTIFS(Equipment[组合编号],B1058)&lt;&gt;1,"组合编号无效",IF(COUNTIFS(FunctionMatrix[编号],E1058)=0,"功能编号无效",IF(H1058="不适用",IF(J1058="已实测","适用性冲突",IF(I1058="","待补不适用依据","不适用（非实测）")),IF(J1058="阻塞",IF(I1058="","待补阻塞原因","阻塞（非实测）"),IF(J1058&lt;&gt;"已实测",IF(F1058="","待展开路径","未实测"),IF(H1058&lt;&gt;"适用","待确认适用性",IF(INDEX(Equipment[登记状态（自动）],MATCH(B1058,Equipment[组合编号],0))&lt;&gt;"已登记","待补设备组合",IF(AND(F1058&lt;&gt;"",G1058&lt;&gt;"",K1058&lt;&gt;"",L1058&lt;&gt;"",M1058&lt;&gt;"",N1058&lt;&gt;"",ISNUMBER(O1058),O1058&gt;0,P1058&lt;&gt;""),"记录齐全","待补实测记录")))))))))))</x:f>
        <x:v>待展开路径</x:v>
      </x:c>
    </x:row>
    <x:row r="1059" ht="43.5" customHeight="1">
      <x:c r="A1059" s="20" t="str">
        <x:v>REC-01050</x:v>
      </x:c>
      <x:c r="B1059" s="20" t="str">
        <x:v>P2-B5-01</x:v>
      </x:c>
      <x:c r="C1059" s="30" t="str">
        <x:f>IF(B1059="","",IF(COUNTIFS(Equipment[组合编号],B1059)&lt;&gt;1,"组合编号无效",INDEX(Equipment[PLC组],MATCH(B1059,Equipment[组合编号],0))))</x:f>
        <x:v>汇川中大型</x:v>
      </x:c>
      <x:c r="D1059" s="30" t="str">
        <x:f>IF(B1059="","",IF(COUNTIFS(Equipment[组合编号],B1059)&lt;&gt;1,"组合编号无效",INDEX(Equipment[驱动品牌],MATCH(B1059,Equipment[组合编号],0))))</x:f>
        <x:v>KEBA（可选）</x:v>
      </x:c>
      <x:c r="E1059" s="20" t="str">
        <x:v>T07</x:v>
      </x:c>
      <x:c r="F1059" s="20"/>
      <x:c r="G1059" s="20"/>
      <x:c r="H1059" s="20" t="str">
        <x:v>待判定</x:v>
      </x:c>
      <x:c r="I1059" s="20"/>
      <x:c r="J1059" s="20" t="str">
        <x:v>未测试</x:v>
      </x:c>
      <x:c r="K1059" s="20"/>
      <x:c r="L1059" s="20"/>
      <x:c r="M1059" s="20"/>
      <x:c r="N1059" s="20"/>
      <x:c r="O1059" s="31"/>
      <x:c r="P1059" s="20"/>
      <x:c r="Q1059" s="20"/>
      <x:c r="R1059" s="20" t="str">
        <x:v>待展开</x:v>
      </x:c>
      <x:c r="S1059" s="20"/>
      <x:c r="T1059" s="31"/>
      <x:c r="U1059" s="30" t="str">
        <x:f>IF(A1059="","缺记录编号",IF(COUNTIFS(PathRecords[记录编号],A1059)&lt;&gt;1,"记录编号重复",IF(OR(B1059="",E1059=""),"缺组合/功能",IF(COUNTIFS(Equipment[组合编号],B1059)&lt;&gt;1,"组合编号无效",IF(COUNTIFS(FunctionMatrix[编号],E1059)=0,"功能编号无效",IF(H1059="不适用",IF(J1059="已实测","适用性冲突",IF(I1059="","待补不适用依据","不适用（非实测）")),IF(J1059="阻塞",IF(I1059="","待补阻塞原因","阻塞（非实测）"),IF(J1059&lt;&gt;"已实测",IF(F1059="","待展开路径","未实测"),IF(H1059&lt;&gt;"适用","待确认适用性",IF(INDEX(Equipment[登记状态（自动）],MATCH(B1059,Equipment[组合编号],0))&lt;&gt;"已登记","待补设备组合",IF(AND(F1059&lt;&gt;"",G1059&lt;&gt;"",K1059&lt;&gt;"",L1059&lt;&gt;"",M1059&lt;&gt;"",N1059&lt;&gt;"",ISNUMBER(O1059),O1059&gt;0,P1059&lt;&gt;""),"记录齐全","待补实测记录")))))))))))</x:f>
        <x:v>待展开路径</x:v>
      </x:c>
    </x:row>
    <x:row r="1060" ht="43.5" customHeight="1">
      <x:c r="A1060" s="20" t="str">
        <x:v>REC-01051</x:v>
      </x:c>
      <x:c r="B1060" s="20" t="str">
        <x:v>P2-B5-01</x:v>
      </x:c>
      <x:c r="C1060" s="30" t="str">
        <x:f>IF(B1060="","",IF(COUNTIFS(Equipment[组合编号],B1060)&lt;&gt;1,"组合编号无效",INDEX(Equipment[PLC组],MATCH(B1060,Equipment[组合编号],0))))</x:f>
        <x:v>汇川中大型</x:v>
      </x:c>
      <x:c r="D1060" s="30" t="str">
        <x:f>IF(B1060="","",IF(COUNTIFS(Equipment[组合编号],B1060)&lt;&gt;1,"组合编号无效",INDEX(Equipment[驱动品牌],MATCH(B1060,Equipment[组合编号],0))))</x:f>
        <x:v>KEBA（可选）</x:v>
      </x:c>
      <x:c r="E1060" s="20" t="str">
        <x:v>T08</x:v>
      </x:c>
      <x:c r="F1060" s="20"/>
      <x:c r="G1060" s="20"/>
      <x:c r="H1060" s="20" t="str">
        <x:v>待判定</x:v>
      </x:c>
      <x:c r="I1060" s="20"/>
      <x:c r="J1060" s="20" t="str">
        <x:v>未测试</x:v>
      </x:c>
      <x:c r="K1060" s="20"/>
      <x:c r="L1060" s="20"/>
      <x:c r="M1060" s="20"/>
      <x:c r="N1060" s="20"/>
      <x:c r="O1060" s="31"/>
      <x:c r="P1060" s="20"/>
      <x:c r="Q1060" s="20"/>
      <x:c r="R1060" s="20" t="str">
        <x:v>待展开</x:v>
      </x:c>
      <x:c r="S1060" s="20"/>
      <x:c r="T1060" s="31"/>
      <x:c r="U1060" s="30" t="str">
        <x:f>IF(A1060="","缺记录编号",IF(COUNTIFS(PathRecords[记录编号],A1060)&lt;&gt;1,"记录编号重复",IF(OR(B1060="",E1060=""),"缺组合/功能",IF(COUNTIFS(Equipment[组合编号],B1060)&lt;&gt;1,"组合编号无效",IF(COUNTIFS(FunctionMatrix[编号],E1060)=0,"功能编号无效",IF(H1060="不适用",IF(J1060="已实测","适用性冲突",IF(I1060="","待补不适用依据","不适用（非实测）")),IF(J1060="阻塞",IF(I1060="","待补阻塞原因","阻塞（非实测）"),IF(J1060&lt;&gt;"已实测",IF(F1060="","待展开路径","未实测"),IF(H1060&lt;&gt;"适用","待确认适用性",IF(INDEX(Equipment[登记状态（自动）],MATCH(B1060,Equipment[组合编号],0))&lt;&gt;"已登记","待补设备组合",IF(AND(F1060&lt;&gt;"",G1060&lt;&gt;"",K1060&lt;&gt;"",L1060&lt;&gt;"",M1060&lt;&gt;"",N1060&lt;&gt;"",ISNUMBER(O1060),O1060&gt;0,P1060&lt;&gt;""),"记录齐全","待补实测记录")))))))))))</x:f>
        <x:v>待展开路径</x:v>
      </x:c>
    </x:row>
    <x:row r="1061" ht="43.5" customHeight="1">
      <x:c r="A1061" s="20" t="str">
        <x:v>REC-01052</x:v>
      </x:c>
      <x:c r="B1061" s="20" t="str">
        <x:v>P2-B5-01</x:v>
      </x:c>
      <x:c r="C1061" s="30" t="str">
        <x:f>IF(B1061="","",IF(COUNTIFS(Equipment[组合编号],B1061)&lt;&gt;1,"组合编号无效",INDEX(Equipment[PLC组],MATCH(B1061,Equipment[组合编号],0))))</x:f>
        <x:v>汇川中大型</x:v>
      </x:c>
      <x:c r="D1061" s="30" t="str">
        <x:f>IF(B1061="","",IF(COUNTIFS(Equipment[组合编号],B1061)&lt;&gt;1,"组合编号无效",INDEX(Equipment[驱动品牌],MATCH(B1061,Equipment[组合编号],0))))</x:f>
        <x:v>KEBA（可选）</x:v>
      </x:c>
      <x:c r="E1061" s="20" t="str">
        <x:v>T09</x:v>
      </x:c>
      <x:c r="F1061" s="20"/>
      <x:c r="G1061" s="20"/>
      <x:c r="H1061" s="20" t="str">
        <x:v>待判定</x:v>
      </x:c>
      <x:c r="I1061" s="20"/>
      <x:c r="J1061" s="20" t="str">
        <x:v>未测试</x:v>
      </x:c>
      <x:c r="K1061" s="20"/>
      <x:c r="L1061" s="20"/>
      <x:c r="M1061" s="20"/>
      <x:c r="N1061" s="20"/>
      <x:c r="O1061" s="31"/>
      <x:c r="P1061" s="20"/>
      <x:c r="Q1061" s="20"/>
      <x:c r="R1061" s="20" t="str">
        <x:v>待展开</x:v>
      </x:c>
      <x:c r="S1061" s="20"/>
      <x:c r="T1061" s="31"/>
      <x:c r="U1061" s="30" t="str">
        <x:f>IF(A1061="","缺记录编号",IF(COUNTIFS(PathRecords[记录编号],A1061)&lt;&gt;1,"记录编号重复",IF(OR(B1061="",E1061=""),"缺组合/功能",IF(COUNTIFS(Equipment[组合编号],B1061)&lt;&gt;1,"组合编号无效",IF(COUNTIFS(FunctionMatrix[编号],E1061)=0,"功能编号无效",IF(H1061="不适用",IF(J1061="已实测","适用性冲突",IF(I1061="","待补不适用依据","不适用（非实测）")),IF(J1061="阻塞",IF(I1061="","待补阻塞原因","阻塞（非实测）"),IF(J1061&lt;&gt;"已实测",IF(F1061="","待展开路径","未实测"),IF(H1061&lt;&gt;"适用","待确认适用性",IF(INDEX(Equipment[登记状态（自动）],MATCH(B1061,Equipment[组合编号],0))&lt;&gt;"已登记","待补设备组合",IF(AND(F1061&lt;&gt;"",G1061&lt;&gt;"",K1061&lt;&gt;"",L1061&lt;&gt;"",M1061&lt;&gt;"",N1061&lt;&gt;"",ISNUMBER(O1061),O1061&gt;0,P1061&lt;&gt;""),"记录齐全","待补实测记录")))))))))))</x:f>
        <x:v>待展开路径</x:v>
      </x:c>
    </x:row>
    <x:row r="1062" ht="43.5" customHeight="1">
      <x:c r="A1062" s="20" t="str">
        <x:v>REC-01053</x:v>
      </x:c>
      <x:c r="B1062" s="20" t="str">
        <x:v>P2-B5-01</x:v>
      </x:c>
      <x:c r="C1062" s="30" t="str">
        <x:f>IF(B1062="","",IF(COUNTIFS(Equipment[组合编号],B1062)&lt;&gt;1,"组合编号无效",INDEX(Equipment[PLC组],MATCH(B1062,Equipment[组合编号],0))))</x:f>
        <x:v>汇川中大型</x:v>
      </x:c>
      <x:c r="D1062" s="30" t="str">
        <x:f>IF(B1062="","",IF(COUNTIFS(Equipment[组合编号],B1062)&lt;&gt;1,"组合编号无效",INDEX(Equipment[驱动品牌],MATCH(B1062,Equipment[组合编号],0))))</x:f>
        <x:v>KEBA（可选）</x:v>
      </x:c>
      <x:c r="E1062" s="20" t="str">
        <x:v>R01</x:v>
      </x:c>
      <x:c r="F1062" s="20"/>
      <x:c r="G1062" s="20"/>
      <x:c r="H1062" s="20" t="str">
        <x:v>待判定</x:v>
      </x:c>
      <x:c r="I1062" s="20"/>
      <x:c r="J1062" s="20" t="str">
        <x:v>未测试</x:v>
      </x:c>
      <x:c r="K1062" s="20"/>
      <x:c r="L1062" s="20"/>
      <x:c r="M1062" s="20"/>
      <x:c r="N1062" s="20"/>
      <x:c r="O1062" s="31"/>
      <x:c r="P1062" s="20"/>
      <x:c r="Q1062" s="20"/>
      <x:c r="R1062" s="20" t="str">
        <x:v>待展开</x:v>
      </x:c>
      <x:c r="S1062" s="20"/>
      <x:c r="T1062" s="31"/>
      <x:c r="U1062" s="30" t="str">
        <x:f>IF(A1062="","缺记录编号",IF(COUNTIFS(PathRecords[记录编号],A1062)&lt;&gt;1,"记录编号重复",IF(OR(B1062="",E1062=""),"缺组合/功能",IF(COUNTIFS(Equipment[组合编号],B1062)&lt;&gt;1,"组合编号无效",IF(COUNTIFS(FunctionMatrix[编号],E1062)=0,"功能编号无效",IF(H1062="不适用",IF(J1062="已实测","适用性冲突",IF(I1062="","待补不适用依据","不适用（非实测）")),IF(J1062="阻塞",IF(I1062="","待补阻塞原因","阻塞（非实测）"),IF(J1062&lt;&gt;"已实测",IF(F1062="","待展开路径","未实测"),IF(H1062&lt;&gt;"适用","待确认适用性",IF(INDEX(Equipment[登记状态（自动）],MATCH(B1062,Equipment[组合编号],0))&lt;&gt;"已登记","待补设备组合",IF(AND(F1062&lt;&gt;"",G1062&lt;&gt;"",K1062&lt;&gt;"",L1062&lt;&gt;"",M1062&lt;&gt;"",N1062&lt;&gt;"",ISNUMBER(O1062),O1062&gt;0,P1062&lt;&gt;""),"记录齐全","待补实测记录")))))))))))</x:f>
        <x:v>待展开路径</x:v>
      </x:c>
    </x:row>
    <x:row r="1063" ht="43.5" customHeight="1">
      <x:c r="A1063" s="20" t="str">
        <x:v>REC-01054</x:v>
      </x:c>
      <x:c r="B1063" s="20" t="str">
        <x:v>P2-B5-01</x:v>
      </x:c>
      <x:c r="C1063" s="30" t="str">
        <x:f>IF(B1063="","",IF(COUNTIFS(Equipment[组合编号],B1063)&lt;&gt;1,"组合编号无效",INDEX(Equipment[PLC组],MATCH(B1063,Equipment[组合编号],0))))</x:f>
        <x:v>汇川中大型</x:v>
      </x:c>
      <x:c r="D1063" s="30" t="str">
        <x:f>IF(B1063="","",IF(COUNTIFS(Equipment[组合编号],B1063)&lt;&gt;1,"组合编号无效",INDEX(Equipment[驱动品牌],MATCH(B1063,Equipment[组合编号],0))))</x:f>
        <x:v>KEBA（可选）</x:v>
      </x:c>
      <x:c r="E1063" s="20" t="str">
        <x:v>R02</x:v>
      </x:c>
      <x:c r="F1063" s="20"/>
      <x:c r="G1063" s="20"/>
      <x:c r="H1063" s="20" t="str">
        <x:v>待判定</x:v>
      </x:c>
      <x:c r="I1063" s="20"/>
      <x:c r="J1063" s="20" t="str">
        <x:v>未测试</x:v>
      </x:c>
      <x:c r="K1063" s="20"/>
      <x:c r="L1063" s="20"/>
      <x:c r="M1063" s="20"/>
      <x:c r="N1063" s="20"/>
      <x:c r="O1063" s="31"/>
      <x:c r="P1063" s="20"/>
      <x:c r="Q1063" s="20"/>
      <x:c r="R1063" s="20" t="str">
        <x:v>待展开</x:v>
      </x:c>
      <x:c r="S1063" s="20"/>
      <x:c r="T1063" s="31"/>
      <x:c r="U1063" s="30" t="str">
        <x:f>IF(A1063="","缺记录编号",IF(COUNTIFS(PathRecords[记录编号],A1063)&lt;&gt;1,"记录编号重复",IF(OR(B1063="",E1063=""),"缺组合/功能",IF(COUNTIFS(Equipment[组合编号],B1063)&lt;&gt;1,"组合编号无效",IF(COUNTIFS(FunctionMatrix[编号],E1063)=0,"功能编号无效",IF(H1063="不适用",IF(J1063="已实测","适用性冲突",IF(I1063="","待补不适用依据","不适用（非实测）")),IF(J1063="阻塞",IF(I1063="","待补阻塞原因","阻塞（非实测）"),IF(J1063&lt;&gt;"已实测",IF(F1063="","待展开路径","未实测"),IF(H1063&lt;&gt;"适用","待确认适用性",IF(INDEX(Equipment[登记状态（自动）],MATCH(B1063,Equipment[组合编号],0))&lt;&gt;"已登记","待补设备组合",IF(AND(F1063&lt;&gt;"",G1063&lt;&gt;"",K1063&lt;&gt;"",L1063&lt;&gt;"",M1063&lt;&gt;"",N1063&lt;&gt;"",ISNUMBER(O1063),O1063&gt;0,P1063&lt;&gt;""),"记录齐全","待补实测记录")))))))))))</x:f>
        <x:v>待展开路径</x:v>
      </x:c>
    </x:row>
    <x:row r="1064" ht="43.5" customHeight="1">
      <x:c r="A1064" s="20" t="str">
        <x:v>REC-01055</x:v>
      </x:c>
      <x:c r="B1064" s="20" t="str">
        <x:v>P2-B5-01</x:v>
      </x:c>
      <x:c r="C1064" s="30" t="str">
        <x:f>IF(B1064="","",IF(COUNTIFS(Equipment[组合编号],B1064)&lt;&gt;1,"组合编号无效",INDEX(Equipment[PLC组],MATCH(B1064,Equipment[组合编号],0))))</x:f>
        <x:v>汇川中大型</x:v>
      </x:c>
      <x:c r="D1064" s="30" t="str">
        <x:f>IF(B1064="","",IF(COUNTIFS(Equipment[组合编号],B1064)&lt;&gt;1,"组合编号无效",INDEX(Equipment[驱动品牌],MATCH(B1064,Equipment[组合编号],0))))</x:f>
        <x:v>KEBA（可选）</x:v>
      </x:c>
      <x:c r="E1064" s="20" t="str">
        <x:v>R03</x:v>
      </x:c>
      <x:c r="F1064" s="20"/>
      <x:c r="G1064" s="20"/>
      <x:c r="H1064" s="20" t="str">
        <x:v>待判定</x:v>
      </x:c>
      <x:c r="I1064" s="20"/>
      <x:c r="J1064" s="20" t="str">
        <x:v>未测试</x:v>
      </x:c>
      <x:c r="K1064" s="20"/>
      <x:c r="L1064" s="20"/>
      <x:c r="M1064" s="20"/>
      <x:c r="N1064" s="20"/>
      <x:c r="O1064" s="31"/>
      <x:c r="P1064" s="20"/>
      <x:c r="Q1064" s="20"/>
      <x:c r="R1064" s="20" t="str">
        <x:v>待展开</x:v>
      </x:c>
      <x:c r="S1064" s="20"/>
      <x:c r="T1064" s="31"/>
      <x:c r="U1064" s="30" t="str">
        <x:f>IF(A1064="","缺记录编号",IF(COUNTIFS(PathRecords[记录编号],A1064)&lt;&gt;1,"记录编号重复",IF(OR(B1064="",E1064=""),"缺组合/功能",IF(COUNTIFS(Equipment[组合编号],B1064)&lt;&gt;1,"组合编号无效",IF(COUNTIFS(FunctionMatrix[编号],E1064)=0,"功能编号无效",IF(H1064="不适用",IF(J1064="已实测","适用性冲突",IF(I1064="","待补不适用依据","不适用（非实测）")),IF(J1064="阻塞",IF(I1064="","待补阻塞原因","阻塞（非实测）"),IF(J1064&lt;&gt;"已实测",IF(F1064="","待展开路径","未实测"),IF(H1064&lt;&gt;"适用","待确认适用性",IF(INDEX(Equipment[登记状态（自动）],MATCH(B1064,Equipment[组合编号],0))&lt;&gt;"已登记","待补设备组合",IF(AND(F1064&lt;&gt;"",G1064&lt;&gt;"",K1064&lt;&gt;"",L1064&lt;&gt;"",M1064&lt;&gt;"",N1064&lt;&gt;"",ISNUMBER(O1064),O1064&gt;0,P1064&lt;&gt;""),"记录齐全","待补实测记录")))))))))))</x:f>
        <x:v>待展开路径</x:v>
      </x:c>
    </x:row>
    <x:row r="1065" ht="43.5" customHeight="1">
      <x:c r="A1065" s="20" t="str">
        <x:v>REC-01056</x:v>
      </x:c>
      <x:c r="B1065" s="20" t="str">
        <x:v>P2-B5-01</x:v>
      </x:c>
      <x:c r="C1065" s="30" t="str">
        <x:f>IF(B1065="","",IF(COUNTIFS(Equipment[组合编号],B1065)&lt;&gt;1,"组合编号无效",INDEX(Equipment[PLC组],MATCH(B1065,Equipment[组合编号],0))))</x:f>
        <x:v>汇川中大型</x:v>
      </x:c>
      <x:c r="D1065" s="30" t="str">
        <x:f>IF(B1065="","",IF(COUNTIFS(Equipment[组合编号],B1065)&lt;&gt;1,"组合编号无效",INDEX(Equipment[驱动品牌],MATCH(B1065,Equipment[组合编号],0))))</x:f>
        <x:v>KEBA（可选）</x:v>
      </x:c>
      <x:c r="E1065" s="20" t="str">
        <x:v>R04</x:v>
      </x:c>
      <x:c r="F1065" s="20"/>
      <x:c r="G1065" s="20"/>
      <x:c r="H1065" s="20" t="str">
        <x:v>待判定</x:v>
      </x:c>
      <x:c r="I1065" s="20"/>
      <x:c r="J1065" s="20" t="str">
        <x:v>未测试</x:v>
      </x:c>
      <x:c r="K1065" s="20"/>
      <x:c r="L1065" s="20"/>
      <x:c r="M1065" s="20"/>
      <x:c r="N1065" s="20"/>
      <x:c r="O1065" s="31"/>
      <x:c r="P1065" s="20"/>
      <x:c r="Q1065" s="20"/>
      <x:c r="R1065" s="20" t="str">
        <x:v>待展开</x:v>
      </x:c>
      <x:c r="S1065" s="20"/>
      <x:c r="T1065" s="31"/>
      <x:c r="U1065" s="30" t="str">
        <x:f>IF(A1065="","缺记录编号",IF(COUNTIFS(PathRecords[记录编号],A1065)&lt;&gt;1,"记录编号重复",IF(OR(B1065="",E1065=""),"缺组合/功能",IF(COUNTIFS(Equipment[组合编号],B1065)&lt;&gt;1,"组合编号无效",IF(COUNTIFS(FunctionMatrix[编号],E1065)=0,"功能编号无效",IF(H1065="不适用",IF(J1065="已实测","适用性冲突",IF(I1065="","待补不适用依据","不适用（非实测）")),IF(J1065="阻塞",IF(I1065="","待补阻塞原因","阻塞（非实测）"),IF(J1065&lt;&gt;"已实测",IF(F1065="","待展开路径","未实测"),IF(H1065&lt;&gt;"适用","待确认适用性",IF(INDEX(Equipment[登记状态（自动）],MATCH(B1065,Equipment[组合编号],0))&lt;&gt;"已登记","待补设备组合",IF(AND(F1065&lt;&gt;"",G1065&lt;&gt;"",K1065&lt;&gt;"",L1065&lt;&gt;"",M1065&lt;&gt;"",N1065&lt;&gt;"",ISNUMBER(O1065),O1065&gt;0,P1065&lt;&gt;""),"记录齐全","待补实测记录")))))))))))</x:f>
        <x:v>待展开路径</x:v>
      </x:c>
    </x:row>
    <x:row r="1066" ht="43.5" customHeight="1">
      <x:c r="A1066" s="20" t="str">
        <x:v>REC-01057</x:v>
      </x:c>
      <x:c r="B1066" s="20" t="str">
        <x:v>P2-B5-01</x:v>
      </x:c>
      <x:c r="C1066" s="30" t="str">
        <x:f>IF(B1066="","",IF(COUNTIFS(Equipment[组合编号],B1066)&lt;&gt;1,"组合编号无效",INDEX(Equipment[PLC组],MATCH(B1066,Equipment[组合编号],0))))</x:f>
        <x:v>汇川中大型</x:v>
      </x:c>
      <x:c r="D1066" s="30" t="str">
        <x:f>IF(B1066="","",IF(COUNTIFS(Equipment[组合编号],B1066)&lt;&gt;1,"组合编号无效",INDEX(Equipment[驱动品牌],MATCH(B1066,Equipment[组合编号],0))))</x:f>
        <x:v>KEBA（可选）</x:v>
      </x:c>
      <x:c r="E1066" s="20" t="str">
        <x:v>R05</x:v>
      </x:c>
      <x:c r="F1066" s="20"/>
      <x:c r="G1066" s="20"/>
      <x:c r="H1066" s="20" t="str">
        <x:v>待判定</x:v>
      </x:c>
      <x:c r="I1066" s="20"/>
      <x:c r="J1066" s="20" t="str">
        <x:v>未测试</x:v>
      </x:c>
      <x:c r="K1066" s="20"/>
      <x:c r="L1066" s="20"/>
      <x:c r="M1066" s="20"/>
      <x:c r="N1066" s="20"/>
      <x:c r="O1066" s="31"/>
      <x:c r="P1066" s="20"/>
      <x:c r="Q1066" s="20"/>
      <x:c r="R1066" s="20" t="str">
        <x:v>待展开</x:v>
      </x:c>
      <x:c r="S1066" s="20"/>
      <x:c r="T1066" s="31"/>
      <x:c r="U1066" s="30" t="str">
        <x:f>IF(A1066="","缺记录编号",IF(COUNTIFS(PathRecords[记录编号],A1066)&lt;&gt;1,"记录编号重复",IF(OR(B1066="",E1066=""),"缺组合/功能",IF(COUNTIFS(Equipment[组合编号],B1066)&lt;&gt;1,"组合编号无效",IF(COUNTIFS(FunctionMatrix[编号],E1066)=0,"功能编号无效",IF(H1066="不适用",IF(J1066="已实测","适用性冲突",IF(I1066="","待补不适用依据","不适用（非实测）")),IF(J1066="阻塞",IF(I1066="","待补阻塞原因","阻塞（非实测）"),IF(J1066&lt;&gt;"已实测",IF(F1066="","待展开路径","未实测"),IF(H1066&lt;&gt;"适用","待确认适用性",IF(INDEX(Equipment[登记状态（自动）],MATCH(B1066,Equipment[组合编号],0))&lt;&gt;"已登记","待补设备组合",IF(AND(F1066&lt;&gt;"",G1066&lt;&gt;"",K1066&lt;&gt;"",L1066&lt;&gt;"",M1066&lt;&gt;"",N1066&lt;&gt;"",ISNUMBER(O1066),O1066&gt;0,P1066&lt;&gt;""),"记录齐全","待补实测记录")))))))))))</x:f>
        <x:v>待展开路径</x:v>
      </x:c>
    </x:row>
    <x:row r="1067" ht="43.5" customHeight="1">
      <x:c r="A1067" s="20" t="str">
        <x:v>REC-01058</x:v>
      </x:c>
      <x:c r="B1067" s="20" t="str">
        <x:v>P2-B5-01</x:v>
      </x:c>
      <x:c r="C1067" s="30" t="str">
        <x:f>IF(B1067="","",IF(COUNTIFS(Equipment[组合编号],B1067)&lt;&gt;1,"组合编号无效",INDEX(Equipment[PLC组],MATCH(B1067,Equipment[组合编号],0))))</x:f>
        <x:v>汇川中大型</x:v>
      </x:c>
      <x:c r="D1067" s="30" t="str">
        <x:f>IF(B1067="","",IF(COUNTIFS(Equipment[组合编号],B1067)&lt;&gt;1,"组合编号无效",INDEX(Equipment[驱动品牌],MATCH(B1067,Equipment[组合编号],0))))</x:f>
        <x:v>KEBA（可选）</x:v>
      </x:c>
      <x:c r="E1067" s="20" t="str">
        <x:v>R06</x:v>
      </x:c>
      <x:c r="F1067" s="20"/>
      <x:c r="G1067" s="20"/>
      <x:c r="H1067" s="20" t="str">
        <x:v>待判定</x:v>
      </x:c>
      <x:c r="I1067" s="20"/>
      <x:c r="J1067" s="20" t="str">
        <x:v>未测试</x:v>
      </x:c>
      <x:c r="K1067" s="20"/>
      <x:c r="L1067" s="20"/>
      <x:c r="M1067" s="20"/>
      <x:c r="N1067" s="20"/>
      <x:c r="O1067" s="31"/>
      <x:c r="P1067" s="20"/>
      <x:c r="Q1067" s="20"/>
      <x:c r="R1067" s="20" t="str">
        <x:v>待展开</x:v>
      </x:c>
      <x:c r="S1067" s="20"/>
      <x:c r="T1067" s="31"/>
      <x:c r="U1067" s="30" t="str">
        <x:f>IF(A1067="","缺记录编号",IF(COUNTIFS(PathRecords[记录编号],A1067)&lt;&gt;1,"记录编号重复",IF(OR(B1067="",E1067=""),"缺组合/功能",IF(COUNTIFS(Equipment[组合编号],B1067)&lt;&gt;1,"组合编号无效",IF(COUNTIFS(FunctionMatrix[编号],E1067)=0,"功能编号无效",IF(H1067="不适用",IF(J1067="已实测","适用性冲突",IF(I1067="","待补不适用依据","不适用（非实测）")),IF(J1067="阻塞",IF(I1067="","待补阻塞原因","阻塞（非实测）"),IF(J1067&lt;&gt;"已实测",IF(F1067="","待展开路径","未实测"),IF(H1067&lt;&gt;"适用","待确认适用性",IF(INDEX(Equipment[登记状态（自动）],MATCH(B1067,Equipment[组合编号],0))&lt;&gt;"已登记","待补设备组合",IF(AND(F1067&lt;&gt;"",G1067&lt;&gt;"",K1067&lt;&gt;"",L1067&lt;&gt;"",M1067&lt;&gt;"",N1067&lt;&gt;"",ISNUMBER(O1067),O1067&gt;0,P1067&lt;&gt;""),"记录齐全","待补实测记录")))))))))))</x:f>
        <x:v>待展开路径</x:v>
      </x:c>
    </x:row>
    <x:row r="1068" ht="43.5" customHeight="1">
      <x:c r="A1068" s="20" t="str">
        <x:v>REC-01059</x:v>
      </x:c>
      <x:c r="B1068" s="20" t="str">
        <x:v>P2-B5-01</x:v>
      </x:c>
      <x:c r="C1068" s="30" t="str">
        <x:f>IF(B1068="","",IF(COUNTIFS(Equipment[组合编号],B1068)&lt;&gt;1,"组合编号无效",INDEX(Equipment[PLC组],MATCH(B1068,Equipment[组合编号],0))))</x:f>
        <x:v>汇川中大型</x:v>
      </x:c>
      <x:c r="D1068" s="30" t="str">
        <x:f>IF(B1068="","",IF(COUNTIFS(Equipment[组合编号],B1068)&lt;&gt;1,"组合编号无效",INDEX(Equipment[驱动品牌],MATCH(B1068,Equipment[组合编号],0))))</x:f>
        <x:v>KEBA（可选）</x:v>
      </x:c>
      <x:c r="E1068" s="20" t="str">
        <x:v>R07</x:v>
      </x:c>
      <x:c r="F1068" s="20"/>
      <x:c r="G1068" s="20"/>
      <x:c r="H1068" s="20" t="str">
        <x:v>待判定</x:v>
      </x:c>
      <x:c r="I1068" s="20"/>
      <x:c r="J1068" s="20" t="str">
        <x:v>未测试</x:v>
      </x:c>
      <x:c r="K1068" s="20"/>
      <x:c r="L1068" s="20"/>
      <x:c r="M1068" s="20"/>
      <x:c r="N1068" s="20"/>
      <x:c r="O1068" s="31"/>
      <x:c r="P1068" s="20"/>
      <x:c r="Q1068" s="20"/>
      <x:c r="R1068" s="20" t="str">
        <x:v>待展开</x:v>
      </x:c>
      <x:c r="S1068" s="20"/>
      <x:c r="T1068" s="31"/>
      <x:c r="U1068" s="30" t="str">
        <x:f>IF(A1068="","缺记录编号",IF(COUNTIFS(PathRecords[记录编号],A1068)&lt;&gt;1,"记录编号重复",IF(OR(B1068="",E1068=""),"缺组合/功能",IF(COUNTIFS(Equipment[组合编号],B1068)&lt;&gt;1,"组合编号无效",IF(COUNTIFS(FunctionMatrix[编号],E1068)=0,"功能编号无效",IF(H1068="不适用",IF(J1068="已实测","适用性冲突",IF(I1068="","待补不适用依据","不适用（非实测）")),IF(J1068="阻塞",IF(I1068="","待补阻塞原因","阻塞（非实测）"),IF(J1068&lt;&gt;"已实测",IF(F1068="","待展开路径","未实测"),IF(H1068&lt;&gt;"适用","待确认适用性",IF(INDEX(Equipment[登记状态（自动）],MATCH(B1068,Equipment[组合编号],0))&lt;&gt;"已登记","待补设备组合",IF(AND(F1068&lt;&gt;"",G1068&lt;&gt;"",K1068&lt;&gt;"",L1068&lt;&gt;"",M1068&lt;&gt;"",N1068&lt;&gt;"",ISNUMBER(O1068),O1068&gt;0,P1068&lt;&gt;""),"记录齐全","待补实测记录")))))))))))</x:f>
        <x:v>待展开路径</x:v>
      </x:c>
    </x:row>
    <x:row r="1069" ht="43.5" customHeight="1">
      <x:c r="A1069" s="20" t="str">
        <x:v>REC-01060</x:v>
      </x:c>
      <x:c r="B1069" s="20" t="str">
        <x:v>P2-B5-01</x:v>
      </x:c>
      <x:c r="C1069" s="30" t="str">
        <x:f>IF(B1069="","",IF(COUNTIFS(Equipment[组合编号],B1069)&lt;&gt;1,"组合编号无效",INDEX(Equipment[PLC组],MATCH(B1069,Equipment[组合编号],0))))</x:f>
        <x:v>汇川中大型</x:v>
      </x:c>
      <x:c r="D1069" s="30" t="str">
        <x:f>IF(B1069="","",IF(COUNTIFS(Equipment[组合编号],B1069)&lt;&gt;1,"组合编号无效",INDEX(Equipment[驱动品牌],MATCH(B1069,Equipment[组合编号],0))))</x:f>
        <x:v>KEBA（可选）</x:v>
      </x:c>
      <x:c r="E1069" s="20" t="str">
        <x:v>R08</x:v>
      </x:c>
      <x:c r="F1069" s="20"/>
      <x:c r="G1069" s="20"/>
      <x:c r="H1069" s="20" t="str">
        <x:v>待判定</x:v>
      </x:c>
      <x:c r="I1069" s="20"/>
      <x:c r="J1069" s="20" t="str">
        <x:v>未测试</x:v>
      </x:c>
      <x:c r="K1069" s="20"/>
      <x:c r="L1069" s="20"/>
      <x:c r="M1069" s="20"/>
      <x:c r="N1069" s="20"/>
      <x:c r="O1069" s="31"/>
      <x:c r="P1069" s="20"/>
      <x:c r="Q1069" s="20"/>
      <x:c r="R1069" s="20" t="str">
        <x:v>待展开</x:v>
      </x:c>
      <x:c r="S1069" s="20"/>
      <x:c r="T1069" s="31"/>
      <x:c r="U1069" s="30" t="str">
        <x:f>IF(A1069="","缺记录编号",IF(COUNTIFS(PathRecords[记录编号],A1069)&lt;&gt;1,"记录编号重复",IF(OR(B1069="",E1069=""),"缺组合/功能",IF(COUNTIFS(Equipment[组合编号],B1069)&lt;&gt;1,"组合编号无效",IF(COUNTIFS(FunctionMatrix[编号],E1069)=0,"功能编号无效",IF(H1069="不适用",IF(J1069="已实测","适用性冲突",IF(I1069="","待补不适用依据","不适用（非实测）")),IF(J1069="阻塞",IF(I1069="","待补阻塞原因","阻塞（非实测）"),IF(J1069&lt;&gt;"已实测",IF(F1069="","待展开路径","未实测"),IF(H1069&lt;&gt;"适用","待确认适用性",IF(INDEX(Equipment[登记状态（自动）],MATCH(B1069,Equipment[组合编号],0))&lt;&gt;"已登记","待补设备组合",IF(AND(F1069&lt;&gt;"",G1069&lt;&gt;"",K1069&lt;&gt;"",L1069&lt;&gt;"",M1069&lt;&gt;"",N1069&lt;&gt;"",ISNUMBER(O1069),O1069&gt;0,P1069&lt;&gt;""),"记录齐全","待补实测记录")))))))))))</x:f>
        <x:v>待展开路径</x:v>
      </x:c>
    </x:row>
    <x:row r="1070" ht="43.5" customHeight="1">
      <x:c r="A1070" s="20" t="str">
        <x:v>REC-01061</x:v>
      </x:c>
      <x:c r="B1070" s="20" t="str">
        <x:v>P3-B1-01</x:v>
      </x:c>
      <x:c r="C1070" s="30" t="str">
        <x:f>IF(B1070="","",IF(COUNTIFS(Equipment[组合编号],B1070)&lt;&gt;1,"组合编号无效",INDEX(Equipment[PLC组],MATCH(B1070,Equipment[组合编号],0))))</x:f>
        <x:v>欧姆龙</x:v>
      </x:c>
      <x:c r="D1070" s="30" t="str">
        <x:f>IF(B1070="","",IF(COUNTIFS(Equipment[组合编号],B1070)&lt;&gt;1,"组合编号无效",INDEX(Equipment[驱动品牌],MATCH(B1070,Equipment[组合编号],0))))</x:f>
        <x:v>CDHD</x:v>
      </x:c>
      <x:c r="E1070" s="20" t="str">
        <x:v>M01</x:v>
      </x:c>
      <x:c r="F1070" s="20"/>
      <x:c r="G1070" s="20"/>
      <x:c r="H1070" s="20" t="str">
        <x:v>待判定</x:v>
      </x:c>
      <x:c r="I1070" s="20"/>
      <x:c r="J1070" s="20" t="str">
        <x:v>未测试</x:v>
      </x:c>
      <x:c r="K1070" s="20"/>
      <x:c r="L1070" s="20"/>
      <x:c r="M1070" s="20"/>
      <x:c r="N1070" s="20"/>
      <x:c r="O1070" s="31"/>
      <x:c r="P1070" s="20"/>
      <x:c r="Q1070" s="20"/>
      <x:c r="R1070" s="20" t="str">
        <x:v>待展开</x:v>
      </x:c>
      <x:c r="S1070" s="20"/>
      <x:c r="T1070" s="31"/>
      <x:c r="U1070" s="30" t="str">
        <x:f>IF(A1070="","缺记录编号",IF(COUNTIFS(PathRecords[记录编号],A1070)&lt;&gt;1,"记录编号重复",IF(OR(B1070="",E1070=""),"缺组合/功能",IF(COUNTIFS(Equipment[组合编号],B1070)&lt;&gt;1,"组合编号无效",IF(COUNTIFS(FunctionMatrix[编号],E1070)=0,"功能编号无效",IF(H1070="不适用",IF(J1070="已实测","适用性冲突",IF(I1070="","待补不适用依据","不适用（非实测）")),IF(J1070="阻塞",IF(I1070="","待补阻塞原因","阻塞（非实测）"),IF(J1070&lt;&gt;"已实测",IF(F1070="","待展开路径","未实测"),IF(H1070&lt;&gt;"适用","待确认适用性",IF(INDEX(Equipment[登记状态（自动）],MATCH(B1070,Equipment[组合编号],0))&lt;&gt;"已登记","待补设备组合",IF(AND(F1070&lt;&gt;"",G1070&lt;&gt;"",K1070&lt;&gt;"",L1070&lt;&gt;"",M1070&lt;&gt;"",N1070&lt;&gt;"",ISNUMBER(O1070),O1070&gt;0,P1070&lt;&gt;""),"记录齐全","待补实测记录")))))))))))</x:f>
        <x:v>待展开路径</x:v>
      </x:c>
    </x:row>
    <x:row r="1071" ht="43.5" customHeight="1">
      <x:c r="A1071" s="20" t="str">
        <x:v>REC-01062</x:v>
      </x:c>
      <x:c r="B1071" s="20" t="str">
        <x:v>P3-B1-01</x:v>
      </x:c>
      <x:c r="C1071" s="30" t="str">
        <x:f>IF(B1071="","",IF(COUNTIFS(Equipment[组合编号],B1071)&lt;&gt;1,"组合编号无效",INDEX(Equipment[PLC组],MATCH(B1071,Equipment[组合编号],0))))</x:f>
        <x:v>欧姆龙</x:v>
      </x:c>
      <x:c r="D1071" s="30" t="str">
        <x:f>IF(B1071="","",IF(COUNTIFS(Equipment[组合编号],B1071)&lt;&gt;1,"组合编号无效",INDEX(Equipment[驱动品牌],MATCH(B1071,Equipment[组合编号],0))))</x:f>
        <x:v>CDHD</x:v>
      </x:c>
      <x:c r="E1071" s="20" t="str">
        <x:v>M02</x:v>
      </x:c>
      <x:c r="F1071" s="20"/>
      <x:c r="G1071" s="20"/>
      <x:c r="H1071" s="20" t="str">
        <x:v>待判定</x:v>
      </x:c>
      <x:c r="I1071" s="20"/>
      <x:c r="J1071" s="20" t="str">
        <x:v>未测试</x:v>
      </x:c>
      <x:c r="K1071" s="20"/>
      <x:c r="L1071" s="20"/>
      <x:c r="M1071" s="20"/>
      <x:c r="N1071" s="20"/>
      <x:c r="O1071" s="31"/>
      <x:c r="P1071" s="20"/>
      <x:c r="Q1071" s="20"/>
      <x:c r="R1071" s="20" t="str">
        <x:v>待展开</x:v>
      </x:c>
      <x:c r="S1071" s="20"/>
      <x:c r="T1071" s="31"/>
      <x:c r="U1071" s="30" t="str">
        <x:f>IF(A1071="","缺记录编号",IF(COUNTIFS(PathRecords[记录编号],A1071)&lt;&gt;1,"记录编号重复",IF(OR(B1071="",E1071=""),"缺组合/功能",IF(COUNTIFS(Equipment[组合编号],B1071)&lt;&gt;1,"组合编号无效",IF(COUNTIFS(FunctionMatrix[编号],E1071)=0,"功能编号无效",IF(H1071="不适用",IF(J1071="已实测","适用性冲突",IF(I1071="","待补不适用依据","不适用（非实测）")),IF(J1071="阻塞",IF(I1071="","待补阻塞原因","阻塞（非实测）"),IF(J1071&lt;&gt;"已实测",IF(F1071="","待展开路径","未实测"),IF(H1071&lt;&gt;"适用","待确认适用性",IF(INDEX(Equipment[登记状态（自动）],MATCH(B1071,Equipment[组合编号],0))&lt;&gt;"已登记","待补设备组合",IF(AND(F1071&lt;&gt;"",G1071&lt;&gt;"",K1071&lt;&gt;"",L1071&lt;&gt;"",M1071&lt;&gt;"",N1071&lt;&gt;"",ISNUMBER(O1071),O1071&gt;0,P1071&lt;&gt;""),"记录齐全","待补实测记录")))))))))))</x:f>
        <x:v>待展开路径</x:v>
      </x:c>
    </x:row>
    <x:row r="1072" ht="43.5" customHeight="1">
      <x:c r="A1072" s="20" t="str">
        <x:v>REC-01063</x:v>
      </x:c>
      <x:c r="B1072" s="20" t="str">
        <x:v>P3-B1-01</x:v>
      </x:c>
      <x:c r="C1072" s="30" t="str">
        <x:f>IF(B1072="","",IF(COUNTIFS(Equipment[组合编号],B1072)&lt;&gt;1,"组合编号无效",INDEX(Equipment[PLC组],MATCH(B1072,Equipment[组合编号],0))))</x:f>
        <x:v>欧姆龙</x:v>
      </x:c>
      <x:c r="D1072" s="30" t="str">
        <x:f>IF(B1072="","",IF(COUNTIFS(Equipment[组合编号],B1072)&lt;&gt;1,"组合编号无效",INDEX(Equipment[驱动品牌],MATCH(B1072,Equipment[组合编号],0))))</x:f>
        <x:v>CDHD</x:v>
      </x:c>
      <x:c r="E1072" s="20" t="str">
        <x:v>M03</x:v>
      </x:c>
      <x:c r="F1072" s="20"/>
      <x:c r="G1072" s="20"/>
      <x:c r="H1072" s="20" t="str">
        <x:v>待判定</x:v>
      </x:c>
      <x:c r="I1072" s="20"/>
      <x:c r="J1072" s="20" t="str">
        <x:v>未测试</x:v>
      </x:c>
      <x:c r="K1072" s="20"/>
      <x:c r="L1072" s="20"/>
      <x:c r="M1072" s="20"/>
      <x:c r="N1072" s="20"/>
      <x:c r="O1072" s="31"/>
      <x:c r="P1072" s="20"/>
      <x:c r="Q1072" s="20"/>
      <x:c r="R1072" s="20" t="str">
        <x:v>待展开</x:v>
      </x:c>
      <x:c r="S1072" s="20"/>
      <x:c r="T1072" s="31"/>
      <x:c r="U1072" s="30" t="str">
        <x:f>IF(A1072="","缺记录编号",IF(COUNTIFS(PathRecords[记录编号],A1072)&lt;&gt;1,"记录编号重复",IF(OR(B1072="",E1072=""),"缺组合/功能",IF(COUNTIFS(Equipment[组合编号],B1072)&lt;&gt;1,"组合编号无效",IF(COUNTIFS(FunctionMatrix[编号],E1072)=0,"功能编号无效",IF(H1072="不适用",IF(J1072="已实测","适用性冲突",IF(I1072="","待补不适用依据","不适用（非实测）")),IF(J1072="阻塞",IF(I1072="","待补阻塞原因","阻塞（非实测）"),IF(J1072&lt;&gt;"已实测",IF(F1072="","待展开路径","未实测"),IF(H1072&lt;&gt;"适用","待确认适用性",IF(INDEX(Equipment[登记状态（自动）],MATCH(B1072,Equipment[组合编号],0))&lt;&gt;"已登记","待补设备组合",IF(AND(F1072&lt;&gt;"",G1072&lt;&gt;"",K1072&lt;&gt;"",L1072&lt;&gt;"",M1072&lt;&gt;"",N1072&lt;&gt;"",ISNUMBER(O1072),O1072&gt;0,P1072&lt;&gt;""),"记录齐全","待补实测记录")))))))))))</x:f>
        <x:v>待展开路径</x:v>
      </x:c>
    </x:row>
    <x:row r="1073" ht="43.5" customHeight="1">
      <x:c r="A1073" s="20" t="str">
        <x:v>REC-01064</x:v>
      </x:c>
      <x:c r="B1073" s="20" t="str">
        <x:v>P3-B1-01</x:v>
      </x:c>
      <x:c r="C1073" s="30" t="str">
        <x:f>IF(B1073="","",IF(COUNTIFS(Equipment[组合编号],B1073)&lt;&gt;1,"组合编号无效",INDEX(Equipment[PLC组],MATCH(B1073,Equipment[组合编号],0))))</x:f>
        <x:v>欧姆龙</x:v>
      </x:c>
      <x:c r="D1073" s="30" t="str">
        <x:f>IF(B1073="","",IF(COUNTIFS(Equipment[组合编号],B1073)&lt;&gt;1,"组合编号无效",INDEX(Equipment[驱动品牌],MATCH(B1073,Equipment[组合编号],0))))</x:f>
        <x:v>CDHD</x:v>
      </x:c>
      <x:c r="E1073" s="20" t="str">
        <x:v>M04</x:v>
      </x:c>
      <x:c r="F1073" s="20"/>
      <x:c r="G1073" s="20"/>
      <x:c r="H1073" s="20" t="str">
        <x:v>待判定</x:v>
      </x:c>
      <x:c r="I1073" s="20"/>
      <x:c r="J1073" s="20" t="str">
        <x:v>未测试</x:v>
      </x:c>
      <x:c r="K1073" s="20"/>
      <x:c r="L1073" s="20"/>
      <x:c r="M1073" s="20"/>
      <x:c r="N1073" s="20"/>
      <x:c r="O1073" s="31"/>
      <x:c r="P1073" s="20"/>
      <x:c r="Q1073" s="20"/>
      <x:c r="R1073" s="20" t="str">
        <x:v>待展开</x:v>
      </x:c>
      <x:c r="S1073" s="20"/>
      <x:c r="T1073" s="31"/>
      <x:c r="U1073" s="30" t="str">
        <x:f>IF(A1073="","缺记录编号",IF(COUNTIFS(PathRecords[记录编号],A1073)&lt;&gt;1,"记录编号重复",IF(OR(B1073="",E1073=""),"缺组合/功能",IF(COUNTIFS(Equipment[组合编号],B1073)&lt;&gt;1,"组合编号无效",IF(COUNTIFS(FunctionMatrix[编号],E1073)=0,"功能编号无效",IF(H1073="不适用",IF(J1073="已实测","适用性冲突",IF(I1073="","待补不适用依据","不适用（非实测）")),IF(J1073="阻塞",IF(I1073="","待补阻塞原因","阻塞（非实测）"),IF(J1073&lt;&gt;"已实测",IF(F1073="","待展开路径","未实测"),IF(H1073&lt;&gt;"适用","待确认适用性",IF(INDEX(Equipment[登记状态（自动）],MATCH(B1073,Equipment[组合编号],0))&lt;&gt;"已登记","待补设备组合",IF(AND(F1073&lt;&gt;"",G1073&lt;&gt;"",K1073&lt;&gt;"",L1073&lt;&gt;"",M1073&lt;&gt;"",N1073&lt;&gt;"",ISNUMBER(O1073),O1073&gt;0,P1073&lt;&gt;""),"记录齐全","待补实测记录")))))))))))</x:f>
        <x:v>待展开路径</x:v>
      </x:c>
    </x:row>
    <x:row r="1074" ht="43.5" customHeight="1">
      <x:c r="A1074" s="20" t="str">
        <x:v>REC-01065</x:v>
      </x:c>
      <x:c r="B1074" s="20" t="str">
        <x:v>P3-B1-01</x:v>
      </x:c>
      <x:c r="C1074" s="30" t="str">
        <x:f>IF(B1074="","",IF(COUNTIFS(Equipment[组合编号],B1074)&lt;&gt;1,"组合编号无效",INDEX(Equipment[PLC组],MATCH(B1074,Equipment[组合编号],0))))</x:f>
        <x:v>欧姆龙</x:v>
      </x:c>
      <x:c r="D1074" s="30" t="str">
        <x:f>IF(B1074="","",IF(COUNTIFS(Equipment[组合编号],B1074)&lt;&gt;1,"组合编号无效",INDEX(Equipment[驱动品牌],MATCH(B1074,Equipment[组合编号],0))))</x:f>
        <x:v>CDHD</x:v>
      </x:c>
      <x:c r="E1074" s="20" t="str">
        <x:v>M05</x:v>
      </x:c>
      <x:c r="F1074" s="20"/>
      <x:c r="G1074" s="20"/>
      <x:c r="H1074" s="20" t="str">
        <x:v>待判定</x:v>
      </x:c>
      <x:c r="I1074" s="20"/>
      <x:c r="J1074" s="20" t="str">
        <x:v>未测试</x:v>
      </x:c>
      <x:c r="K1074" s="20"/>
      <x:c r="L1074" s="20"/>
      <x:c r="M1074" s="20"/>
      <x:c r="N1074" s="20"/>
      <x:c r="O1074" s="31"/>
      <x:c r="P1074" s="20"/>
      <x:c r="Q1074" s="20"/>
      <x:c r="R1074" s="20" t="str">
        <x:v>待展开</x:v>
      </x:c>
      <x:c r="S1074" s="20"/>
      <x:c r="T1074" s="31"/>
      <x:c r="U1074" s="30" t="str">
        <x:f>IF(A1074="","缺记录编号",IF(COUNTIFS(PathRecords[记录编号],A1074)&lt;&gt;1,"记录编号重复",IF(OR(B1074="",E1074=""),"缺组合/功能",IF(COUNTIFS(Equipment[组合编号],B1074)&lt;&gt;1,"组合编号无效",IF(COUNTIFS(FunctionMatrix[编号],E1074)=0,"功能编号无效",IF(H1074="不适用",IF(J1074="已实测","适用性冲突",IF(I1074="","待补不适用依据","不适用（非实测）")),IF(J1074="阻塞",IF(I1074="","待补阻塞原因","阻塞（非实测）"),IF(J1074&lt;&gt;"已实测",IF(F1074="","待展开路径","未实测"),IF(H1074&lt;&gt;"适用","待确认适用性",IF(INDEX(Equipment[登记状态（自动）],MATCH(B1074,Equipment[组合编号],0))&lt;&gt;"已登记","待补设备组合",IF(AND(F1074&lt;&gt;"",G1074&lt;&gt;"",K1074&lt;&gt;"",L1074&lt;&gt;"",M1074&lt;&gt;"",N1074&lt;&gt;"",ISNUMBER(O1074),O1074&gt;0,P1074&lt;&gt;""),"记录齐全","待补实测记录")))))))))))</x:f>
        <x:v>待展开路径</x:v>
      </x:c>
    </x:row>
    <x:row r="1075" ht="43.5" customHeight="1">
      <x:c r="A1075" s="20" t="str">
        <x:v>REC-01066</x:v>
      </x:c>
      <x:c r="B1075" s="20" t="str">
        <x:v>P3-B1-01</x:v>
      </x:c>
      <x:c r="C1075" s="30" t="str">
        <x:f>IF(B1075="","",IF(COUNTIFS(Equipment[组合编号],B1075)&lt;&gt;1,"组合编号无效",INDEX(Equipment[PLC组],MATCH(B1075,Equipment[组合编号],0))))</x:f>
        <x:v>欧姆龙</x:v>
      </x:c>
      <x:c r="D1075" s="30" t="str">
        <x:f>IF(B1075="","",IF(COUNTIFS(Equipment[组合编号],B1075)&lt;&gt;1,"组合编号无效",INDEX(Equipment[驱动品牌],MATCH(B1075,Equipment[组合编号],0))))</x:f>
        <x:v>CDHD</x:v>
      </x:c>
      <x:c r="E1075" s="20" t="str">
        <x:v>M06</x:v>
      </x:c>
      <x:c r="F1075" s="20"/>
      <x:c r="G1075" s="20"/>
      <x:c r="H1075" s="20" t="str">
        <x:v>待判定</x:v>
      </x:c>
      <x:c r="I1075" s="20"/>
      <x:c r="J1075" s="20" t="str">
        <x:v>未测试</x:v>
      </x:c>
      <x:c r="K1075" s="20"/>
      <x:c r="L1075" s="20"/>
      <x:c r="M1075" s="20"/>
      <x:c r="N1075" s="20"/>
      <x:c r="O1075" s="31"/>
      <x:c r="P1075" s="20"/>
      <x:c r="Q1075" s="20"/>
      <x:c r="R1075" s="20" t="str">
        <x:v>待展开</x:v>
      </x:c>
      <x:c r="S1075" s="20"/>
      <x:c r="T1075" s="31"/>
      <x:c r="U1075" s="30" t="str">
        <x:f>IF(A1075="","缺记录编号",IF(COUNTIFS(PathRecords[记录编号],A1075)&lt;&gt;1,"记录编号重复",IF(OR(B1075="",E1075=""),"缺组合/功能",IF(COUNTIFS(Equipment[组合编号],B1075)&lt;&gt;1,"组合编号无效",IF(COUNTIFS(FunctionMatrix[编号],E1075)=0,"功能编号无效",IF(H1075="不适用",IF(J1075="已实测","适用性冲突",IF(I1075="","待补不适用依据","不适用（非实测）")),IF(J1075="阻塞",IF(I1075="","待补阻塞原因","阻塞（非实测）"),IF(J1075&lt;&gt;"已实测",IF(F1075="","待展开路径","未实测"),IF(H1075&lt;&gt;"适用","待确认适用性",IF(INDEX(Equipment[登记状态（自动）],MATCH(B1075,Equipment[组合编号],0))&lt;&gt;"已登记","待补设备组合",IF(AND(F1075&lt;&gt;"",G1075&lt;&gt;"",K1075&lt;&gt;"",L1075&lt;&gt;"",M1075&lt;&gt;"",N1075&lt;&gt;"",ISNUMBER(O1075),O1075&gt;0,P1075&lt;&gt;""),"记录齐全","待补实测记录")))))))))))</x:f>
        <x:v>待展开路径</x:v>
      </x:c>
    </x:row>
    <x:row r="1076" ht="43.5" customHeight="1">
      <x:c r="A1076" s="20" t="str">
        <x:v>REC-01067</x:v>
      </x:c>
      <x:c r="B1076" s="20" t="str">
        <x:v>P3-B1-01</x:v>
      </x:c>
      <x:c r="C1076" s="30" t="str">
        <x:f>IF(B1076="","",IF(COUNTIFS(Equipment[组合编号],B1076)&lt;&gt;1,"组合编号无效",INDEX(Equipment[PLC组],MATCH(B1076,Equipment[组合编号],0))))</x:f>
        <x:v>欧姆龙</x:v>
      </x:c>
      <x:c r="D1076" s="30" t="str">
        <x:f>IF(B1076="","",IF(COUNTIFS(Equipment[组合编号],B1076)&lt;&gt;1,"组合编号无效",INDEX(Equipment[驱动品牌],MATCH(B1076,Equipment[组合编号],0))))</x:f>
        <x:v>CDHD</x:v>
      </x:c>
      <x:c r="E1076" s="20" t="str">
        <x:v>M07</x:v>
      </x:c>
      <x:c r="F1076" s="20"/>
      <x:c r="G1076" s="20"/>
      <x:c r="H1076" s="20" t="str">
        <x:v>待判定</x:v>
      </x:c>
      <x:c r="I1076" s="20"/>
      <x:c r="J1076" s="20" t="str">
        <x:v>未测试</x:v>
      </x:c>
      <x:c r="K1076" s="20"/>
      <x:c r="L1076" s="20"/>
      <x:c r="M1076" s="20"/>
      <x:c r="N1076" s="20"/>
      <x:c r="O1076" s="31"/>
      <x:c r="P1076" s="20"/>
      <x:c r="Q1076" s="20"/>
      <x:c r="R1076" s="20" t="str">
        <x:v>待展开</x:v>
      </x:c>
      <x:c r="S1076" s="20"/>
      <x:c r="T1076" s="31"/>
      <x:c r="U1076" s="30" t="str">
        <x:f>IF(A1076="","缺记录编号",IF(COUNTIFS(PathRecords[记录编号],A1076)&lt;&gt;1,"记录编号重复",IF(OR(B1076="",E1076=""),"缺组合/功能",IF(COUNTIFS(Equipment[组合编号],B1076)&lt;&gt;1,"组合编号无效",IF(COUNTIFS(FunctionMatrix[编号],E1076)=0,"功能编号无效",IF(H1076="不适用",IF(J1076="已实测","适用性冲突",IF(I1076="","待补不适用依据","不适用（非实测）")),IF(J1076="阻塞",IF(I1076="","待补阻塞原因","阻塞（非实测）"),IF(J1076&lt;&gt;"已实测",IF(F1076="","待展开路径","未实测"),IF(H1076&lt;&gt;"适用","待确认适用性",IF(INDEX(Equipment[登记状态（自动）],MATCH(B1076,Equipment[组合编号],0))&lt;&gt;"已登记","待补设备组合",IF(AND(F1076&lt;&gt;"",G1076&lt;&gt;"",K1076&lt;&gt;"",L1076&lt;&gt;"",M1076&lt;&gt;"",N1076&lt;&gt;"",ISNUMBER(O1076),O1076&gt;0,P1076&lt;&gt;""),"记录齐全","待补实测记录")))))))))))</x:f>
        <x:v>待展开路径</x:v>
      </x:c>
    </x:row>
    <x:row r="1077" ht="43.5" customHeight="1">
      <x:c r="A1077" s="20" t="str">
        <x:v>REC-01068</x:v>
      </x:c>
      <x:c r="B1077" s="20" t="str">
        <x:v>P3-B1-01</x:v>
      </x:c>
      <x:c r="C1077" s="30" t="str">
        <x:f>IF(B1077="","",IF(COUNTIFS(Equipment[组合编号],B1077)&lt;&gt;1,"组合编号无效",INDEX(Equipment[PLC组],MATCH(B1077,Equipment[组合编号],0))))</x:f>
        <x:v>欧姆龙</x:v>
      </x:c>
      <x:c r="D1077" s="30" t="str">
        <x:f>IF(B1077="","",IF(COUNTIFS(Equipment[组合编号],B1077)&lt;&gt;1,"组合编号无效",INDEX(Equipment[驱动品牌],MATCH(B1077,Equipment[组合编号],0))))</x:f>
        <x:v>CDHD</x:v>
      </x:c>
      <x:c r="E1077" s="20" t="str">
        <x:v>M09</x:v>
      </x:c>
      <x:c r="F1077" s="20"/>
      <x:c r="G1077" s="20"/>
      <x:c r="H1077" s="20" t="str">
        <x:v>待判定</x:v>
      </x:c>
      <x:c r="I1077" s="20"/>
      <x:c r="J1077" s="20" t="str">
        <x:v>未测试</x:v>
      </x:c>
      <x:c r="K1077" s="20"/>
      <x:c r="L1077" s="20"/>
      <x:c r="M1077" s="20"/>
      <x:c r="N1077" s="20"/>
      <x:c r="O1077" s="31"/>
      <x:c r="P1077" s="20"/>
      <x:c r="Q1077" s="20"/>
      <x:c r="R1077" s="20" t="str">
        <x:v>待展开</x:v>
      </x:c>
      <x:c r="S1077" s="20"/>
      <x:c r="T1077" s="31"/>
      <x:c r="U1077" s="30" t="str">
        <x:f>IF(A1077="","缺记录编号",IF(COUNTIFS(PathRecords[记录编号],A1077)&lt;&gt;1,"记录编号重复",IF(OR(B1077="",E1077=""),"缺组合/功能",IF(COUNTIFS(Equipment[组合编号],B1077)&lt;&gt;1,"组合编号无效",IF(COUNTIFS(FunctionMatrix[编号],E1077)=0,"功能编号无效",IF(H1077="不适用",IF(J1077="已实测","适用性冲突",IF(I1077="","待补不适用依据","不适用（非实测）")),IF(J1077="阻塞",IF(I1077="","待补阻塞原因","阻塞（非实测）"),IF(J1077&lt;&gt;"已实测",IF(F1077="","待展开路径","未实测"),IF(H1077&lt;&gt;"适用","待确认适用性",IF(INDEX(Equipment[登记状态（自动）],MATCH(B1077,Equipment[组合编号],0))&lt;&gt;"已登记","待补设备组合",IF(AND(F1077&lt;&gt;"",G1077&lt;&gt;"",K1077&lt;&gt;"",L1077&lt;&gt;"",M1077&lt;&gt;"",N1077&lt;&gt;"",ISNUMBER(O1077),O1077&gt;0,P1077&lt;&gt;""),"记录齐全","待补实测记录")))))))))))</x:f>
        <x:v>待展开路径</x:v>
      </x:c>
    </x:row>
    <x:row r="1078" ht="43.5" customHeight="1">
      <x:c r="A1078" s="20" t="str">
        <x:v>REC-01069</x:v>
      </x:c>
      <x:c r="B1078" s="20" t="str">
        <x:v>P3-B1-01</x:v>
      </x:c>
      <x:c r="C1078" s="30" t="str">
        <x:f>IF(B1078="","",IF(COUNTIFS(Equipment[组合编号],B1078)&lt;&gt;1,"组合编号无效",INDEX(Equipment[PLC组],MATCH(B1078,Equipment[组合编号],0))))</x:f>
        <x:v>欧姆龙</x:v>
      </x:c>
      <x:c r="D1078" s="30" t="str">
        <x:f>IF(B1078="","",IF(COUNTIFS(Equipment[组合编号],B1078)&lt;&gt;1,"组合编号无效",INDEX(Equipment[驱动品牌],MATCH(B1078,Equipment[组合编号],0))))</x:f>
        <x:v>CDHD</x:v>
      </x:c>
      <x:c r="E1078" s="20" t="str">
        <x:v>M10</x:v>
      </x:c>
      <x:c r="F1078" s="20"/>
      <x:c r="G1078" s="20"/>
      <x:c r="H1078" s="20" t="str">
        <x:v>待判定</x:v>
      </x:c>
      <x:c r="I1078" s="20"/>
      <x:c r="J1078" s="20" t="str">
        <x:v>未测试</x:v>
      </x:c>
      <x:c r="K1078" s="20"/>
      <x:c r="L1078" s="20"/>
      <x:c r="M1078" s="20"/>
      <x:c r="N1078" s="20"/>
      <x:c r="O1078" s="31"/>
      <x:c r="P1078" s="20"/>
      <x:c r="Q1078" s="20"/>
      <x:c r="R1078" s="20" t="str">
        <x:v>待展开</x:v>
      </x:c>
      <x:c r="S1078" s="20"/>
      <x:c r="T1078" s="31"/>
      <x:c r="U1078" s="30" t="str">
        <x:f>IF(A1078="","缺记录编号",IF(COUNTIFS(PathRecords[记录编号],A1078)&lt;&gt;1,"记录编号重复",IF(OR(B1078="",E1078=""),"缺组合/功能",IF(COUNTIFS(Equipment[组合编号],B1078)&lt;&gt;1,"组合编号无效",IF(COUNTIFS(FunctionMatrix[编号],E1078)=0,"功能编号无效",IF(H1078="不适用",IF(J1078="已实测","适用性冲突",IF(I1078="","待补不适用依据","不适用（非实测）")),IF(J1078="阻塞",IF(I1078="","待补阻塞原因","阻塞（非实测）"),IF(J1078&lt;&gt;"已实测",IF(F1078="","待展开路径","未实测"),IF(H1078&lt;&gt;"适用","待确认适用性",IF(INDEX(Equipment[登记状态（自动）],MATCH(B1078,Equipment[组合编号],0))&lt;&gt;"已登记","待补设备组合",IF(AND(F1078&lt;&gt;"",G1078&lt;&gt;"",K1078&lt;&gt;"",L1078&lt;&gt;"",M1078&lt;&gt;"",N1078&lt;&gt;"",ISNUMBER(O1078),O1078&gt;0,P1078&lt;&gt;""),"记录齐全","待补实测记录")))))))))))</x:f>
        <x:v>待展开路径</x:v>
      </x:c>
    </x:row>
    <x:row r="1079" ht="43.5" customHeight="1">
      <x:c r="A1079" s="20" t="str">
        <x:v>REC-01070</x:v>
      </x:c>
      <x:c r="B1079" s="20" t="str">
        <x:v>P3-B1-01</x:v>
      </x:c>
      <x:c r="C1079" s="30" t="str">
        <x:f>IF(B1079="","",IF(COUNTIFS(Equipment[组合编号],B1079)&lt;&gt;1,"组合编号无效",INDEX(Equipment[PLC组],MATCH(B1079,Equipment[组合编号],0))))</x:f>
        <x:v>欧姆龙</x:v>
      </x:c>
      <x:c r="D1079" s="30" t="str">
        <x:f>IF(B1079="","",IF(COUNTIFS(Equipment[组合编号],B1079)&lt;&gt;1,"组合编号无效",INDEX(Equipment[驱动品牌],MATCH(B1079,Equipment[组合编号],0))))</x:f>
        <x:v>CDHD</x:v>
      </x:c>
      <x:c r="E1079" s="20" t="str">
        <x:v>D01</x:v>
      </x:c>
      <x:c r="F1079" s="20"/>
      <x:c r="G1079" s="20"/>
      <x:c r="H1079" s="20" t="str">
        <x:v>待判定</x:v>
      </x:c>
      <x:c r="I1079" s="20"/>
      <x:c r="J1079" s="20" t="str">
        <x:v>未测试</x:v>
      </x:c>
      <x:c r="K1079" s="20"/>
      <x:c r="L1079" s="20"/>
      <x:c r="M1079" s="20"/>
      <x:c r="N1079" s="20"/>
      <x:c r="O1079" s="31"/>
      <x:c r="P1079" s="20"/>
      <x:c r="Q1079" s="20"/>
      <x:c r="R1079" s="20" t="str">
        <x:v>待展开</x:v>
      </x:c>
      <x:c r="S1079" s="20"/>
      <x:c r="T1079" s="31"/>
      <x:c r="U1079" s="30" t="str">
        <x:f>IF(A1079="","缺记录编号",IF(COUNTIFS(PathRecords[记录编号],A1079)&lt;&gt;1,"记录编号重复",IF(OR(B1079="",E1079=""),"缺组合/功能",IF(COUNTIFS(Equipment[组合编号],B1079)&lt;&gt;1,"组合编号无效",IF(COUNTIFS(FunctionMatrix[编号],E1079)=0,"功能编号无效",IF(H1079="不适用",IF(J1079="已实测","适用性冲突",IF(I1079="","待补不适用依据","不适用（非实测）")),IF(J1079="阻塞",IF(I1079="","待补阻塞原因","阻塞（非实测）"),IF(J1079&lt;&gt;"已实测",IF(F1079="","待展开路径","未实测"),IF(H1079&lt;&gt;"适用","待确认适用性",IF(INDEX(Equipment[登记状态（自动）],MATCH(B1079,Equipment[组合编号],0))&lt;&gt;"已登记","待补设备组合",IF(AND(F1079&lt;&gt;"",G1079&lt;&gt;"",K1079&lt;&gt;"",L1079&lt;&gt;"",M1079&lt;&gt;"",N1079&lt;&gt;"",ISNUMBER(O1079),O1079&gt;0,P1079&lt;&gt;""),"记录齐全","待补实测记录")))))))))))</x:f>
        <x:v>待展开路径</x:v>
      </x:c>
    </x:row>
    <x:row r="1080" ht="43.5" customHeight="1">
      <x:c r="A1080" s="20" t="str">
        <x:v>REC-01071</x:v>
      </x:c>
      <x:c r="B1080" s="20" t="str">
        <x:v>P3-B1-01</x:v>
      </x:c>
      <x:c r="C1080" s="30" t="str">
        <x:f>IF(B1080="","",IF(COUNTIFS(Equipment[组合编号],B1080)&lt;&gt;1,"组合编号无效",INDEX(Equipment[PLC组],MATCH(B1080,Equipment[组合编号],0))))</x:f>
        <x:v>欧姆龙</x:v>
      </x:c>
      <x:c r="D1080" s="30" t="str">
        <x:f>IF(B1080="","",IF(COUNTIFS(Equipment[组合编号],B1080)&lt;&gt;1,"组合编号无效",INDEX(Equipment[驱动品牌],MATCH(B1080,Equipment[组合编号],0))))</x:f>
        <x:v>CDHD</x:v>
      </x:c>
      <x:c r="E1080" s="20" t="str">
        <x:v>D02</x:v>
      </x:c>
      <x:c r="F1080" s="20"/>
      <x:c r="G1080" s="20"/>
      <x:c r="H1080" s="20" t="str">
        <x:v>待判定</x:v>
      </x:c>
      <x:c r="I1080" s="20"/>
      <x:c r="J1080" s="20" t="str">
        <x:v>未测试</x:v>
      </x:c>
      <x:c r="K1080" s="20"/>
      <x:c r="L1080" s="20"/>
      <x:c r="M1080" s="20"/>
      <x:c r="N1080" s="20"/>
      <x:c r="O1080" s="31"/>
      <x:c r="P1080" s="20"/>
      <x:c r="Q1080" s="20"/>
      <x:c r="R1080" s="20" t="str">
        <x:v>待展开</x:v>
      </x:c>
      <x:c r="S1080" s="20"/>
      <x:c r="T1080" s="31"/>
      <x:c r="U1080" s="30" t="str">
        <x:f>IF(A1080="","缺记录编号",IF(COUNTIFS(PathRecords[记录编号],A1080)&lt;&gt;1,"记录编号重复",IF(OR(B1080="",E1080=""),"缺组合/功能",IF(COUNTIFS(Equipment[组合编号],B1080)&lt;&gt;1,"组合编号无效",IF(COUNTIFS(FunctionMatrix[编号],E1080)=0,"功能编号无效",IF(H1080="不适用",IF(J1080="已实测","适用性冲突",IF(I1080="","待补不适用依据","不适用（非实测）")),IF(J1080="阻塞",IF(I1080="","待补阻塞原因","阻塞（非实测）"),IF(J1080&lt;&gt;"已实测",IF(F1080="","待展开路径","未实测"),IF(H1080&lt;&gt;"适用","待确认适用性",IF(INDEX(Equipment[登记状态（自动）],MATCH(B1080,Equipment[组合编号],0))&lt;&gt;"已登记","待补设备组合",IF(AND(F1080&lt;&gt;"",G1080&lt;&gt;"",K1080&lt;&gt;"",L1080&lt;&gt;"",M1080&lt;&gt;"",N1080&lt;&gt;"",ISNUMBER(O1080),O1080&gt;0,P1080&lt;&gt;""),"记录齐全","待补实测记录")))))))))))</x:f>
        <x:v>待展开路径</x:v>
      </x:c>
    </x:row>
    <x:row r="1081" ht="43.5" customHeight="1">
      <x:c r="A1081" s="20" t="str">
        <x:v>REC-01072</x:v>
      </x:c>
      <x:c r="B1081" s="20" t="str">
        <x:v>P3-B1-01</x:v>
      </x:c>
      <x:c r="C1081" s="30" t="str">
        <x:f>IF(B1081="","",IF(COUNTIFS(Equipment[组合编号],B1081)&lt;&gt;1,"组合编号无效",INDEX(Equipment[PLC组],MATCH(B1081,Equipment[组合编号],0))))</x:f>
        <x:v>欧姆龙</x:v>
      </x:c>
      <x:c r="D1081" s="30" t="str">
        <x:f>IF(B1081="","",IF(COUNTIFS(Equipment[组合编号],B1081)&lt;&gt;1,"组合编号无效",INDEX(Equipment[驱动品牌],MATCH(B1081,Equipment[组合编号],0))))</x:f>
        <x:v>CDHD</x:v>
      </x:c>
      <x:c r="E1081" s="20" t="str">
        <x:v>D03</x:v>
      </x:c>
      <x:c r="F1081" s="20"/>
      <x:c r="G1081" s="20"/>
      <x:c r="H1081" s="20" t="str">
        <x:v>待判定</x:v>
      </x:c>
      <x:c r="I1081" s="20"/>
      <x:c r="J1081" s="20" t="str">
        <x:v>未测试</x:v>
      </x:c>
      <x:c r="K1081" s="20"/>
      <x:c r="L1081" s="20"/>
      <x:c r="M1081" s="20"/>
      <x:c r="N1081" s="20"/>
      <x:c r="O1081" s="31"/>
      <x:c r="P1081" s="20"/>
      <x:c r="Q1081" s="20"/>
      <x:c r="R1081" s="20" t="str">
        <x:v>待展开</x:v>
      </x:c>
      <x:c r="S1081" s="20"/>
      <x:c r="T1081" s="31"/>
      <x:c r="U1081" s="30" t="str">
        <x:f>IF(A1081="","缺记录编号",IF(COUNTIFS(PathRecords[记录编号],A1081)&lt;&gt;1,"记录编号重复",IF(OR(B1081="",E1081=""),"缺组合/功能",IF(COUNTIFS(Equipment[组合编号],B1081)&lt;&gt;1,"组合编号无效",IF(COUNTIFS(FunctionMatrix[编号],E1081)=0,"功能编号无效",IF(H1081="不适用",IF(J1081="已实测","适用性冲突",IF(I1081="","待补不适用依据","不适用（非实测）")),IF(J1081="阻塞",IF(I1081="","待补阻塞原因","阻塞（非实测）"),IF(J1081&lt;&gt;"已实测",IF(F1081="","待展开路径","未实测"),IF(H1081&lt;&gt;"适用","待确认适用性",IF(INDEX(Equipment[登记状态（自动）],MATCH(B1081,Equipment[组合编号],0))&lt;&gt;"已登记","待补设备组合",IF(AND(F1081&lt;&gt;"",G1081&lt;&gt;"",K1081&lt;&gt;"",L1081&lt;&gt;"",M1081&lt;&gt;"",N1081&lt;&gt;"",ISNUMBER(O1081),O1081&gt;0,P1081&lt;&gt;""),"记录齐全","待补实测记录")))))))))))</x:f>
        <x:v>待展开路径</x:v>
      </x:c>
    </x:row>
    <x:row r="1082" ht="43.5" customHeight="1">
      <x:c r="A1082" s="20" t="str">
        <x:v>REC-01073</x:v>
      </x:c>
      <x:c r="B1082" s="20" t="str">
        <x:v>P3-B1-01</x:v>
      </x:c>
      <x:c r="C1082" s="30" t="str">
        <x:f>IF(B1082="","",IF(COUNTIFS(Equipment[组合编号],B1082)&lt;&gt;1,"组合编号无效",INDEX(Equipment[PLC组],MATCH(B1082,Equipment[组合编号],0))))</x:f>
        <x:v>欧姆龙</x:v>
      </x:c>
      <x:c r="D1082" s="30" t="str">
        <x:f>IF(B1082="","",IF(COUNTIFS(Equipment[组合编号],B1082)&lt;&gt;1,"组合编号无效",INDEX(Equipment[驱动品牌],MATCH(B1082,Equipment[组合编号],0))))</x:f>
        <x:v>CDHD</x:v>
      </x:c>
      <x:c r="E1082" s="20" t="str">
        <x:v>D04</x:v>
      </x:c>
      <x:c r="F1082" s="20"/>
      <x:c r="G1082" s="20"/>
      <x:c r="H1082" s="20" t="str">
        <x:v>待判定</x:v>
      </x:c>
      <x:c r="I1082" s="20"/>
      <x:c r="J1082" s="20" t="str">
        <x:v>未测试</x:v>
      </x:c>
      <x:c r="K1082" s="20"/>
      <x:c r="L1082" s="20"/>
      <x:c r="M1082" s="20"/>
      <x:c r="N1082" s="20"/>
      <x:c r="O1082" s="31"/>
      <x:c r="P1082" s="20"/>
      <x:c r="Q1082" s="20"/>
      <x:c r="R1082" s="20" t="str">
        <x:v>待展开</x:v>
      </x:c>
      <x:c r="S1082" s="20"/>
      <x:c r="T1082" s="31"/>
      <x:c r="U1082" s="30" t="str">
        <x:f>IF(A1082="","缺记录编号",IF(COUNTIFS(PathRecords[记录编号],A1082)&lt;&gt;1,"记录编号重复",IF(OR(B1082="",E1082=""),"缺组合/功能",IF(COUNTIFS(Equipment[组合编号],B1082)&lt;&gt;1,"组合编号无效",IF(COUNTIFS(FunctionMatrix[编号],E1082)=0,"功能编号无效",IF(H1082="不适用",IF(J1082="已实测","适用性冲突",IF(I1082="","待补不适用依据","不适用（非实测）")),IF(J1082="阻塞",IF(I1082="","待补阻塞原因","阻塞（非实测）"),IF(J1082&lt;&gt;"已实测",IF(F1082="","待展开路径","未实测"),IF(H1082&lt;&gt;"适用","待确认适用性",IF(INDEX(Equipment[登记状态（自动）],MATCH(B1082,Equipment[组合编号],0))&lt;&gt;"已登记","待补设备组合",IF(AND(F1082&lt;&gt;"",G1082&lt;&gt;"",K1082&lt;&gt;"",L1082&lt;&gt;"",M1082&lt;&gt;"",N1082&lt;&gt;"",ISNUMBER(O1082),O1082&gt;0,P1082&lt;&gt;""),"记录齐全","待补实测记录")))))))))))</x:f>
        <x:v>待展开路径</x:v>
      </x:c>
    </x:row>
    <x:row r="1083" ht="43.5" customHeight="1">
      <x:c r="A1083" s="20" t="str">
        <x:v>REC-01074</x:v>
      </x:c>
      <x:c r="B1083" s="20" t="str">
        <x:v>P3-B1-01</x:v>
      </x:c>
      <x:c r="C1083" s="30" t="str">
        <x:f>IF(B1083="","",IF(COUNTIFS(Equipment[组合编号],B1083)&lt;&gt;1,"组合编号无效",INDEX(Equipment[PLC组],MATCH(B1083,Equipment[组合编号],0))))</x:f>
        <x:v>欧姆龙</x:v>
      </x:c>
      <x:c r="D1083" s="30" t="str">
        <x:f>IF(B1083="","",IF(COUNTIFS(Equipment[组合编号],B1083)&lt;&gt;1,"组合编号无效",INDEX(Equipment[驱动品牌],MATCH(B1083,Equipment[组合编号],0))))</x:f>
        <x:v>CDHD</x:v>
      </x:c>
      <x:c r="E1083" s="20" t="str">
        <x:v>D05</x:v>
      </x:c>
      <x:c r="F1083" s="20"/>
      <x:c r="G1083" s="20"/>
      <x:c r="H1083" s="20" t="str">
        <x:v>待判定</x:v>
      </x:c>
      <x:c r="I1083" s="20"/>
      <x:c r="J1083" s="20" t="str">
        <x:v>未测试</x:v>
      </x:c>
      <x:c r="K1083" s="20"/>
      <x:c r="L1083" s="20"/>
      <x:c r="M1083" s="20"/>
      <x:c r="N1083" s="20"/>
      <x:c r="O1083" s="31"/>
      <x:c r="P1083" s="20"/>
      <x:c r="Q1083" s="20"/>
      <x:c r="R1083" s="20" t="str">
        <x:v>待展开</x:v>
      </x:c>
      <x:c r="S1083" s="20"/>
      <x:c r="T1083" s="31"/>
      <x:c r="U1083" s="30" t="str">
        <x:f>IF(A1083="","缺记录编号",IF(COUNTIFS(PathRecords[记录编号],A1083)&lt;&gt;1,"记录编号重复",IF(OR(B1083="",E1083=""),"缺组合/功能",IF(COUNTIFS(Equipment[组合编号],B1083)&lt;&gt;1,"组合编号无效",IF(COUNTIFS(FunctionMatrix[编号],E1083)=0,"功能编号无效",IF(H1083="不适用",IF(J1083="已实测","适用性冲突",IF(I1083="","待补不适用依据","不适用（非实测）")),IF(J1083="阻塞",IF(I1083="","待补阻塞原因","阻塞（非实测）"),IF(J1083&lt;&gt;"已实测",IF(F1083="","待展开路径","未实测"),IF(H1083&lt;&gt;"适用","待确认适用性",IF(INDEX(Equipment[登记状态（自动）],MATCH(B1083,Equipment[组合编号],0))&lt;&gt;"已登记","待补设备组合",IF(AND(F1083&lt;&gt;"",G1083&lt;&gt;"",K1083&lt;&gt;"",L1083&lt;&gt;"",M1083&lt;&gt;"",N1083&lt;&gt;"",ISNUMBER(O1083),O1083&gt;0,P1083&lt;&gt;""),"记录齐全","待补实测记录")))))))))))</x:f>
        <x:v>待展开路径</x:v>
      </x:c>
    </x:row>
    <x:row r="1084" ht="43.5" customHeight="1">
      <x:c r="A1084" s="20" t="str">
        <x:v>REC-01075</x:v>
      </x:c>
      <x:c r="B1084" s="20" t="str">
        <x:v>P3-B1-01</x:v>
      </x:c>
      <x:c r="C1084" s="30" t="str">
        <x:f>IF(B1084="","",IF(COUNTIFS(Equipment[组合编号],B1084)&lt;&gt;1,"组合编号无效",INDEX(Equipment[PLC组],MATCH(B1084,Equipment[组合编号],0))))</x:f>
        <x:v>欧姆龙</x:v>
      </x:c>
      <x:c r="D1084" s="30" t="str">
        <x:f>IF(B1084="","",IF(COUNTIFS(Equipment[组合编号],B1084)&lt;&gt;1,"组合编号无效",INDEX(Equipment[驱动品牌],MATCH(B1084,Equipment[组合编号],0))))</x:f>
        <x:v>CDHD</x:v>
      </x:c>
      <x:c r="E1084" s="20" t="str">
        <x:v>D06</x:v>
      </x:c>
      <x:c r="F1084" s="20"/>
      <x:c r="G1084" s="20"/>
      <x:c r="H1084" s="20" t="str">
        <x:v>待判定</x:v>
      </x:c>
      <x:c r="I1084" s="20"/>
      <x:c r="J1084" s="20" t="str">
        <x:v>未测试</x:v>
      </x:c>
      <x:c r="K1084" s="20"/>
      <x:c r="L1084" s="20"/>
      <x:c r="M1084" s="20"/>
      <x:c r="N1084" s="20"/>
      <x:c r="O1084" s="31"/>
      <x:c r="P1084" s="20"/>
      <x:c r="Q1084" s="20"/>
      <x:c r="R1084" s="20" t="str">
        <x:v>待展开</x:v>
      </x:c>
      <x:c r="S1084" s="20"/>
      <x:c r="T1084" s="31"/>
      <x:c r="U1084" s="30" t="str">
        <x:f>IF(A1084="","缺记录编号",IF(COUNTIFS(PathRecords[记录编号],A1084)&lt;&gt;1,"记录编号重复",IF(OR(B1084="",E1084=""),"缺组合/功能",IF(COUNTIFS(Equipment[组合编号],B1084)&lt;&gt;1,"组合编号无效",IF(COUNTIFS(FunctionMatrix[编号],E1084)=0,"功能编号无效",IF(H1084="不适用",IF(J1084="已实测","适用性冲突",IF(I1084="","待补不适用依据","不适用（非实测）")),IF(J1084="阻塞",IF(I1084="","待补阻塞原因","阻塞（非实测）"),IF(J1084&lt;&gt;"已实测",IF(F1084="","待展开路径","未实测"),IF(H1084&lt;&gt;"适用","待确认适用性",IF(INDEX(Equipment[登记状态（自动）],MATCH(B1084,Equipment[组合编号],0))&lt;&gt;"已登记","待补设备组合",IF(AND(F1084&lt;&gt;"",G1084&lt;&gt;"",K1084&lt;&gt;"",L1084&lt;&gt;"",M1084&lt;&gt;"",N1084&lt;&gt;"",ISNUMBER(O1084),O1084&gt;0,P1084&lt;&gt;""),"记录齐全","待补实测记录")))))))))))</x:f>
        <x:v>待展开路径</x:v>
      </x:c>
    </x:row>
    <x:row r="1085" ht="43.5" customHeight="1">
      <x:c r="A1085" s="20" t="str">
        <x:v>REC-01076</x:v>
      </x:c>
      <x:c r="B1085" s="20" t="str">
        <x:v>P3-B1-01</x:v>
      </x:c>
      <x:c r="C1085" s="30" t="str">
        <x:f>IF(B1085="","",IF(COUNTIFS(Equipment[组合编号],B1085)&lt;&gt;1,"组合编号无效",INDEX(Equipment[PLC组],MATCH(B1085,Equipment[组合编号],0))))</x:f>
        <x:v>欧姆龙</x:v>
      </x:c>
      <x:c r="D1085" s="30" t="str">
        <x:f>IF(B1085="","",IF(COUNTIFS(Equipment[组合编号],B1085)&lt;&gt;1,"组合编号无效",INDEX(Equipment[驱动品牌],MATCH(B1085,Equipment[组合编号],0))))</x:f>
        <x:v>CDHD</x:v>
      </x:c>
      <x:c r="E1085" s="20" t="str">
        <x:v>D07</x:v>
      </x:c>
      <x:c r="F1085" s="20"/>
      <x:c r="G1085" s="20"/>
      <x:c r="H1085" s="20" t="str">
        <x:v>待判定</x:v>
      </x:c>
      <x:c r="I1085" s="20"/>
      <x:c r="J1085" s="20" t="str">
        <x:v>未测试</x:v>
      </x:c>
      <x:c r="K1085" s="20"/>
      <x:c r="L1085" s="20"/>
      <x:c r="M1085" s="20"/>
      <x:c r="N1085" s="20"/>
      <x:c r="O1085" s="31"/>
      <x:c r="P1085" s="20"/>
      <x:c r="Q1085" s="20"/>
      <x:c r="R1085" s="20" t="str">
        <x:v>待展开</x:v>
      </x:c>
      <x:c r="S1085" s="20"/>
      <x:c r="T1085" s="31"/>
      <x:c r="U1085" s="30" t="str">
        <x:f>IF(A1085="","缺记录编号",IF(COUNTIFS(PathRecords[记录编号],A1085)&lt;&gt;1,"记录编号重复",IF(OR(B1085="",E1085=""),"缺组合/功能",IF(COUNTIFS(Equipment[组合编号],B1085)&lt;&gt;1,"组合编号无效",IF(COUNTIFS(FunctionMatrix[编号],E1085)=0,"功能编号无效",IF(H1085="不适用",IF(J1085="已实测","适用性冲突",IF(I1085="","待补不适用依据","不适用（非实测）")),IF(J1085="阻塞",IF(I1085="","待补阻塞原因","阻塞（非实测）"),IF(J1085&lt;&gt;"已实测",IF(F1085="","待展开路径","未实测"),IF(H1085&lt;&gt;"适用","待确认适用性",IF(INDEX(Equipment[登记状态（自动）],MATCH(B1085,Equipment[组合编号],0))&lt;&gt;"已登记","待补设备组合",IF(AND(F1085&lt;&gt;"",G1085&lt;&gt;"",K1085&lt;&gt;"",L1085&lt;&gt;"",M1085&lt;&gt;"",N1085&lt;&gt;"",ISNUMBER(O1085),O1085&gt;0,P1085&lt;&gt;""),"记录齐全","待补实测记录")))))))))))</x:f>
        <x:v>待展开路径</x:v>
      </x:c>
    </x:row>
    <x:row r="1086" ht="43.5" customHeight="1">
      <x:c r="A1086" s="20" t="str">
        <x:v>REC-01077</x:v>
      </x:c>
      <x:c r="B1086" s="20" t="str">
        <x:v>P3-B1-01</x:v>
      </x:c>
      <x:c r="C1086" s="30" t="str">
        <x:f>IF(B1086="","",IF(COUNTIFS(Equipment[组合编号],B1086)&lt;&gt;1,"组合编号无效",INDEX(Equipment[PLC组],MATCH(B1086,Equipment[组合编号],0))))</x:f>
        <x:v>欧姆龙</x:v>
      </x:c>
      <x:c r="D1086" s="30" t="str">
        <x:f>IF(B1086="","",IF(COUNTIFS(Equipment[组合编号],B1086)&lt;&gt;1,"组合编号无效",INDEX(Equipment[驱动品牌],MATCH(B1086,Equipment[组合编号],0))))</x:f>
        <x:v>CDHD</x:v>
      </x:c>
      <x:c r="E1086" s="20" t="str">
        <x:v>D08</x:v>
      </x:c>
      <x:c r="F1086" s="20"/>
      <x:c r="G1086" s="20"/>
      <x:c r="H1086" s="20" t="str">
        <x:v>待判定</x:v>
      </x:c>
      <x:c r="I1086" s="20"/>
      <x:c r="J1086" s="20" t="str">
        <x:v>未测试</x:v>
      </x:c>
      <x:c r="K1086" s="20"/>
      <x:c r="L1086" s="20"/>
      <x:c r="M1086" s="20"/>
      <x:c r="N1086" s="20"/>
      <x:c r="O1086" s="31"/>
      <x:c r="P1086" s="20"/>
      <x:c r="Q1086" s="20"/>
      <x:c r="R1086" s="20" t="str">
        <x:v>待展开</x:v>
      </x:c>
      <x:c r="S1086" s="20"/>
      <x:c r="T1086" s="31"/>
      <x:c r="U1086" s="30" t="str">
        <x:f>IF(A1086="","缺记录编号",IF(COUNTIFS(PathRecords[记录编号],A1086)&lt;&gt;1,"记录编号重复",IF(OR(B1086="",E1086=""),"缺组合/功能",IF(COUNTIFS(Equipment[组合编号],B1086)&lt;&gt;1,"组合编号无效",IF(COUNTIFS(FunctionMatrix[编号],E1086)=0,"功能编号无效",IF(H1086="不适用",IF(J1086="已实测","适用性冲突",IF(I1086="","待补不适用依据","不适用（非实测）")),IF(J1086="阻塞",IF(I1086="","待补阻塞原因","阻塞（非实测）"),IF(J1086&lt;&gt;"已实测",IF(F1086="","待展开路径","未实测"),IF(H1086&lt;&gt;"适用","待确认适用性",IF(INDEX(Equipment[登记状态（自动）],MATCH(B1086,Equipment[组合编号],0))&lt;&gt;"已登记","待补设备组合",IF(AND(F1086&lt;&gt;"",G1086&lt;&gt;"",K1086&lt;&gt;"",L1086&lt;&gt;"",M1086&lt;&gt;"",N1086&lt;&gt;"",ISNUMBER(O1086),O1086&gt;0,P1086&lt;&gt;""),"记录齐全","待补实测记录")))))))))))</x:f>
        <x:v>待展开路径</x:v>
      </x:c>
    </x:row>
    <x:row r="1087" ht="43.5" customHeight="1">
      <x:c r="A1087" s="20" t="str">
        <x:v>REC-01078</x:v>
      </x:c>
      <x:c r="B1087" s="20" t="str">
        <x:v>P3-B1-01</x:v>
      </x:c>
      <x:c r="C1087" s="30" t="str">
        <x:f>IF(B1087="","",IF(COUNTIFS(Equipment[组合编号],B1087)&lt;&gt;1,"组合编号无效",INDEX(Equipment[PLC组],MATCH(B1087,Equipment[组合编号],0))))</x:f>
        <x:v>欧姆龙</x:v>
      </x:c>
      <x:c r="D1087" s="30" t="str">
        <x:f>IF(B1087="","",IF(COUNTIFS(Equipment[组合编号],B1087)&lt;&gt;1,"组合编号无效",INDEX(Equipment[驱动品牌],MATCH(B1087,Equipment[组合编号],0))))</x:f>
        <x:v>CDHD</x:v>
      </x:c>
      <x:c r="E1087" s="20" t="str">
        <x:v>D09</x:v>
      </x:c>
      <x:c r="F1087" s="20"/>
      <x:c r="G1087" s="20"/>
      <x:c r="H1087" s="20" t="str">
        <x:v>待判定</x:v>
      </x:c>
      <x:c r="I1087" s="20"/>
      <x:c r="J1087" s="20" t="str">
        <x:v>未测试</x:v>
      </x:c>
      <x:c r="K1087" s="20"/>
      <x:c r="L1087" s="20"/>
      <x:c r="M1087" s="20"/>
      <x:c r="N1087" s="20"/>
      <x:c r="O1087" s="31"/>
      <x:c r="P1087" s="20"/>
      <x:c r="Q1087" s="20"/>
      <x:c r="R1087" s="20" t="str">
        <x:v>待展开</x:v>
      </x:c>
      <x:c r="S1087" s="20"/>
      <x:c r="T1087" s="31"/>
      <x:c r="U1087" s="30" t="str">
        <x:f>IF(A1087="","缺记录编号",IF(COUNTIFS(PathRecords[记录编号],A1087)&lt;&gt;1,"记录编号重复",IF(OR(B1087="",E1087=""),"缺组合/功能",IF(COUNTIFS(Equipment[组合编号],B1087)&lt;&gt;1,"组合编号无效",IF(COUNTIFS(FunctionMatrix[编号],E1087)=0,"功能编号无效",IF(H1087="不适用",IF(J1087="已实测","适用性冲突",IF(I1087="","待补不适用依据","不适用（非实测）")),IF(J1087="阻塞",IF(I1087="","待补阻塞原因","阻塞（非实测）"),IF(J1087&lt;&gt;"已实测",IF(F1087="","待展开路径","未实测"),IF(H1087&lt;&gt;"适用","待确认适用性",IF(INDEX(Equipment[登记状态（自动）],MATCH(B1087,Equipment[组合编号],0))&lt;&gt;"已登记","待补设备组合",IF(AND(F1087&lt;&gt;"",G1087&lt;&gt;"",K1087&lt;&gt;"",L1087&lt;&gt;"",M1087&lt;&gt;"",N1087&lt;&gt;"",ISNUMBER(O1087),O1087&gt;0,P1087&lt;&gt;""),"记录齐全","待补实测记录")))))))))))</x:f>
        <x:v>待展开路径</x:v>
      </x:c>
    </x:row>
    <x:row r="1088" ht="43.5" customHeight="1">
      <x:c r="A1088" s="20" t="str">
        <x:v>REC-01079</x:v>
      </x:c>
      <x:c r="B1088" s="20" t="str">
        <x:v>P3-B1-01</x:v>
      </x:c>
      <x:c r="C1088" s="30" t="str">
        <x:f>IF(B1088="","",IF(COUNTIFS(Equipment[组合编号],B1088)&lt;&gt;1,"组合编号无效",INDEX(Equipment[PLC组],MATCH(B1088,Equipment[组合编号],0))))</x:f>
        <x:v>欧姆龙</x:v>
      </x:c>
      <x:c r="D1088" s="30" t="str">
        <x:f>IF(B1088="","",IF(COUNTIFS(Equipment[组合编号],B1088)&lt;&gt;1,"组合编号无效",INDEX(Equipment[驱动品牌],MATCH(B1088,Equipment[组合编号],0))))</x:f>
        <x:v>CDHD</x:v>
      </x:c>
      <x:c r="E1088" s="20" t="str">
        <x:v>S01</x:v>
      </x:c>
      <x:c r="F1088" s="20"/>
      <x:c r="G1088" s="20"/>
      <x:c r="H1088" s="20" t="str">
        <x:v>待判定</x:v>
      </x:c>
      <x:c r="I1088" s="20"/>
      <x:c r="J1088" s="20" t="str">
        <x:v>未测试</x:v>
      </x:c>
      <x:c r="K1088" s="20"/>
      <x:c r="L1088" s="20"/>
      <x:c r="M1088" s="20"/>
      <x:c r="N1088" s="20"/>
      <x:c r="O1088" s="31"/>
      <x:c r="P1088" s="20"/>
      <x:c r="Q1088" s="20"/>
      <x:c r="R1088" s="20" t="str">
        <x:v>待展开</x:v>
      </x:c>
      <x:c r="S1088" s="20"/>
      <x:c r="T1088" s="31"/>
      <x:c r="U1088" s="30" t="str">
        <x:f>IF(A1088="","缺记录编号",IF(COUNTIFS(PathRecords[记录编号],A1088)&lt;&gt;1,"记录编号重复",IF(OR(B1088="",E1088=""),"缺组合/功能",IF(COUNTIFS(Equipment[组合编号],B1088)&lt;&gt;1,"组合编号无效",IF(COUNTIFS(FunctionMatrix[编号],E1088)=0,"功能编号无效",IF(H1088="不适用",IF(J1088="已实测","适用性冲突",IF(I1088="","待补不适用依据","不适用（非实测）")),IF(J1088="阻塞",IF(I1088="","待补阻塞原因","阻塞（非实测）"),IF(J1088&lt;&gt;"已实测",IF(F1088="","待展开路径","未实测"),IF(H1088&lt;&gt;"适用","待确认适用性",IF(INDEX(Equipment[登记状态（自动）],MATCH(B1088,Equipment[组合编号],0))&lt;&gt;"已登记","待补设备组合",IF(AND(F1088&lt;&gt;"",G1088&lt;&gt;"",K1088&lt;&gt;"",L1088&lt;&gt;"",M1088&lt;&gt;"",N1088&lt;&gt;"",ISNUMBER(O1088),O1088&gt;0,P1088&lt;&gt;""),"记录齐全","待补实测记录")))))))))))</x:f>
        <x:v>待展开路径</x:v>
      </x:c>
    </x:row>
    <x:row r="1089" ht="43.5" customHeight="1">
      <x:c r="A1089" s="20" t="str">
        <x:v>REC-01080</x:v>
      </x:c>
      <x:c r="B1089" s="20" t="str">
        <x:v>P3-B1-01</x:v>
      </x:c>
      <x:c r="C1089" s="30" t="str">
        <x:f>IF(B1089="","",IF(COUNTIFS(Equipment[组合编号],B1089)&lt;&gt;1,"组合编号无效",INDEX(Equipment[PLC组],MATCH(B1089,Equipment[组合编号],0))))</x:f>
        <x:v>欧姆龙</x:v>
      </x:c>
      <x:c r="D1089" s="30" t="str">
        <x:f>IF(B1089="","",IF(COUNTIFS(Equipment[组合编号],B1089)&lt;&gt;1,"组合编号无效",INDEX(Equipment[驱动品牌],MATCH(B1089,Equipment[组合编号],0))))</x:f>
        <x:v>CDHD</x:v>
      </x:c>
      <x:c r="E1089" s="20" t="str">
        <x:v>S02</x:v>
      </x:c>
      <x:c r="F1089" s="20"/>
      <x:c r="G1089" s="20"/>
      <x:c r="H1089" s="20" t="str">
        <x:v>待判定</x:v>
      </x:c>
      <x:c r="I1089" s="20"/>
      <x:c r="J1089" s="20" t="str">
        <x:v>未测试</x:v>
      </x:c>
      <x:c r="K1089" s="20"/>
      <x:c r="L1089" s="20"/>
      <x:c r="M1089" s="20"/>
      <x:c r="N1089" s="20"/>
      <x:c r="O1089" s="31"/>
      <x:c r="P1089" s="20"/>
      <x:c r="Q1089" s="20"/>
      <x:c r="R1089" s="20" t="str">
        <x:v>待展开</x:v>
      </x:c>
      <x:c r="S1089" s="20"/>
      <x:c r="T1089" s="31"/>
      <x:c r="U1089" s="30" t="str">
        <x:f>IF(A1089="","缺记录编号",IF(COUNTIFS(PathRecords[记录编号],A1089)&lt;&gt;1,"记录编号重复",IF(OR(B1089="",E1089=""),"缺组合/功能",IF(COUNTIFS(Equipment[组合编号],B1089)&lt;&gt;1,"组合编号无效",IF(COUNTIFS(FunctionMatrix[编号],E1089)=0,"功能编号无效",IF(H1089="不适用",IF(J1089="已实测","适用性冲突",IF(I1089="","待补不适用依据","不适用（非实测）")),IF(J1089="阻塞",IF(I1089="","待补阻塞原因","阻塞（非实测）"),IF(J1089&lt;&gt;"已实测",IF(F1089="","待展开路径","未实测"),IF(H1089&lt;&gt;"适用","待确认适用性",IF(INDEX(Equipment[登记状态（自动）],MATCH(B1089,Equipment[组合编号],0))&lt;&gt;"已登记","待补设备组合",IF(AND(F1089&lt;&gt;"",G1089&lt;&gt;"",K1089&lt;&gt;"",L1089&lt;&gt;"",M1089&lt;&gt;"",N1089&lt;&gt;"",ISNUMBER(O1089),O1089&gt;0,P1089&lt;&gt;""),"记录齐全","待补实测记录")))))))))))</x:f>
        <x:v>待展开路径</x:v>
      </x:c>
    </x:row>
    <x:row r="1090" ht="43.5" customHeight="1">
      <x:c r="A1090" s="20" t="str">
        <x:v>REC-01081</x:v>
      </x:c>
      <x:c r="B1090" s="20" t="str">
        <x:v>P3-B1-01</x:v>
      </x:c>
      <x:c r="C1090" s="30" t="str">
        <x:f>IF(B1090="","",IF(COUNTIFS(Equipment[组合编号],B1090)&lt;&gt;1,"组合编号无效",INDEX(Equipment[PLC组],MATCH(B1090,Equipment[组合编号],0))))</x:f>
        <x:v>欧姆龙</x:v>
      </x:c>
      <x:c r="D1090" s="30" t="str">
        <x:f>IF(B1090="","",IF(COUNTIFS(Equipment[组合编号],B1090)&lt;&gt;1,"组合编号无效",INDEX(Equipment[驱动品牌],MATCH(B1090,Equipment[组合编号],0))))</x:f>
        <x:v>CDHD</x:v>
      </x:c>
      <x:c r="E1090" s="20" t="str">
        <x:v>S03</x:v>
      </x:c>
      <x:c r="F1090" s="20"/>
      <x:c r="G1090" s="20"/>
      <x:c r="H1090" s="20" t="str">
        <x:v>待判定</x:v>
      </x:c>
      <x:c r="I1090" s="20"/>
      <x:c r="J1090" s="20" t="str">
        <x:v>未测试</x:v>
      </x:c>
      <x:c r="K1090" s="20"/>
      <x:c r="L1090" s="20"/>
      <x:c r="M1090" s="20"/>
      <x:c r="N1090" s="20"/>
      <x:c r="O1090" s="31"/>
      <x:c r="P1090" s="20"/>
      <x:c r="Q1090" s="20"/>
      <x:c r="R1090" s="20" t="str">
        <x:v>待展开</x:v>
      </x:c>
      <x:c r="S1090" s="20"/>
      <x:c r="T1090" s="31"/>
      <x:c r="U1090" s="30" t="str">
        <x:f>IF(A1090="","缺记录编号",IF(COUNTIFS(PathRecords[记录编号],A1090)&lt;&gt;1,"记录编号重复",IF(OR(B1090="",E1090=""),"缺组合/功能",IF(COUNTIFS(Equipment[组合编号],B1090)&lt;&gt;1,"组合编号无效",IF(COUNTIFS(FunctionMatrix[编号],E1090)=0,"功能编号无效",IF(H1090="不适用",IF(J1090="已实测","适用性冲突",IF(I1090="","待补不适用依据","不适用（非实测）")),IF(J1090="阻塞",IF(I1090="","待补阻塞原因","阻塞（非实测）"),IF(J1090&lt;&gt;"已实测",IF(F1090="","待展开路径","未实测"),IF(H1090&lt;&gt;"适用","待确认适用性",IF(INDEX(Equipment[登记状态（自动）],MATCH(B1090,Equipment[组合编号],0))&lt;&gt;"已登记","待补设备组合",IF(AND(F1090&lt;&gt;"",G1090&lt;&gt;"",K1090&lt;&gt;"",L1090&lt;&gt;"",M1090&lt;&gt;"",N1090&lt;&gt;"",ISNUMBER(O1090),O1090&gt;0,P1090&lt;&gt;""),"记录齐全","待补实测记录")))))))))))</x:f>
        <x:v>待展开路径</x:v>
      </x:c>
    </x:row>
    <x:row r="1091" ht="43.5" customHeight="1">
      <x:c r="A1091" s="20" t="str">
        <x:v>REC-01082</x:v>
      </x:c>
      <x:c r="B1091" s="20" t="str">
        <x:v>P3-B1-01</x:v>
      </x:c>
      <x:c r="C1091" s="30" t="str">
        <x:f>IF(B1091="","",IF(COUNTIFS(Equipment[组合编号],B1091)&lt;&gt;1,"组合编号无效",INDEX(Equipment[PLC组],MATCH(B1091,Equipment[组合编号],0))))</x:f>
        <x:v>欧姆龙</x:v>
      </x:c>
      <x:c r="D1091" s="30" t="str">
        <x:f>IF(B1091="","",IF(COUNTIFS(Equipment[组合编号],B1091)&lt;&gt;1,"组合编号无效",INDEX(Equipment[驱动品牌],MATCH(B1091,Equipment[组合编号],0))))</x:f>
        <x:v>CDHD</x:v>
      </x:c>
      <x:c r="E1091" s="20" t="str">
        <x:v>S04</x:v>
      </x:c>
      <x:c r="F1091" s="20"/>
      <x:c r="G1091" s="20"/>
      <x:c r="H1091" s="20" t="str">
        <x:v>待判定</x:v>
      </x:c>
      <x:c r="I1091" s="20"/>
      <x:c r="J1091" s="20" t="str">
        <x:v>未测试</x:v>
      </x:c>
      <x:c r="K1091" s="20"/>
      <x:c r="L1091" s="20"/>
      <x:c r="M1091" s="20"/>
      <x:c r="N1091" s="20"/>
      <x:c r="O1091" s="31"/>
      <x:c r="P1091" s="20"/>
      <x:c r="Q1091" s="20"/>
      <x:c r="R1091" s="20" t="str">
        <x:v>待展开</x:v>
      </x:c>
      <x:c r="S1091" s="20"/>
      <x:c r="T1091" s="31"/>
      <x:c r="U1091" s="30" t="str">
        <x:f>IF(A1091="","缺记录编号",IF(COUNTIFS(PathRecords[记录编号],A1091)&lt;&gt;1,"记录编号重复",IF(OR(B1091="",E1091=""),"缺组合/功能",IF(COUNTIFS(Equipment[组合编号],B1091)&lt;&gt;1,"组合编号无效",IF(COUNTIFS(FunctionMatrix[编号],E1091)=0,"功能编号无效",IF(H1091="不适用",IF(J1091="已实测","适用性冲突",IF(I1091="","待补不适用依据","不适用（非实测）")),IF(J1091="阻塞",IF(I1091="","待补阻塞原因","阻塞（非实测）"),IF(J1091&lt;&gt;"已实测",IF(F1091="","待展开路径","未实测"),IF(H1091&lt;&gt;"适用","待确认适用性",IF(INDEX(Equipment[登记状态（自动）],MATCH(B1091,Equipment[组合编号],0))&lt;&gt;"已登记","待补设备组合",IF(AND(F1091&lt;&gt;"",G1091&lt;&gt;"",K1091&lt;&gt;"",L1091&lt;&gt;"",M1091&lt;&gt;"",N1091&lt;&gt;"",ISNUMBER(O1091),O1091&gt;0,P1091&lt;&gt;""),"记录齐全","待补实测记录")))))))))))</x:f>
        <x:v>待展开路径</x:v>
      </x:c>
    </x:row>
    <x:row r="1092" ht="43.5" customHeight="1">
      <x:c r="A1092" s="20" t="str">
        <x:v>REC-01083</x:v>
      </x:c>
      <x:c r="B1092" s="20" t="str">
        <x:v>P3-B1-01</x:v>
      </x:c>
      <x:c r="C1092" s="30" t="str">
        <x:f>IF(B1092="","",IF(COUNTIFS(Equipment[组合编号],B1092)&lt;&gt;1,"组合编号无效",INDEX(Equipment[PLC组],MATCH(B1092,Equipment[组合编号],0))))</x:f>
        <x:v>欧姆龙</x:v>
      </x:c>
      <x:c r="D1092" s="30" t="str">
        <x:f>IF(B1092="","",IF(COUNTIFS(Equipment[组合编号],B1092)&lt;&gt;1,"组合编号无效",INDEX(Equipment[驱动品牌],MATCH(B1092,Equipment[组合编号],0))))</x:f>
        <x:v>CDHD</x:v>
      </x:c>
      <x:c r="E1092" s="20" t="str">
        <x:v>S05</x:v>
      </x:c>
      <x:c r="F1092" s="20"/>
      <x:c r="G1092" s="20"/>
      <x:c r="H1092" s="20" t="str">
        <x:v>待判定</x:v>
      </x:c>
      <x:c r="I1092" s="20"/>
      <x:c r="J1092" s="20" t="str">
        <x:v>未测试</x:v>
      </x:c>
      <x:c r="K1092" s="20"/>
      <x:c r="L1092" s="20"/>
      <x:c r="M1092" s="20"/>
      <x:c r="N1092" s="20"/>
      <x:c r="O1092" s="31"/>
      <x:c r="P1092" s="20"/>
      <x:c r="Q1092" s="20"/>
      <x:c r="R1092" s="20" t="str">
        <x:v>待展开</x:v>
      </x:c>
      <x:c r="S1092" s="20"/>
      <x:c r="T1092" s="31"/>
      <x:c r="U1092" s="30" t="str">
        <x:f>IF(A1092="","缺记录编号",IF(COUNTIFS(PathRecords[记录编号],A1092)&lt;&gt;1,"记录编号重复",IF(OR(B1092="",E1092=""),"缺组合/功能",IF(COUNTIFS(Equipment[组合编号],B1092)&lt;&gt;1,"组合编号无效",IF(COUNTIFS(FunctionMatrix[编号],E1092)=0,"功能编号无效",IF(H1092="不适用",IF(J1092="已实测","适用性冲突",IF(I1092="","待补不适用依据","不适用（非实测）")),IF(J1092="阻塞",IF(I1092="","待补阻塞原因","阻塞（非实测）"),IF(J1092&lt;&gt;"已实测",IF(F1092="","待展开路径","未实测"),IF(H1092&lt;&gt;"适用","待确认适用性",IF(INDEX(Equipment[登记状态（自动）],MATCH(B1092,Equipment[组合编号],0))&lt;&gt;"已登记","待补设备组合",IF(AND(F1092&lt;&gt;"",G1092&lt;&gt;"",K1092&lt;&gt;"",L1092&lt;&gt;"",M1092&lt;&gt;"",N1092&lt;&gt;"",ISNUMBER(O1092),O1092&gt;0,P1092&lt;&gt;""),"记录齐全","待补实测记录")))))))))))</x:f>
        <x:v>待展开路径</x:v>
      </x:c>
    </x:row>
    <x:row r="1093" ht="43.5" customHeight="1">
      <x:c r="A1093" s="20" t="str">
        <x:v>REC-01084</x:v>
      </x:c>
      <x:c r="B1093" s="20" t="str">
        <x:v>P3-B1-01</x:v>
      </x:c>
      <x:c r="C1093" s="30" t="str">
        <x:f>IF(B1093="","",IF(COUNTIFS(Equipment[组合编号],B1093)&lt;&gt;1,"组合编号无效",INDEX(Equipment[PLC组],MATCH(B1093,Equipment[组合编号],0))))</x:f>
        <x:v>欧姆龙</x:v>
      </x:c>
      <x:c r="D1093" s="30" t="str">
        <x:f>IF(B1093="","",IF(COUNTIFS(Equipment[组合编号],B1093)&lt;&gt;1,"组合编号无效",INDEX(Equipment[驱动品牌],MATCH(B1093,Equipment[组合编号],0))))</x:f>
        <x:v>CDHD</x:v>
      </x:c>
      <x:c r="E1093" s="20" t="str">
        <x:v>S06</x:v>
      </x:c>
      <x:c r="F1093" s="20"/>
      <x:c r="G1093" s="20"/>
      <x:c r="H1093" s="20" t="str">
        <x:v>待判定</x:v>
      </x:c>
      <x:c r="I1093" s="20"/>
      <x:c r="J1093" s="20" t="str">
        <x:v>未测试</x:v>
      </x:c>
      <x:c r="K1093" s="20"/>
      <x:c r="L1093" s="20"/>
      <x:c r="M1093" s="20"/>
      <x:c r="N1093" s="20"/>
      <x:c r="O1093" s="31"/>
      <x:c r="P1093" s="20"/>
      <x:c r="Q1093" s="20"/>
      <x:c r="R1093" s="20" t="str">
        <x:v>待展开</x:v>
      </x:c>
      <x:c r="S1093" s="20"/>
      <x:c r="T1093" s="31"/>
      <x:c r="U1093" s="30" t="str">
        <x:f>IF(A1093="","缺记录编号",IF(COUNTIFS(PathRecords[记录编号],A1093)&lt;&gt;1,"记录编号重复",IF(OR(B1093="",E1093=""),"缺组合/功能",IF(COUNTIFS(Equipment[组合编号],B1093)&lt;&gt;1,"组合编号无效",IF(COUNTIFS(FunctionMatrix[编号],E1093)=0,"功能编号无效",IF(H1093="不适用",IF(J1093="已实测","适用性冲突",IF(I1093="","待补不适用依据","不适用（非实测）")),IF(J1093="阻塞",IF(I1093="","待补阻塞原因","阻塞（非实测）"),IF(J1093&lt;&gt;"已实测",IF(F1093="","待展开路径","未实测"),IF(H1093&lt;&gt;"适用","待确认适用性",IF(INDEX(Equipment[登记状态（自动）],MATCH(B1093,Equipment[组合编号],0))&lt;&gt;"已登记","待补设备组合",IF(AND(F1093&lt;&gt;"",G1093&lt;&gt;"",K1093&lt;&gt;"",L1093&lt;&gt;"",M1093&lt;&gt;"",N1093&lt;&gt;"",ISNUMBER(O1093),O1093&gt;0,P1093&lt;&gt;""),"记录齐全","待补实测记录")))))))))))</x:f>
        <x:v>待展开路径</x:v>
      </x:c>
    </x:row>
    <x:row r="1094" ht="43.5" customHeight="1">
      <x:c r="A1094" s="20" t="str">
        <x:v>REC-01085</x:v>
      </x:c>
      <x:c r="B1094" s="20" t="str">
        <x:v>P3-B1-01</x:v>
      </x:c>
      <x:c r="C1094" s="30" t="str">
        <x:f>IF(B1094="","",IF(COUNTIFS(Equipment[组合编号],B1094)&lt;&gt;1,"组合编号无效",INDEX(Equipment[PLC组],MATCH(B1094,Equipment[组合编号],0))))</x:f>
        <x:v>欧姆龙</x:v>
      </x:c>
      <x:c r="D1094" s="30" t="str">
        <x:f>IF(B1094="","",IF(COUNTIFS(Equipment[组合编号],B1094)&lt;&gt;1,"组合编号无效",INDEX(Equipment[驱动品牌],MATCH(B1094,Equipment[组合编号],0))))</x:f>
        <x:v>CDHD</x:v>
      </x:c>
      <x:c r="E1094" s="20" t="str">
        <x:v>S07</x:v>
      </x:c>
      <x:c r="F1094" s="20"/>
      <x:c r="G1094" s="20"/>
      <x:c r="H1094" s="20" t="str">
        <x:v>待判定</x:v>
      </x:c>
      <x:c r="I1094" s="20"/>
      <x:c r="J1094" s="20" t="str">
        <x:v>未测试</x:v>
      </x:c>
      <x:c r="K1094" s="20"/>
      <x:c r="L1094" s="20"/>
      <x:c r="M1094" s="20"/>
      <x:c r="N1094" s="20"/>
      <x:c r="O1094" s="31"/>
      <x:c r="P1094" s="20"/>
      <x:c r="Q1094" s="20"/>
      <x:c r="R1094" s="20" t="str">
        <x:v>待展开</x:v>
      </x:c>
      <x:c r="S1094" s="20"/>
      <x:c r="T1094" s="31"/>
      <x:c r="U1094" s="30" t="str">
        <x:f>IF(A1094="","缺记录编号",IF(COUNTIFS(PathRecords[记录编号],A1094)&lt;&gt;1,"记录编号重复",IF(OR(B1094="",E1094=""),"缺组合/功能",IF(COUNTIFS(Equipment[组合编号],B1094)&lt;&gt;1,"组合编号无效",IF(COUNTIFS(FunctionMatrix[编号],E1094)=0,"功能编号无效",IF(H1094="不适用",IF(J1094="已实测","适用性冲突",IF(I1094="","待补不适用依据","不适用（非实测）")),IF(J1094="阻塞",IF(I1094="","待补阻塞原因","阻塞（非实测）"),IF(J1094&lt;&gt;"已实测",IF(F1094="","待展开路径","未实测"),IF(H1094&lt;&gt;"适用","待确认适用性",IF(INDEX(Equipment[登记状态（自动）],MATCH(B1094,Equipment[组合编号],0))&lt;&gt;"已登记","待补设备组合",IF(AND(F1094&lt;&gt;"",G1094&lt;&gt;"",K1094&lt;&gt;"",L1094&lt;&gt;"",M1094&lt;&gt;"",N1094&lt;&gt;"",ISNUMBER(O1094),O1094&gt;0,P1094&lt;&gt;""),"记录齐全","待补实测记录")))))))))))</x:f>
        <x:v>待展开路径</x:v>
      </x:c>
    </x:row>
    <x:row r="1095" ht="43.5" customHeight="1">
      <x:c r="A1095" s="20" t="str">
        <x:v>REC-01086</x:v>
      </x:c>
      <x:c r="B1095" s="20" t="str">
        <x:v>P3-B1-01</x:v>
      </x:c>
      <x:c r="C1095" s="30" t="str">
        <x:f>IF(B1095="","",IF(COUNTIFS(Equipment[组合编号],B1095)&lt;&gt;1,"组合编号无效",INDEX(Equipment[PLC组],MATCH(B1095,Equipment[组合编号],0))))</x:f>
        <x:v>欧姆龙</x:v>
      </x:c>
      <x:c r="D1095" s="30" t="str">
        <x:f>IF(B1095="","",IF(COUNTIFS(Equipment[组合编号],B1095)&lt;&gt;1,"组合编号无效",INDEX(Equipment[驱动品牌],MATCH(B1095,Equipment[组合编号],0))))</x:f>
        <x:v>CDHD</x:v>
      </x:c>
      <x:c r="E1095" s="20" t="str">
        <x:v>S08</x:v>
      </x:c>
      <x:c r="F1095" s="20"/>
      <x:c r="G1095" s="20"/>
      <x:c r="H1095" s="20" t="str">
        <x:v>待判定</x:v>
      </x:c>
      <x:c r="I1095" s="20"/>
      <x:c r="J1095" s="20" t="str">
        <x:v>未测试</x:v>
      </x:c>
      <x:c r="K1095" s="20"/>
      <x:c r="L1095" s="20"/>
      <x:c r="M1095" s="20"/>
      <x:c r="N1095" s="20"/>
      <x:c r="O1095" s="31"/>
      <x:c r="P1095" s="20"/>
      <x:c r="Q1095" s="20"/>
      <x:c r="R1095" s="20" t="str">
        <x:v>待展开</x:v>
      </x:c>
      <x:c r="S1095" s="20"/>
      <x:c r="T1095" s="31"/>
      <x:c r="U1095" s="30" t="str">
        <x:f>IF(A1095="","缺记录编号",IF(COUNTIFS(PathRecords[记录编号],A1095)&lt;&gt;1,"记录编号重复",IF(OR(B1095="",E1095=""),"缺组合/功能",IF(COUNTIFS(Equipment[组合编号],B1095)&lt;&gt;1,"组合编号无效",IF(COUNTIFS(FunctionMatrix[编号],E1095)=0,"功能编号无效",IF(H1095="不适用",IF(J1095="已实测","适用性冲突",IF(I1095="","待补不适用依据","不适用（非实测）")),IF(J1095="阻塞",IF(I1095="","待补阻塞原因","阻塞（非实测）"),IF(J1095&lt;&gt;"已实测",IF(F1095="","待展开路径","未实测"),IF(H1095&lt;&gt;"适用","待确认适用性",IF(INDEX(Equipment[登记状态（自动）],MATCH(B1095,Equipment[组合编号],0))&lt;&gt;"已登记","待补设备组合",IF(AND(F1095&lt;&gt;"",G1095&lt;&gt;"",K1095&lt;&gt;"",L1095&lt;&gt;"",M1095&lt;&gt;"",N1095&lt;&gt;"",ISNUMBER(O1095),O1095&gt;0,P1095&lt;&gt;""),"记录齐全","待补实测记录")))))))))))</x:f>
        <x:v>待展开路径</x:v>
      </x:c>
    </x:row>
    <x:row r="1096" ht="43.5" customHeight="1">
      <x:c r="A1096" s="20" t="str">
        <x:v>REC-01087</x:v>
      </x:c>
      <x:c r="B1096" s="20" t="str">
        <x:v>P3-B1-01</x:v>
      </x:c>
      <x:c r="C1096" s="30" t="str">
        <x:f>IF(B1096="","",IF(COUNTIFS(Equipment[组合编号],B1096)&lt;&gt;1,"组合编号无效",INDEX(Equipment[PLC组],MATCH(B1096,Equipment[组合编号],0))))</x:f>
        <x:v>欧姆龙</x:v>
      </x:c>
      <x:c r="D1096" s="30" t="str">
        <x:f>IF(B1096="","",IF(COUNTIFS(Equipment[组合编号],B1096)&lt;&gt;1,"组合编号无效",INDEX(Equipment[驱动品牌],MATCH(B1096,Equipment[组合编号],0))))</x:f>
        <x:v>CDHD</x:v>
      </x:c>
      <x:c r="E1096" s="20" t="str">
        <x:v>S09</x:v>
      </x:c>
      <x:c r="F1096" s="20"/>
      <x:c r="G1096" s="20"/>
      <x:c r="H1096" s="20" t="str">
        <x:v>待判定</x:v>
      </x:c>
      <x:c r="I1096" s="20"/>
      <x:c r="J1096" s="20" t="str">
        <x:v>未测试</x:v>
      </x:c>
      <x:c r="K1096" s="20"/>
      <x:c r="L1096" s="20"/>
      <x:c r="M1096" s="20"/>
      <x:c r="N1096" s="20"/>
      <x:c r="O1096" s="31"/>
      <x:c r="P1096" s="20"/>
      <x:c r="Q1096" s="20"/>
      <x:c r="R1096" s="20" t="str">
        <x:v>待展开</x:v>
      </x:c>
      <x:c r="S1096" s="20"/>
      <x:c r="T1096" s="31"/>
      <x:c r="U1096" s="30" t="str">
        <x:f>IF(A1096="","缺记录编号",IF(COUNTIFS(PathRecords[记录编号],A1096)&lt;&gt;1,"记录编号重复",IF(OR(B1096="",E1096=""),"缺组合/功能",IF(COUNTIFS(Equipment[组合编号],B1096)&lt;&gt;1,"组合编号无效",IF(COUNTIFS(FunctionMatrix[编号],E1096)=0,"功能编号无效",IF(H1096="不适用",IF(J1096="已实测","适用性冲突",IF(I1096="","待补不适用依据","不适用（非实测）")),IF(J1096="阻塞",IF(I1096="","待补阻塞原因","阻塞（非实测）"),IF(J1096&lt;&gt;"已实测",IF(F1096="","待展开路径","未实测"),IF(H1096&lt;&gt;"适用","待确认适用性",IF(INDEX(Equipment[登记状态（自动）],MATCH(B1096,Equipment[组合编号],0))&lt;&gt;"已登记","待补设备组合",IF(AND(F1096&lt;&gt;"",G1096&lt;&gt;"",K1096&lt;&gt;"",L1096&lt;&gt;"",M1096&lt;&gt;"",N1096&lt;&gt;"",ISNUMBER(O1096),O1096&gt;0,P1096&lt;&gt;""),"记录齐全","待补实测记录")))))))))))</x:f>
        <x:v>待展开路径</x:v>
      </x:c>
    </x:row>
    <x:row r="1097" ht="43.5" customHeight="1">
      <x:c r="A1097" s="20" t="str">
        <x:v>REC-01088</x:v>
      </x:c>
      <x:c r="B1097" s="20" t="str">
        <x:v>P3-B1-01</x:v>
      </x:c>
      <x:c r="C1097" s="30" t="str">
        <x:f>IF(B1097="","",IF(COUNTIFS(Equipment[组合编号],B1097)&lt;&gt;1,"组合编号无效",INDEX(Equipment[PLC组],MATCH(B1097,Equipment[组合编号],0))))</x:f>
        <x:v>欧姆龙</x:v>
      </x:c>
      <x:c r="D1097" s="30" t="str">
        <x:f>IF(B1097="","",IF(COUNTIFS(Equipment[组合编号],B1097)&lt;&gt;1,"组合编号无效",INDEX(Equipment[驱动品牌],MATCH(B1097,Equipment[组合编号],0))))</x:f>
        <x:v>CDHD</x:v>
      </x:c>
      <x:c r="E1097" s="20" t="str">
        <x:v>U01</x:v>
      </x:c>
      <x:c r="F1097" s="20"/>
      <x:c r="G1097" s="20"/>
      <x:c r="H1097" s="20" t="str">
        <x:v>待判定</x:v>
      </x:c>
      <x:c r="I1097" s="20"/>
      <x:c r="J1097" s="20" t="str">
        <x:v>未测试</x:v>
      </x:c>
      <x:c r="K1097" s="20"/>
      <x:c r="L1097" s="20"/>
      <x:c r="M1097" s="20"/>
      <x:c r="N1097" s="20"/>
      <x:c r="O1097" s="31"/>
      <x:c r="P1097" s="20"/>
      <x:c r="Q1097" s="20"/>
      <x:c r="R1097" s="20" t="str">
        <x:v>待展开</x:v>
      </x:c>
      <x:c r="S1097" s="20"/>
      <x:c r="T1097" s="31"/>
      <x:c r="U1097" s="30" t="str">
        <x:f>IF(A1097="","缺记录编号",IF(COUNTIFS(PathRecords[记录编号],A1097)&lt;&gt;1,"记录编号重复",IF(OR(B1097="",E1097=""),"缺组合/功能",IF(COUNTIFS(Equipment[组合编号],B1097)&lt;&gt;1,"组合编号无效",IF(COUNTIFS(FunctionMatrix[编号],E1097)=0,"功能编号无效",IF(H1097="不适用",IF(J1097="已实测","适用性冲突",IF(I1097="","待补不适用依据","不适用（非实测）")),IF(J1097="阻塞",IF(I1097="","待补阻塞原因","阻塞（非实测）"),IF(J1097&lt;&gt;"已实测",IF(F1097="","待展开路径","未实测"),IF(H1097&lt;&gt;"适用","待确认适用性",IF(INDEX(Equipment[登记状态（自动）],MATCH(B1097,Equipment[组合编号],0))&lt;&gt;"已登记","待补设备组合",IF(AND(F1097&lt;&gt;"",G1097&lt;&gt;"",K1097&lt;&gt;"",L1097&lt;&gt;"",M1097&lt;&gt;"",N1097&lt;&gt;"",ISNUMBER(O1097),O1097&gt;0,P1097&lt;&gt;""),"记录齐全","待补实测记录")))))))))))</x:f>
        <x:v>待展开路径</x:v>
      </x:c>
    </x:row>
    <x:row r="1098" ht="43.5" customHeight="1">
      <x:c r="A1098" s="20" t="str">
        <x:v>REC-01089</x:v>
      </x:c>
      <x:c r="B1098" s="20" t="str">
        <x:v>P3-B1-01</x:v>
      </x:c>
      <x:c r="C1098" s="30" t="str">
        <x:f>IF(B1098="","",IF(COUNTIFS(Equipment[组合编号],B1098)&lt;&gt;1,"组合编号无效",INDEX(Equipment[PLC组],MATCH(B1098,Equipment[组合编号],0))))</x:f>
        <x:v>欧姆龙</x:v>
      </x:c>
      <x:c r="D1098" s="30" t="str">
        <x:f>IF(B1098="","",IF(COUNTIFS(Equipment[组合编号],B1098)&lt;&gt;1,"组合编号无效",INDEX(Equipment[驱动品牌],MATCH(B1098,Equipment[组合编号],0))))</x:f>
        <x:v>CDHD</x:v>
      </x:c>
      <x:c r="E1098" s="20" t="str">
        <x:v>U02</x:v>
      </x:c>
      <x:c r="F1098" s="20"/>
      <x:c r="G1098" s="20"/>
      <x:c r="H1098" s="20" t="str">
        <x:v>待判定</x:v>
      </x:c>
      <x:c r="I1098" s="20"/>
      <x:c r="J1098" s="20" t="str">
        <x:v>未测试</x:v>
      </x:c>
      <x:c r="K1098" s="20"/>
      <x:c r="L1098" s="20"/>
      <x:c r="M1098" s="20"/>
      <x:c r="N1098" s="20"/>
      <x:c r="O1098" s="31"/>
      <x:c r="P1098" s="20"/>
      <x:c r="Q1098" s="20"/>
      <x:c r="R1098" s="20" t="str">
        <x:v>待展开</x:v>
      </x:c>
      <x:c r="S1098" s="20"/>
      <x:c r="T1098" s="31"/>
      <x:c r="U1098" s="30" t="str">
        <x:f>IF(A1098="","缺记录编号",IF(COUNTIFS(PathRecords[记录编号],A1098)&lt;&gt;1,"记录编号重复",IF(OR(B1098="",E1098=""),"缺组合/功能",IF(COUNTIFS(Equipment[组合编号],B1098)&lt;&gt;1,"组合编号无效",IF(COUNTIFS(FunctionMatrix[编号],E1098)=0,"功能编号无效",IF(H1098="不适用",IF(J1098="已实测","适用性冲突",IF(I1098="","待补不适用依据","不适用（非实测）")),IF(J1098="阻塞",IF(I1098="","待补阻塞原因","阻塞（非实测）"),IF(J1098&lt;&gt;"已实测",IF(F1098="","待展开路径","未实测"),IF(H1098&lt;&gt;"适用","待确认适用性",IF(INDEX(Equipment[登记状态（自动）],MATCH(B1098,Equipment[组合编号],0))&lt;&gt;"已登记","待补设备组合",IF(AND(F1098&lt;&gt;"",G1098&lt;&gt;"",K1098&lt;&gt;"",L1098&lt;&gt;"",M1098&lt;&gt;"",N1098&lt;&gt;"",ISNUMBER(O1098),O1098&gt;0,P1098&lt;&gt;""),"记录齐全","待补实测记录")))))))))))</x:f>
        <x:v>待展开路径</x:v>
      </x:c>
    </x:row>
    <x:row r="1099" ht="43.5" customHeight="1">
      <x:c r="A1099" s="20" t="str">
        <x:v>REC-01090</x:v>
      </x:c>
      <x:c r="B1099" s="20" t="str">
        <x:v>P3-B1-01</x:v>
      </x:c>
      <x:c r="C1099" s="30" t="str">
        <x:f>IF(B1099="","",IF(COUNTIFS(Equipment[组合编号],B1099)&lt;&gt;1,"组合编号无效",INDEX(Equipment[PLC组],MATCH(B1099,Equipment[组合编号],0))))</x:f>
        <x:v>欧姆龙</x:v>
      </x:c>
      <x:c r="D1099" s="30" t="str">
        <x:f>IF(B1099="","",IF(COUNTIFS(Equipment[组合编号],B1099)&lt;&gt;1,"组合编号无效",INDEX(Equipment[驱动品牌],MATCH(B1099,Equipment[组合编号],0))))</x:f>
        <x:v>CDHD</x:v>
      </x:c>
      <x:c r="E1099" s="20" t="str">
        <x:v>U03</x:v>
      </x:c>
      <x:c r="F1099" s="20"/>
      <x:c r="G1099" s="20"/>
      <x:c r="H1099" s="20" t="str">
        <x:v>待判定</x:v>
      </x:c>
      <x:c r="I1099" s="20"/>
      <x:c r="J1099" s="20" t="str">
        <x:v>未测试</x:v>
      </x:c>
      <x:c r="K1099" s="20"/>
      <x:c r="L1099" s="20"/>
      <x:c r="M1099" s="20"/>
      <x:c r="N1099" s="20"/>
      <x:c r="O1099" s="31"/>
      <x:c r="P1099" s="20"/>
      <x:c r="Q1099" s="20"/>
      <x:c r="R1099" s="20" t="str">
        <x:v>待展开</x:v>
      </x:c>
      <x:c r="S1099" s="20"/>
      <x:c r="T1099" s="31"/>
      <x:c r="U1099" s="30" t="str">
        <x:f>IF(A1099="","缺记录编号",IF(COUNTIFS(PathRecords[记录编号],A1099)&lt;&gt;1,"记录编号重复",IF(OR(B1099="",E1099=""),"缺组合/功能",IF(COUNTIFS(Equipment[组合编号],B1099)&lt;&gt;1,"组合编号无效",IF(COUNTIFS(FunctionMatrix[编号],E1099)=0,"功能编号无效",IF(H1099="不适用",IF(J1099="已实测","适用性冲突",IF(I1099="","待补不适用依据","不适用（非实测）")),IF(J1099="阻塞",IF(I1099="","待补阻塞原因","阻塞（非实测）"),IF(J1099&lt;&gt;"已实测",IF(F1099="","待展开路径","未实测"),IF(H1099&lt;&gt;"适用","待确认适用性",IF(INDEX(Equipment[登记状态（自动）],MATCH(B1099,Equipment[组合编号],0))&lt;&gt;"已登记","待补设备组合",IF(AND(F1099&lt;&gt;"",G1099&lt;&gt;"",K1099&lt;&gt;"",L1099&lt;&gt;"",M1099&lt;&gt;"",N1099&lt;&gt;"",ISNUMBER(O1099),O1099&gt;0,P1099&lt;&gt;""),"记录齐全","待补实测记录")))))))))))</x:f>
        <x:v>待展开路径</x:v>
      </x:c>
    </x:row>
    <x:row r="1100" ht="43.5" customHeight="1">
      <x:c r="A1100" s="20" t="str">
        <x:v>REC-01091</x:v>
      </x:c>
      <x:c r="B1100" s="20" t="str">
        <x:v>P3-B1-01</x:v>
      </x:c>
      <x:c r="C1100" s="30" t="str">
        <x:f>IF(B1100="","",IF(COUNTIFS(Equipment[组合编号],B1100)&lt;&gt;1,"组合编号无效",INDEX(Equipment[PLC组],MATCH(B1100,Equipment[组合编号],0))))</x:f>
        <x:v>欧姆龙</x:v>
      </x:c>
      <x:c r="D1100" s="30" t="str">
        <x:f>IF(B1100="","",IF(COUNTIFS(Equipment[组合编号],B1100)&lt;&gt;1,"组合编号无效",INDEX(Equipment[驱动品牌],MATCH(B1100,Equipment[组合编号],0))))</x:f>
        <x:v>CDHD</x:v>
      </x:c>
      <x:c r="E1100" s="20" t="str">
        <x:v>U04</x:v>
      </x:c>
      <x:c r="F1100" s="20"/>
      <x:c r="G1100" s="20"/>
      <x:c r="H1100" s="20" t="str">
        <x:v>待判定</x:v>
      </x:c>
      <x:c r="I1100" s="20"/>
      <x:c r="J1100" s="20" t="str">
        <x:v>未测试</x:v>
      </x:c>
      <x:c r="K1100" s="20"/>
      <x:c r="L1100" s="20"/>
      <x:c r="M1100" s="20"/>
      <x:c r="N1100" s="20"/>
      <x:c r="O1100" s="31"/>
      <x:c r="P1100" s="20"/>
      <x:c r="Q1100" s="20"/>
      <x:c r="R1100" s="20" t="str">
        <x:v>待展开</x:v>
      </x:c>
      <x:c r="S1100" s="20"/>
      <x:c r="T1100" s="31"/>
      <x:c r="U1100" s="30" t="str">
        <x:f>IF(A1100="","缺记录编号",IF(COUNTIFS(PathRecords[记录编号],A1100)&lt;&gt;1,"记录编号重复",IF(OR(B1100="",E1100=""),"缺组合/功能",IF(COUNTIFS(Equipment[组合编号],B1100)&lt;&gt;1,"组合编号无效",IF(COUNTIFS(FunctionMatrix[编号],E1100)=0,"功能编号无效",IF(H1100="不适用",IF(J1100="已实测","适用性冲突",IF(I1100="","待补不适用依据","不适用（非实测）")),IF(J1100="阻塞",IF(I1100="","待补阻塞原因","阻塞（非实测）"),IF(J1100&lt;&gt;"已实测",IF(F1100="","待展开路径","未实测"),IF(H1100&lt;&gt;"适用","待确认适用性",IF(INDEX(Equipment[登记状态（自动）],MATCH(B1100,Equipment[组合编号],0))&lt;&gt;"已登记","待补设备组合",IF(AND(F1100&lt;&gt;"",G1100&lt;&gt;"",K1100&lt;&gt;"",L1100&lt;&gt;"",M1100&lt;&gt;"",N1100&lt;&gt;"",ISNUMBER(O1100),O1100&gt;0,P1100&lt;&gt;""),"记录齐全","待补实测记录")))))))))))</x:f>
        <x:v>待展开路径</x:v>
      </x:c>
    </x:row>
    <x:row r="1101" ht="43.5" customHeight="1">
      <x:c r="A1101" s="20" t="str">
        <x:v>REC-01092</x:v>
      </x:c>
      <x:c r="B1101" s="20" t="str">
        <x:v>P3-B1-01</x:v>
      </x:c>
      <x:c r="C1101" s="30" t="str">
        <x:f>IF(B1101="","",IF(COUNTIFS(Equipment[组合编号],B1101)&lt;&gt;1,"组合编号无效",INDEX(Equipment[PLC组],MATCH(B1101,Equipment[组合编号],0))))</x:f>
        <x:v>欧姆龙</x:v>
      </x:c>
      <x:c r="D1101" s="30" t="str">
        <x:f>IF(B1101="","",IF(COUNTIFS(Equipment[组合编号],B1101)&lt;&gt;1,"组合编号无效",INDEX(Equipment[驱动品牌],MATCH(B1101,Equipment[组合编号],0))))</x:f>
        <x:v>CDHD</x:v>
      </x:c>
      <x:c r="E1101" s="20" t="str">
        <x:v>U05</x:v>
      </x:c>
      <x:c r="F1101" s="20"/>
      <x:c r="G1101" s="20"/>
      <x:c r="H1101" s="20" t="str">
        <x:v>待判定</x:v>
      </x:c>
      <x:c r="I1101" s="20"/>
      <x:c r="J1101" s="20" t="str">
        <x:v>未测试</x:v>
      </x:c>
      <x:c r="K1101" s="20"/>
      <x:c r="L1101" s="20"/>
      <x:c r="M1101" s="20"/>
      <x:c r="N1101" s="20"/>
      <x:c r="O1101" s="31"/>
      <x:c r="P1101" s="20"/>
      <x:c r="Q1101" s="20"/>
      <x:c r="R1101" s="20" t="str">
        <x:v>待展开</x:v>
      </x:c>
      <x:c r="S1101" s="20"/>
      <x:c r="T1101" s="31"/>
      <x:c r="U1101" s="30" t="str">
        <x:f>IF(A1101="","缺记录编号",IF(COUNTIFS(PathRecords[记录编号],A1101)&lt;&gt;1,"记录编号重复",IF(OR(B1101="",E1101=""),"缺组合/功能",IF(COUNTIFS(Equipment[组合编号],B1101)&lt;&gt;1,"组合编号无效",IF(COUNTIFS(FunctionMatrix[编号],E1101)=0,"功能编号无效",IF(H1101="不适用",IF(J1101="已实测","适用性冲突",IF(I1101="","待补不适用依据","不适用（非实测）")),IF(J1101="阻塞",IF(I1101="","待补阻塞原因","阻塞（非实测）"),IF(J1101&lt;&gt;"已实测",IF(F1101="","待展开路径","未实测"),IF(H1101&lt;&gt;"适用","待确认适用性",IF(INDEX(Equipment[登记状态（自动）],MATCH(B1101,Equipment[组合编号],0))&lt;&gt;"已登记","待补设备组合",IF(AND(F1101&lt;&gt;"",G1101&lt;&gt;"",K1101&lt;&gt;"",L1101&lt;&gt;"",M1101&lt;&gt;"",N1101&lt;&gt;"",ISNUMBER(O1101),O1101&gt;0,P1101&lt;&gt;""),"记录齐全","待补实测记录")))))))))))</x:f>
        <x:v>待展开路径</x:v>
      </x:c>
    </x:row>
    <x:row r="1102" ht="43.5" customHeight="1">
      <x:c r="A1102" s="20" t="str">
        <x:v>REC-01093</x:v>
      </x:c>
      <x:c r="B1102" s="20" t="str">
        <x:v>P3-B1-01</x:v>
      </x:c>
      <x:c r="C1102" s="30" t="str">
        <x:f>IF(B1102="","",IF(COUNTIFS(Equipment[组合编号],B1102)&lt;&gt;1,"组合编号无效",INDEX(Equipment[PLC组],MATCH(B1102,Equipment[组合编号],0))))</x:f>
        <x:v>欧姆龙</x:v>
      </x:c>
      <x:c r="D1102" s="30" t="str">
        <x:f>IF(B1102="","",IF(COUNTIFS(Equipment[组合编号],B1102)&lt;&gt;1,"组合编号无效",INDEX(Equipment[驱动品牌],MATCH(B1102,Equipment[组合编号],0))))</x:f>
        <x:v>CDHD</x:v>
      </x:c>
      <x:c r="E1102" s="20" t="str">
        <x:v>U06</x:v>
      </x:c>
      <x:c r="F1102" s="20"/>
      <x:c r="G1102" s="20"/>
      <x:c r="H1102" s="20" t="str">
        <x:v>待判定</x:v>
      </x:c>
      <x:c r="I1102" s="20"/>
      <x:c r="J1102" s="20" t="str">
        <x:v>未测试</x:v>
      </x:c>
      <x:c r="K1102" s="20"/>
      <x:c r="L1102" s="20"/>
      <x:c r="M1102" s="20"/>
      <x:c r="N1102" s="20"/>
      <x:c r="O1102" s="31"/>
      <x:c r="P1102" s="20"/>
      <x:c r="Q1102" s="20"/>
      <x:c r="R1102" s="20" t="str">
        <x:v>待展开</x:v>
      </x:c>
      <x:c r="S1102" s="20"/>
      <x:c r="T1102" s="31"/>
      <x:c r="U1102" s="30" t="str">
        <x:f>IF(A1102="","缺记录编号",IF(COUNTIFS(PathRecords[记录编号],A1102)&lt;&gt;1,"记录编号重复",IF(OR(B1102="",E1102=""),"缺组合/功能",IF(COUNTIFS(Equipment[组合编号],B1102)&lt;&gt;1,"组合编号无效",IF(COUNTIFS(FunctionMatrix[编号],E1102)=0,"功能编号无效",IF(H1102="不适用",IF(J1102="已实测","适用性冲突",IF(I1102="","待补不适用依据","不适用（非实测）")),IF(J1102="阻塞",IF(I1102="","待补阻塞原因","阻塞（非实测）"),IF(J1102&lt;&gt;"已实测",IF(F1102="","待展开路径","未实测"),IF(H1102&lt;&gt;"适用","待确认适用性",IF(INDEX(Equipment[登记状态（自动）],MATCH(B1102,Equipment[组合编号],0))&lt;&gt;"已登记","待补设备组合",IF(AND(F1102&lt;&gt;"",G1102&lt;&gt;"",K1102&lt;&gt;"",L1102&lt;&gt;"",M1102&lt;&gt;"",N1102&lt;&gt;"",ISNUMBER(O1102),O1102&gt;0,P1102&lt;&gt;""),"记录齐全","待补实测记录")))))))))))</x:f>
        <x:v>待展开路径</x:v>
      </x:c>
    </x:row>
    <x:row r="1103" ht="43.5" customHeight="1">
      <x:c r="A1103" s="20" t="str">
        <x:v>REC-01094</x:v>
      </x:c>
      <x:c r="B1103" s="20" t="str">
        <x:v>P3-B1-01</x:v>
      </x:c>
      <x:c r="C1103" s="30" t="str">
        <x:f>IF(B1103="","",IF(COUNTIFS(Equipment[组合编号],B1103)&lt;&gt;1,"组合编号无效",INDEX(Equipment[PLC组],MATCH(B1103,Equipment[组合编号],0))))</x:f>
        <x:v>欧姆龙</x:v>
      </x:c>
      <x:c r="D1103" s="30" t="str">
        <x:f>IF(B1103="","",IF(COUNTIFS(Equipment[组合编号],B1103)&lt;&gt;1,"组合编号无效",INDEX(Equipment[驱动品牌],MATCH(B1103,Equipment[组合编号],0))))</x:f>
        <x:v>CDHD</x:v>
      </x:c>
      <x:c r="E1103" s="20" t="str">
        <x:v>U07</x:v>
      </x:c>
      <x:c r="F1103" s="20"/>
      <x:c r="G1103" s="20"/>
      <x:c r="H1103" s="20" t="str">
        <x:v>待判定</x:v>
      </x:c>
      <x:c r="I1103" s="20"/>
      <x:c r="J1103" s="20" t="str">
        <x:v>未测试</x:v>
      </x:c>
      <x:c r="K1103" s="20"/>
      <x:c r="L1103" s="20"/>
      <x:c r="M1103" s="20"/>
      <x:c r="N1103" s="20"/>
      <x:c r="O1103" s="31"/>
      <x:c r="P1103" s="20"/>
      <x:c r="Q1103" s="20"/>
      <x:c r="R1103" s="20" t="str">
        <x:v>待展开</x:v>
      </x:c>
      <x:c r="S1103" s="20"/>
      <x:c r="T1103" s="31"/>
      <x:c r="U1103" s="30" t="str">
        <x:f>IF(A1103="","缺记录编号",IF(COUNTIFS(PathRecords[记录编号],A1103)&lt;&gt;1,"记录编号重复",IF(OR(B1103="",E1103=""),"缺组合/功能",IF(COUNTIFS(Equipment[组合编号],B1103)&lt;&gt;1,"组合编号无效",IF(COUNTIFS(FunctionMatrix[编号],E1103)=0,"功能编号无效",IF(H1103="不适用",IF(J1103="已实测","适用性冲突",IF(I1103="","待补不适用依据","不适用（非实测）")),IF(J1103="阻塞",IF(I1103="","待补阻塞原因","阻塞（非实测）"),IF(J1103&lt;&gt;"已实测",IF(F1103="","待展开路径","未实测"),IF(H1103&lt;&gt;"适用","待确认适用性",IF(INDEX(Equipment[登记状态（自动）],MATCH(B1103,Equipment[组合编号],0))&lt;&gt;"已登记","待补设备组合",IF(AND(F1103&lt;&gt;"",G1103&lt;&gt;"",K1103&lt;&gt;"",L1103&lt;&gt;"",M1103&lt;&gt;"",N1103&lt;&gt;"",ISNUMBER(O1103),O1103&gt;0,P1103&lt;&gt;""),"记录齐全","待补实测记录")))))))))))</x:f>
        <x:v>待展开路径</x:v>
      </x:c>
    </x:row>
    <x:row r="1104" ht="43.5" customHeight="1">
      <x:c r="A1104" s="20" t="str">
        <x:v>REC-01095</x:v>
      </x:c>
      <x:c r="B1104" s="20" t="str">
        <x:v>P3-B1-01</x:v>
      </x:c>
      <x:c r="C1104" s="30" t="str">
        <x:f>IF(B1104="","",IF(COUNTIFS(Equipment[组合编号],B1104)&lt;&gt;1,"组合编号无效",INDEX(Equipment[PLC组],MATCH(B1104,Equipment[组合编号],0))))</x:f>
        <x:v>欧姆龙</x:v>
      </x:c>
      <x:c r="D1104" s="30" t="str">
        <x:f>IF(B1104="","",IF(COUNTIFS(Equipment[组合编号],B1104)&lt;&gt;1,"组合编号无效",INDEX(Equipment[驱动品牌],MATCH(B1104,Equipment[组合编号],0))))</x:f>
        <x:v>CDHD</x:v>
      </x:c>
      <x:c r="E1104" s="20" t="str">
        <x:v>U08</x:v>
      </x:c>
      <x:c r="F1104" s="20"/>
      <x:c r="G1104" s="20"/>
      <x:c r="H1104" s="20" t="str">
        <x:v>待判定</x:v>
      </x:c>
      <x:c r="I1104" s="20"/>
      <x:c r="J1104" s="20" t="str">
        <x:v>未测试</x:v>
      </x:c>
      <x:c r="K1104" s="20"/>
      <x:c r="L1104" s="20"/>
      <x:c r="M1104" s="20"/>
      <x:c r="N1104" s="20"/>
      <x:c r="O1104" s="31"/>
      <x:c r="P1104" s="20"/>
      <x:c r="Q1104" s="20"/>
      <x:c r="R1104" s="20" t="str">
        <x:v>待展开</x:v>
      </x:c>
      <x:c r="S1104" s="20"/>
      <x:c r="T1104" s="31"/>
      <x:c r="U1104" s="30" t="str">
        <x:f>IF(A1104="","缺记录编号",IF(COUNTIFS(PathRecords[记录编号],A1104)&lt;&gt;1,"记录编号重复",IF(OR(B1104="",E1104=""),"缺组合/功能",IF(COUNTIFS(Equipment[组合编号],B1104)&lt;&gt;1,"组合编号无效",IF(COUNTIFS(FunctionMatrix[编号],E1104)=0,"功能编号无效",IF(H1104="不适用",IF(J1104="已实测","适用性冲突",IF(I1104="","待补不适用依据","不适用（非实测）")),IF(J1104="阻塞",IF(I1104="","待补阻塞原因","阻塞（非实测）"),IF(J1104&lt;&gt;"已实测",IF(F1104="","待展开路径","未实测"),IF(H1104&lt;&gt;"适用","待确认适用性",IF(INDEX(Equipment[登记状态（自动）],MATCH(B1104,Equipment[组合编号],0))&lt;&gt;"已登记","待补设备组合",IF(AND(F1104&lt;&gt;"",G1104&lt;&gt;"",K1104&lt;&gt;"",L1104&lt;&gt;"",M1104&lt;&gt;"",N1104&lt;&gt;"",ISNUMBER(O1104),O1104&gt;0,P1104&lt;&gt;""),"记录齐全","待补实测记录")))))))))))</x:f>
        <x:v>待展开路径</x:v>
      </x:c>
    </x:row>
    <x:row r="1105" ht="43.5" customHeight="1">
      <x:c r="A1105" s="20" t="str">
        <x:v>REC-01096</x:v>
      </x:c>
      <x:c r="B1105" s="20" t="str">
        <x:v>P3-B1-01</x:v>
      </x:c>
      <x:c r="C1105" s="30" t="str">
        <x:f>IF(B1105="","",IF(COUNTIFS(Equipment[组合编号],B1105)&lt;&gt;1,"组合编号无效",INDEX(Equipment[PLC组],MATCH(B1105,Equipment[组合编号],0))))</x:f>
        <x:v>欧姆龙</x:v>
      </x:c>
      <x:c r="D1105" s="30" t="str">
        <x:f>IF(B1105="","",IF(COUNTIFS(Equipment[组合编号],B1105)&lt;&gt;1,"组合编号无效",INDEX(Equipment[驱动品牌],MATCH(B1105,Equipment[组合编号],0))))</x:f>
        <x:v>CDHD</x:v>
      </x:c>
      <x:c r="E1105" s="20" t="str">
        <x:v>U09</x:v>
      </x:c>
      <x:c r="F1105" s="20"/>
      <x:c r="G1105" s="20"/>
      <x:c r="H1105" s="20" t="str">
        <x:v>待判定</x:v>
      </x:c>
      <x:c r="I1105" s="20"/>
      <x:c r="J1105" s="20" t="str">
        <x:v>未测试</x:v>
      </x:c>
      <x:c r="K1105" s="20"/>
      <x:c r="L1105" s="20"/>
      <x:c r="M1105" s="20"/>
      <x:c r="N1105" s="20"/>
      <x:c r="O1105" s="31"/>
      <x:c r="P1105" s="20"/>
      <x:c r="Q1105" s="20"/>
      <x:c r="R1105" s="20" t="str">
        <x:v>待展开</x:v>
      </x:c>
      <x:c r="S1105" s="20"/>
      <x:c r="T1105" s="31"/>
      <x:c r="U1105" s="30" t="str">
        <x:f>IF(A1105="","缺记录编号",IF(COUNTIFS(PathRecords[记录编号],A1105)&lt;&gt;1,"记录编号重复",IF(OR(B1105="",E1105=""),"缺组合/功能",IF(COUNTIFS(Equipment[组合编号],B1105)&lt;&gt;1,"组合编号无效",IF(COUNTIFS(FunctionMatrix[编号],E1105)=0,"功能编号无效",IF(H1105="不适用",IF(J1105="已实测","适用性冲突",IF(I1105="","待补不适用依据","不适用（非实测）")),IF(J1105="阻塞",IF(I1105="","待补阻塞原因","阻塞（非实测）"),IF(J1105&lt;&gt;"已实测",IF(F1105="","待展开路径","未实测"),IF(H1105&lt;&gt;"适用","待确认适用性",IF(INDEX(Equipment[登记状态（自动）],MATCH(B1105,Equipment[组合编号],0))&lt;&gt;"已登记","待补设备组合",IF(AND(F1105&lt;&gt;"",G1105&lt;&gt;"",K1105&lt;&gt;"",L1105&lt;&gt;"",M1105&lt;&gt;"",N1105&lt;&gt;"",ISNUMBER(O1105),O1105&gt;0,P1105&lt;&gt;""),"记录齐全","待补实测记录")))))))))))</x:f>
        <x:v>待展开路径</x:v>
      </x:c>
    </x:row>
    <x:row r="1106" ht="43.5" customHeight="1">
      <x:c r="A1106" s="20" t="str">
        <x:v>REC-01097</x:v>
      </x:c>
      <x:c r="B1106" s="20" t="str">
        <x:v>P3-B1-01</x:v>
      </x:c>
      <x:c r="C1106" s="30" t="str">
        <x:f>IF(B1106="","",IF(COUNTIFS(Equipment[组合编号],B1106)&lt;&gt;1,"组合编号无效",INDEX(Equipment[PLC组],MATCH(B1106,Equipment[组合编号],0))))</x:f>
        <x:v>欧姆龙</x:v>
      </x:c>
      <x:c r="D1106" s="30" t="str">
        <x:f>IF(B1106="","",IF(COUNTIFS(Equipment[组合编号],B1106)&lt;&gt;1,"组合编号无效",INDEX(Equipment[驱动品牌],MATCH(B1106,Equipment[组合编号],0))))</x:f>
        <x:v>CDHD</x:v>
      </x:c>
      <x:c r="E1106" s="20" t="str">
        <x:v>U10</x:v>
      </x:c>
      <x:c r="F1106" s="20"/>
      <x:c r="G1106" s="20"/>
      <x:c r="H1106" s="20" t="str">
        <x:v>待判定</x:v>
      </x:c>
      <x:c r="I1106" s="20"/>
      <x:c r="J1106" s="20" t="str">
        <x:v>未测试</x:v>
      </x:c>
      <x:c r="K1106" s="20"/>
      <x:c r="L1106" s="20"/>
      <x:c r="M1106" s="20"/>
      <x:c r="N1106" s="20"/>
      <x:c r="O1106" s="31"/>
      <x:c r="P1106" s="20"/>
      <x:c r="Q1106" s="20"/>
      <x:c r="R1106" s="20" t="str">
        <x:v>待展开</x:v>
      </x:c>
      <x:c r="S1106" s="20"/>
      <x:c r="T1106" s="31"/>
      <x:c r="U1106" s="30" t="str">
        <x:f>IF(A1106="","缺记录编号",IF(COUNTIFS(PathRecords[记录编号],A1106)&lt;&gt;1,"记录编号重复",IF(OR(B1106="",E1106=""),"缺组合/功能",IF(COUNTIFS(Equipment[组合编号],B1106)&lt;&gt;1,"组合编号无效",IF(COUNTIFS(FunctionMatrix[编号],E1106)=0,"功能编号无效",IF(H1106="不适用",IF(J1106="已实测","适用性冲突",IF(I1106="","待补不适用依据","不适用（非实测）")),IF(J1106="阻塞",IF(I1106="","待补阻塞原因","阻塞（非实测）"),IF(J1106&lt;&gt;"已实测",IF(F1106="","待展开路径","未实测"),IF(H1106&lt;&gt;"适用","待确认适用性",IF(INDEX(Equipment[登记状态（自动）],MATCH(B1106,Equipment[组合编号],0))&lt;&gt;"已登记","待补设备组合",IF(AND(F1106&lt;&gt;"",G1106&lt;&gt;"",K1106&lt;&gt;"",L1106&lt;&gt;"",M1106&lt;&gt;"",N1106&lt;&gt;"",ISNUMBER(O1106),O1106&gt;0,P1106&lt;&gt;""),"记录齐全","待补实测记录")))))))))))</x:f>
        <x:v>待展开路径</x:v>
      </x:c>
    </x:row>
    <x:row r="1107" ht="43.5" customHeight="1">
      <x:c r="A1107" s="20" t="str">
        <x:v>REC-01098</x:v>
      </x:c>
      <x:c r="B1107" s="20" t="str">
        <x:v>P3-B1-01</x:v>
      </x:c>
      <x:c r="C1107" s="30" t="str">
        <x:f>IF(B1107="","",IF(COUNTIFS(Equipment[组合编号],B1107)&lt;&gt;1,"组合编号无效",INDEX(Equipment[PLC组],MATCH(B1107,Equipment[组合编号],0))))</x:f>
        <x:v>欧姆龙</x:v>
      </x:c>
      <x:c r="D1107" s="30" t="str">
        <x:f>IF(B1107="","",IF(COUNTIFS(Equipment[组合编号],B1107)&lt;&gt;1,"组合编号无效",INDEX(Equipment[驱动品牌],MATCH(B1107,Equipment[组合编号],0))))</x:f>
        <x:v>CDHD</x:v>
      </x:c>
      <x:c r="E1107" s="20" t="str">
        <x:v>H01</x:v>
      </x:c>
      <x:c r="F1107" s="20"/>
      <x:c r="G1107" s="20"/>
      <x:c r="H1107" s="20" t="str">
        <x:v>待判定</x:v>
      </x:c>
      <x:c r="I1107" s="20"/>
      <x:c r="J1107" s="20" t="str">
        <x:v>未测试</x:v>
      </x:c>
      <x:c r="K1107" s="20"/>
      <x:c r="L1107" s="20"/>
      <x:c r="M1107" s="20"/>
      <x:c r="N1107" s="20"/>
      <x:c r="O1107" s="31"/>
      <x:c r="P1107" s="20"/>
      <x:c r="Q1107" s="20"/>
      <x:c r="R1107" s="20" t="str">
        <x:v>待展开</x:v>
      </x:c>
      <x:c r="S1107" s="20"/>
      <x:c r="T1107" s="31"/>
      <x:c r="U1107" s="30" t="str">
        <x:f>IF(A1107="","缺记录编号",IF(COUNTIFS(PathRecords[记录编号],A1107)&lt;&gt;1,"记录编号重复",IF(OR(B1107="",E1107=""),"缺组合/功能",IF(COUNTIFS(Equipment[组合编号],B1107)&lt;&gt;1,"组合编号无效",IF(COUNTIFS(FunctionMatrix[编号],E1107)=0,"功能编号无效",IF(H1107="不适用",IF(J1107="已实测","适用性冲突",IF(I1107="","待补不适用依据","不适用（非实测）")),IF(J1107="阻塞",IF(I1107="","待补阻塞原因","阻塞（非实测）"),IF(J1107&lt;&gt;"已实测",IF(F1107="","待展开路径","未实测"),IF(H1107&lt;&gt;"适用","待确认适用性",IF(INDEX(Equipment[登记状态（自动）],MATCH(B1107,Equipment[组合编号],0))&lt;&gt;"已登记","待补设备组合",IF(AND(F1107&lt;&gt;"",G1107&lt;&gt;"",K1107&lt;&gt;"",L1107&lt;&gt;"",M1107&lt;&gt;"",N1107&lt;&gt;"",ISNUMBER(O1107),O1107&gt;0,P1107&lt;&gt;""),"记录齐全","待补实测记录")))))))))))</x:f>
        <x:v>待展开路径</x:v>
      </x:c>
    </x:row>
    <x:row r="1108" ht="43.5" customHeight="1">
      <x:c r="A1108" s="20" t="str">
        <x:v>REC-01099</x:v>
      </x:c>
      <x:c r="B1108" s="20" t="str">
        <x:v>P3-B1-01</x:v>
      </x:c>
      <x:c r="C1108" s="30" t="str">
        <x:f>IF(B1108="","",IF(COUNTIFS(Equipment[组合编号],B1108)&lt;&gt;1,"组合编号无效",INDEX(Equipment[PLC组],MATCH(B1108,Equipment[组合编号],0))))</x:f>
        <x:v>欧姆龙</x:v>
      </x:c>
      <x:c r="D1108" s="30" t="str">
        <x:f>IF(B1108="","",IF(COUNTIFS(Equipment[组合编号],B1108)&lt;&gt;1,"组合编号无效",INDEX(Equipment[驱动品牌],MATCH(B1108,Equipment[组合编号],0))))</x:f>
        <x:v>CDHD</x:v>
      </x:c>
      <x:c r="E1108" s="20" t="str">
        <x:v>H02</x:v>
      </x:c>
      <x:c r="F1108" s="20"/>
      <x:c r="G1108" s="20"/>
      <x:c r="H1108" s="20" t="str">
        <x:v>待判定</x:v>
      </x:c>
      <x:c r="I1108" s="20"/>
      <x:c r="J1108" s="20" t="str">
        <x:v>未测试</x:v>
      </x:c>
      <x:c r="K1108" s="20"/>
      <x:c r="L1108" s="20"/>
      <x:c r="M1108" s="20"/>
      <x:c r="N1108" s="20"/>
      <x:c r="O1108" s="31"/>
      <x:c r="P1108" s="20"/>
      <x:c r="Q1108" s="20"/>
      <x:c r="R1108" s="20" t="str">
        <x:v>待展开</x:v>
      </x:c>
      <x:c r="S1108" s="20"/>
      <x:c r="T1108" s="31"/>
      <x:c r="U1108" s="30" t="str">
        <x:f>IF(A1108="","缺记录编号",IF(COUNTIFS(PathRecords[记录编号],A1108)&lt;&gt;1,"记录编号重复",IF(OR(B1108="",E1108=""),"缺组合/功能",IF(COUNTIFS(Equipment[组合编号],B1108)&lt;&gt;1,"组合编号无效",IF(COUNTIFS(FunctionMatrix[编号],E1108)=0,"功能编号无效",IF(H1108="不适用",IF(J1108="已实测","适用性冲突",IF(I1108="","待补不适用依据","不适用（非实测）")),IF(J1108="阻塞",IF(I1108="","待补阻塞原因","阻塞（非实测）"),IF(J1108&lt;&gt;"已实测",IF(F1108="","待展开路径","未实测"),IF(H1108&lt;&gt;"适用","待确认适用性",IF(INDEX(Equipment[登记状态（自动）],MATCH(B1108,Equipment[组合编号],0))&lt;&gt;"已登记","待补设备组合",IF(AND(F1108&lt;&gt;"",G1108&lt;&gt;"",K1108&lt;&gt;"",L1108&lt;&gt;"",M1108&lt;&gt;"",N1108&lt;&gt;"",ISNUMBER(O1108),O1108&gt;0,P1108&lt;&gt;""),"记录齐全","待补实测记录")))))))))))</x:f>
        <x:v>待展开路径</x:v>
      </x:c>
    </x:row>
    <x:row r="1109" ht="43.5" customHeight="1">
      <x:c r="A1109" s="20" t="str">
        <x:v>REC-01100</x:v>
      </x:c>
      <x:c r="B1109" s="20" t="str">
        <x:v>P3-B1-01</x:v>
      </x:c>
      <x:c r="C1109" s="30" t="str">
        <x:f>IF(B1109="","",IF(COUNTIFS(Equipment[组合编号],B1109)&lt;&gt;1,"组合编号无效",INDEX(Equipment[PLC组],MATCH(B1109,Equipment[组合编号],0))))</x:f>
        <x:v>欧姆龙</x:v>
      </x:c>
      <x:c r="D1109" s="30" t="str">
        <x:f>IF(B1109="","",IF(COUNTIFS(Equipment[组合编号],B1109)&lt;&gt;1,"组合编号无效",INDEX(Equipment[驱动品牌],MATCH(B1109,Equipment[组合编号],0))))</x:f>
        <x:v>CDHD</x:v>
      </x:c>
      <x:c r="E1109" s="20" t="str">
        <x:v>H03</x:v>
      </x:c>
      <x:c r="F1109" s="20"/>
      <x:c r="G1109" s="20"/>
      <x:c r="H1109" s="20" t="str">
        <x:v>待判定</x:v>
      </x:c>
      <x:c r="I1109" s="20"/>
      <x:c r="J1109" s="20" t="str">
        <x:v>未测试</x:v>
      </x:c>
      <x:c r="K1109" s="20"/>
      <x:c r="L1109" s="20"/>
      <x:c r="M1109" s="20"/>
      <x:c r="N1109" s="20"/>
      <x:c r="O1109" s="31"/>
      <x:c r="P1109" s="20"/>
      <x:c r="Q1109" s="20"/>
      <x:c r="R1109" s="20" t="str">
        <x:v>待展开</x:v>
      </x:c>
      <x:c r="S1109" s="20"/>
      <x:c r="T1109" s="31"/>
      <x:c r="U1109" s="30" t="str">
        <x:f>IF(A1109="","缺记录编号",IF(COUNTIFS(PathRecords[记录编号],A1109)&lt;&gt;1,"记录编号重复",IF(OR(B1109="",E1109=""),"缺组合/功能",IF(COUNTIFS(Equipment[组合编号],B1109)&lt;&gt;1,"组合编号无效",IF(COUNTIFS(FunctionMatrix[编号],E1109)=0,"功能编号无效",IF(H1109="不适用",IF(J1109="已实测","适用性冲突",IF(I1109="","待补不适用依据","不适用（非实测）")),IF(J1109="阻塞",IF(I1109="","待补阻塞原因","阻塞（非实测）"),IF(J1109&lt;&gt;"已实测",IF(F1109="","待展开路径","未实测"),IF(H1109&lt;&gt;"适用","待确认适用性",IF(INDEX(Equipment[登记状态（自动）],MATCH(B1109,Equipment[组合编号],0))&lt;&gt;"已登记","待补设备组合",IF(AND(F1109&lt;&gt;"",G1109&lt;&gt;"",K1109&lt;&gt;"",L1109&lt;&gt;"",M1109&lt;&gt;"",N1109&lt;&gt;"",ISNUMBER(O1109),O1109&gt;0,P1109&lt;&gt;""),"记录齐全","待补实测记录")))))))))))</x:f>
        <x:v>待展开路径</x:v>
      </x:c>
    </x:row>
    <x:row r="1110" ht="43.5" customHeight="1">
      <x:c r="A1110" s="20" t="str">
        <x:v>REC-01101</x:v>
      </x:c>
      <x:c r="B1110" s="20" t="str">
        <x:v>P3-B1-01</x:v>
      </x:c>
      <x:c r="C1110" s="30" t="str">
        <x:f>IF(B1110="","",IF(COUNTIFS(Equipment[组合编号],B1110)&lt;&gt;1,"组合编号无效",INDEX(Equipment[PLC组],MATCH(B1110,Equipment[组合编号],0))))</x:f>
        <x:v>欧姆龙</x:v>
      </x:c>
      <x:c r="D1110" s="30" t="str">
        <x:f>IF(B1110="","",IF(COUNTIFS(Equipment[组合编号],B1110)&lt;&gt;1,"组合编号无效",INDEX(Equipment[驱动品牌],MATCH(B1110,Equipment[组合编号],0))))</x:f>
        <x:v>CDHD</x:v>
      </x:c>
      <x:c r="E1110" s="20" t="str">
        <x:v>H04</x:v>
      </x:c>
      <x:c r="F1110" s="20"/>
      <x:c r="G1110" s="20"/>
      <x:c r="H1110" s="20" t="str">
        <x:v>待判定</x:v>
      </x:c>
      <x:c r="I1110" s="20"/>
      <x:c r="J1110" s="20" t="str">
        <x:v>未测试</x:v>
      </x:c>
      <x:c r="K1110" s="20"/>
      <x:c r="L1110" s="20"/>
      <x:c r="M1110" s="20"/>
      <x:c r="N1110" s="20"/>
      <x:c r="O1110" s="31"/>
      <x:c r="P1110" s="20"/>
      <x:c r="Q1110" s="20"/>
      <x:c r="R1110" s="20" t="str">
        <x:v>待展开</x:v>
      </x:c>
      <x:c r="S1110" s="20"/>
      <x:c r="T1110" s="31"/>
      <x:c r="U1110" s="30" t="str">
        <x:f>IF(A1110="","缺记录编号",IF(COUNTIFS(PathRecords[记录编号],A1110)&lt;&gt;1,"记录编号重复",IF(OR(B1110="",E1110=""),"缺组合/功能",IF(COUNTIFS(Equipment[组合编号],B1110)&lt;&gt;1,"组合编号无效",IF(COUNTIFS(FunctionMatrix[编号],E1110)=0,"功能编号无效",IF(H1110="不适用",IF(J1110="已实测","适用性冲突",IF(I1110="","待补不适用依据","不适用（非实测）")),IF(J1110="阻塞",IF(I1110="","待补阻塞原因","阻塞（非实测）"),IF(J1110&lt;&gt;"已实测",IF(F1110="","待展开路径","未实测"),IF(H1110&lt;&gt;"适用","待确认适用性",IF(INDEX(Equipment[登记状态（自动）],MATCH(B1110,Equipment[组合编号],0))&lt;&gt;"已登记","待补设备组合",IF(AND(F1110&lt;&gt;"",G1110&lt;&gt;"",K1110&lt;&gt;"",L1110&lt;&gt;"",M1110&lt;&gt;"",N1110&lt;&gt;"",ISNUMBER(O1110),O1110&gt;0,P1110&lt;&gt;""),"记录齐全","待补实测记录")))))))))))</x:f>
        <x:v>待展开路径</x:v>
      </x:c>
    </x:row>
    <x:row r="1111" ht="43.5" customHeight="1">
      <x:c r="A1111" s="20" t="str">
        <x:v>REC-01102</x:v>
      </x:c>
      <x:c r="B1111" s="20" t="str">
        <x:v>P3-B1-01</x:v>
      </x:c>
      <x:c r="C1111" s="30" t="str">
        <x:f>IF(B1111="","",IF(COUNTIFS(Equipment[组合编号],B1111)&lt;&gt;1,"组合编号无效",INDEX(Equipment[PLC组],MATCH(B1111,Equipment[组合编号],0))))</x:f>
        <x:v>欧姆龙</x:v>
      </x:c>
      <x:c r="D1111" s="30" t="str">
        <x:f>IF(B1111="","",IF(COUNTIFS(Equipment[组合编号],B1111)&lt;&gt;1,"组合编号无效",INDEX(Equipment[驱动品牌],MATCH(B1111,Equipment[组合编号],0))))</x:f>
        <x:v>CDHD</x:v>
      </x:c>
      <x:c r="E1111" s="20" t="str">
        <x:v>H05</x:v>
      </x:c>
      <x:c r="F1111" s="20"/>
      <x:c r="G1111" s="20"/>
      <x:c r="H1111" s="20" t="str">
        <x:v>待判定</x:v>
      </x:c>
      <x:c r="I1111" s="20"/>
      <x:c r="J1111" s="20" t="str">
        <x:v>未测试</x:v>
      </x:c>
      <x:c r="K1111" s="20"/>
      <x:c r="L1111" s="20"/>
      <x:c r="M1111" s="20"/>
      <x:c r="N1111" s="20"/>
      <x:c r="O1111" s="31"/>
      <x:c r="P1111" s="20"/>
      <x:c r="Q1111" s="20"/>
      <x:c r="R1111" s="20" t="str">
        <x:v>待展开</x:v>
      </x:c>
      <x:c r="S1111" s="20"/>
      <x:c r="T1111" s="31"/>
      <x:c r="U1111" s="30" t="str">
        <x:f>IF(A1111="","缺记录编号",IF(COUNTIFS(PathRecords[记录编号],A1111)&lt;&gt;1,"记录编号重复",IF(OR(B1111="",E1111=""),"缺组合/功能",IF(COUNTIFS(Equipment[组合编号],B1111)&lt;&gt;1,"组合编号无效",IF(COUNTIFS(FunctionMatrix[编号],E1111)=0,"功能编号无效",IF(H1111="不适用",IF(J1111="已实测","适用性冲突",IF(I1111="","待补不适用依据","不适用（非实测）")),IF(J1111="阻塞",IF(I1111="","待补阻塞原因","阻塞（非实测）"),IF(J1111&lt;&gt;"已实测",IF(F1111="","待展开路径","未实测"),IF(H1111&lt;&gt;"适用","待确认适用性",IF(INDEX(Equipment[登记状态（自动）],MATCH(B1111,Equipment[组合编号],0))&lt;&gt;"已登记","待补设备组合",IF(AND(F1111&lt;&gt;"",G1111&lt;&gt;"",K1111&lt;&gt;"",L1111&lt;&gt;"",M1111&lt;&gt;"",N1111&lt;&gt;"",ISNUMBER(O1111),O1111&gt;0,P1111&lt;&gt;""),"记录齐全","待补实测记录")))))))))))</x:f>
        <x:v>待展开路径</x:v>
      </x:c>
    </x:row>
    <x:row r="1112" ht="43.5" customHeight="1">
      <x:c r="A1112" s="20" t="str">
        <x:v>REC-01103</x:v>
      </x:c>
      <x:c r="B1112" s="20" t="str">
        <x:v>P3-B1-01</x:v>
      </x:c>
      <x:c r="C1112" s="30" t="str">
        <x:f>IF(B1112="","",IF(COUNTIFS(Equipment[组合编号],B1112)&lt;&gt;1,"组合编号无效",INDEX(Equipment[PLC组],MATCH(B1112,Equipment[组合编号],0))))</x:f>
        <x:v>欧姆龙</x:v>
      </x:c>
      <x:c r="D1112" s="30" t="str">
        <x:f>IF(B1112="","",IF(COUNTIFS(Equipment[组合编号],B1112)&lt;&gt;1,"组合编号无效",INDEX(Equipment[驱动品牌],MATCH(B1112,Equipment[组合编号],0))))</x:f>
        <x:v>CDHD</x:v>
      </x:c>
      <x:c r="E1112" s="20" t="str">
        <x:v>H06</x:v>
      </x:c>
      <x:c r="F1112" s="20"/>
      <x:c r="G1112" s="20"/>
      <x:c r="H1112" s="20" t="str">
        <x:v>待判定</x:v>
      </x:c>
      <x:c r="I1112" s="20"/>
      <x:c r="J1112" s="20" t="str">
        <x:v>未测试</x:v>
      </x:c>
      <x:c r="K1112" s="20"/>
      <x:c r="L1112" s="20"/>
      <x:c r="M1112" s="20"/>
      <x:c r="N1112" s="20"/>
      <x:c r="O1112" s="31"/>
      <x:c r="P1112" s="20"/>
      <x:c r="Q1112" s="20"/>
      <x:c r="R1112" s="20" t="str">
        <x:v>待展开</x:v>
      </x:c>
      <x:c r="S1112" s="20"/>
      <x:c r="T1112" s="31"/>
      <x:c r="U1112" s="30" t="str">
        <x:f>IF(A1112="","缺记录编号",IF(COUNTIFS(PathRecords[记录编号],A1112)&lt;&gt;1,"记录编号重复",IF(OR(B1112="",E1112=""),"缺组合/功能",IF(COUNTIFS(Equipment[组合编号],B1112)&lt;&gt;1,"组合编号无效",IF(COUNTIFS(FunctionMatrix[编号],E1112)=0,"功能编号无效",IF(H1112="不适用",IF(J1112="已实测","适用性冲突",IF(I1112="","待补不适用依据","不适用（非实测）")),IF(J1112="阻塞",IF(I1112="","待补阻塞原因","阻塞（非实测）"),IF(J1112&lt;&gt;"已实测",IF(F1112="","待展开路径","未实测"),IF(H1112&lt;&gt;"适用","待确认适用性",IF(INDEX(Equipment[登记状态（自动）],MATCH(B1112,Equipment[组合编号],0))&lt;&gt;"已登记","待补设备组合",IF(AND(F1112&lt;&gt;"",G1112&lt;&gt;"",K1112&lt;&gt;"",L1112&lt;&gt;"",M1112&lt;&gt;"",N1112&lt;&gt;"",ISNUMBER(O1112),O1112&gt;0,P1112&lt;&gt;""),"记录齐全","待补实测记录")))))))))))</x:f>
        <x:v>待展开路径</x:v>
      </x:c>
    </x:row>
    <x:row r="1113" ht="43.5" customHeight="1">
      <x:c r="A1113" s="20" t="str">
        <x:v>REC-01104</x:v>
      </x:c>
      <x:c r="B1113" s="20" t="str">
        <x:v>P3-B1-01</x:v>
      </x:c>
      <x:c r="C1113" s="30" t="str">
        <x:f>IF(B1113="","",IF(COUNTIFS(Equipment[组合编号],B1113)&lt;&gt;1,"组合编号无效",INDEX(Equipment[PLC组],MATCH(B1113,Equipment[组合编号],0))))</x:f>
        <x:v>欧姆龙</x:v>
      </x:c>
      <x:c r="D1113" s="30" t="str">
        <x:f>IF(B1113="","",IF(COUNTIFS(Equipment[组合编号],B1113)&lt;&gt;1,"组合编号无效",INDEX(Equipment[驱动品牌],MATCH(B1113,Equipment[组合编号],0))))</x:f>
        <x:v>CDHD</x:v>
      </x:c>
      <x:c r="E1113" s="20" t="str">
        <x:v>H07</x:v>
      </x:c>
      <x:c r="F1113" s="20"/>
      <x:c r="G1113" s="20"/>
      <x:c r="H1113" s="20" t="str">
        <x:v>待判定</x:v>
      </x:c>
      <x:c r="I1113" s="20"/>
      <x:c r="J1113" s="20" t="str">
        <x:v>未测试</x:v>
      </x:c>
      <x:c r="K1113" s="20"/>
      <x:c r="L1113" s="20"/>
      <x:c r="M1113" s="20"/>
      <x:c r="N1113" s="20"/>
      <x:c r="O1113" s="31"/>
      <x:c r="P1113" s="20"/>
      <x:c r="Q1113" s="20"/>
      <x:c r="R1113" s="20" t="str">
        <x:v>待展开</x:v>
      </x:c>
      <x:c r="S1113" s="20"/>
      <x:c r="T1113" s="31"/>
      <x:c r="U1113" s="30" t="str">
        <x:f>IF(A1113="","缺记录编号",IF(COUNTIFS(PathRecords[记录编号],A1113)&lt;&gt;1,"记录编号重复",IF(OR(B1113="",E1113=""),"缺组合/功能",IF(COUNTIFS(Equipment[组合编号],B1113)&lt;&gt;1,"组合编号无效",IF(COUNTIFS(FunctionMatrix[编号],E1113)=0,"功能编号无效",IF(H1113="不适用",IF(J1113="已实测","适用性冲突",IF(I1113="","待补不适用依据","不适用（非实测）")),IF(J1113="阻塞",IF(I1113="","待补阻塞原因","阻塞（非实测）"),IF(J1113&lt;&gt;"已实测",IF(F1113="","待展开路径","未实测"),IF(H1113&lt;&gt;"适用","待确认适用性",IF(INDEX(Equipment[登记状态（自动）],MATCH(B1113,Equipment[组合编号],0))&lt;&gt;"已登记","待补设备组合",IF(AND(F1113&lt;&gt;"",G1113&lt;&gt;"",K1113&lt;&gt;"",L1113&lt;&gt;"",M1113&lt;&gt;"",N1113&lt;&gt;"",ISNUMBER(O1113),O1113&gt;0,P1113&lt;&gt;""),"记录齐全","待补实测记录")))))))))))</x:f>
        <x:v>待展开路径</x:v>
      </x:c>
    </x:row>
    <x:row r="1114" ht="43.5" customHeight="1">
      <x:c r="A1114" s="20" t="str">
        <x:v>REC-01105</x:v>
      </x:c>
      <x:c r="B1114" s="20" t="str">
        <x:v>P3-B1-01</x:v>
      </x:c>
      <x:c r="C1114" s="30" t="str">
        <x:f>IF(B1114="","",IF(COUNTIFS(Equipment[组合编号],B1114)&lt;&gt;1,"组合编号无效",INDEX(Equipment[PLC组],MATCH(B1114,Equipment[组合编号],0))))</x:f>
        <x:v>欧姆龙</x:v>
      </x:c>
      <x:c r="D1114" s="30" t="str">
        <x:f>IF(B1114="","",IF(COUNTIFS(Equipment[组合编号],B1114)&lt;&gt;1,"组合编号无效",INDEX(Equipment[驱动品牌],MATCH(B1114,Equipment[组合编号],0))))</x:f>
        <x:v>CDHD</x:v>
      </x:c>
      <x:c r="E1114" s="20" t="str">
        <x:v>H08</x:v>
      </x:c>
      <x:c r="F1114" s="20"/>
      <x:c r="G1114" s="20"/>
      <x:c r="H1114" s="20" t="str">
        <x:v>待判定</x:v>
      </x:c>
      <x:c r="I1114" s="20"/>
      <x:c r="J1114" s="20" t="str">
        <x:v>未测试</x:v>
      </x:c>
      <x:c r="K1114" s="20"/>
      <x:c r="L1114" s="20"/>
      <x:c r="M1114" s="20"/>
      <x:c r="N1114" s="20"/>
      <x:c r="O1114" s="31"/>
      <x:c r="P1114" s="20"/>
      <x:c r="Q1114" s="20"/>
      <x:c r="R1114" s="20" t="str">
        <x:v>待展开</x:v>
      </x:c>
      <x:c r="S1114" s="20"/>
      <x:c r="T1114" s="31"/>
      <x:c r="U1114" s="30" t="str">
        <x:f>IF(A1114="","缺记录编号",IF(COUNTIFS(PathRecords[记录编号],A1114)&lt;&gt;1,"记录编号重复",IF(OR(B1114="",E1114=""),"缺组合/功能",IF(COUNTIFS(Equipment[组合编号],B1114)&lt;&gt;1,"组合编号无效",IF(COUNTIFS(FunctionMatrix[编号],E1114)=0,"功能编号无效",IF(H1114="不适用",IF(J1114="已实测","适用性冲突",IF(I1114="","待补不适用依据","不适用（非实测）")),IF(J1114="阻塞",IF(I1114="","待补阻塞原因","阻塞（非实测）"),IF(J1114&lt;&gt;"已实测",IF(F1114="","待展开路径","未实测"),IF(H1114&lt;&gt;"适用","待确认适用性",IF(INDEX(Equipment[登记状态（自动）],MATCH(B1114,Equipment[组合编号],0))&lt;&gt;"已登记","待补设备组合",IF(AND(F1114&lt;&gt;"",G1114&lt;&gt;"",K1114&lt;&gt;"",L1114&lt;&gt;"",M1114&lt;&gt;"",N1114&lt;&gt;"",ISNUMBER(O1114),O1114&gt;0,P1114&lt;&gt;""),"记录齐全","待补实测记录")))))))))))</x:f>
        <x:v>待展开路径</x:v>
      </x:c>
    </x:row>
    <x:row r="1115" ht="43.5" customHeight="1">
      <x:c r="A1115" s="20" t="str">
        <x:v>REC-01106</x:v>
      </x:c>
      <x:c r="B1115" s="20" t="str">
        <x:v>P3-B1-01</x:v>
      </x:c>
      <x:c r="C1115" s="30" t="str">
        <x:f>IF(B1115="","",IF(COUNTIFS(Equipment[组合编号],B1115)&lt;&gt;1,"组合编号无效",INDEX(Equipment[PLC组],MATCH(B1115,Equipment[组合编号],0))))</x:f>
        <x:v>欧姆龙</x:v>
      </x:c>
      <x:c r="D1115" s="30" t="str">
        <x:f>IF(B1115="","",IF(COUNTIFS(Equipment[组合编号],B1115)&lt;&gt;1,"组合编号无效",INDEX(Equipment[驱动品牌],MATCH(B1115,Equipment[组合编号],0))))</x:f>
        <x:v>CDHD</x:v>
      </x:c>
      <x:c r="E1115" s="20" t="str">
        <x:v>H09</x:v>
      </x:c>
      <x:c r="F1115" s="20"/>
      <x:c r="G1115" s="20"/>
      <x:c r="H1115" s="20" t="str">
        <x:v>待判定</x:v>
      </x:c>
      <x:c r="I1115" s="20"/>
      <x:c r="J1115" s="20" t="str">
        <x:v>未测试</x:v>
      </x:c>
      <x:c r="K1115" s="20"/>
      <x:c r="L1115" s="20"/>
      <x:c r="M1115" s="20"/>
      <x:c r="N1115" s="20"/>
      <x:c r="O1115" s="31"/>
      <x:c r="P1115" s="20"/>
      <x:c r="Q1115" s="20"/>
      <x:c r="R1115" s="20" t="str">
        <x:v>待展开</x:v>
      </x:c>
      <x:c r="S1115" s="20"/>
      <x:c r="T1115" s="31"/>
      <x:c r="U1115" s="30" t="str">
        <x:f>IF(A1115="","缺记录编号",IF(COUNTIFS(PathRecords[记录编号],A1115)&lt;&gt;1,"记录编号重复",IF(OR(B1115="",E1115=""),"缺组合/功能",IF(COUNTIFS(Equipment[组合编号],B1115)&lt;&gt;1,"组合编号无效",IF(COUNTIFS(FunctionMatrix[编号],E1115)=0,"功能编号无效",IF(H1115="不适用",IF(J1115="已实测","适用性冲突",IF(I1115="","待补不适用依据","不适用（非实测）")),IF(J1115="阻塞",IF(I1115="","待补阻塞原因","阻塞（非实测）"),IF(J1115&lt;&gt;"已实测",IF(F1115="","待展开路径","未实测"),IF(H1115&lt;&gt;"适用","待确认适用性",IF(INDEX(Equipment[登记状态（自动）],MATCH(B1115,Equipment[组合编号],0))&lt;&gt;"已登记","待补设备组合",IF(AND(F1115&lt;&gt;"",G1115&lt;&gt;"",K1115&lt;&gt;"",L1115&lt;&gt;"",M1115&lt;&gt;"",N1115&lt;&gt;"",ISNUMBER(O1115),O1115&gt;0,P1115&lt;&gt;""),"记录齐全","待补实测记录")))))))))))</x:f>
        <x:v>待展开路径</x:v>
      </x:c>
    </x:row>
    <x:row r="1116" ht="43.5" customHeight="1">
      <x:c r="A1116" s="20" t="str">
        <x:v>REC-01107</x:v>
      </x:c>
      <x:c r="B1116" s="20" t="str">
        <x:v>P3-B1-01</x:v>
      </x:c>
      <x:c r="C1116" s="30" t="str">
        <x:f>IF(B1116="","",IF(COUNTIFS(Equipment[组合编号],B1116)&lt;&gt;1,"组合编号无效",INDEX(Equipment[PLC组],MATCH(B1116,Equipment[组合编号],0))))</x:f>
        <x:v>欧姆龙</x:v>
      </x:c>
      <x:c r="D1116" s="30" t="str">
        <x:f>IF(B1116="","",IF(COUNTIFS(Equipment[组合编号],B1116)&lt;&gt;1,"组合编号无效",INDEX(Equipment[驱动品牌],MATCH(B1116,Equipment[组合编号],0))))</x:f>
        <x:v>CDHD</x:v>
      </x:c>
      <x:c r="E1116" s="20" t="str">
        <x:v>H10</x:v>
      </x:c>
      <x:c r="F1116" s="20"/>
      <x:c r="G1116" s="20"/>
      <x:c r="H1116" s="20" t="str">
        <x:v>待判定</x:v>
      </x:c>
      <x:c r="I1116" s="20"/>
      <x:c r="J1116" s="20" t="str">
        <x:v>未测试</x:v>
      </x:c>
      <x:c r="K1116" s="20"/>
      <x:c r="L1116" s="20"/>
      <x:c r="M1116" s="20"/>
      <x:c r="N1116" s="20"/>
      <x:c r="O1116" s="31"/>
      <x:c r="P1116" s="20"/>
      <x:c r="Q1116" s="20"/>
      <x:c r="R1116" s="20" t="str">
        <x:v>待展开</x:v>
      </x:c>
      <x:c r="S1116" s="20"/>
      <x:c r="T1116" s="31"/>
      <x:c r="U1116" s="30" t="str">
        <x:f>IF(A1116="","缺记录编号",IF(COUNTIFS(PathRecords[记录编号],A1116)&lt;&gt;1,"记录编号重复",IF(OR(B1116="",E1116=""),"缺组合/功能",IF(COUNTIFS(Equipment[组合编号],B1116)&lt;&gt;1,"组合编号无效",IF(COUNTIFS(FunctionMatrix[编号],E1116)=0,"功能编号无效",IF(H1116="不适用",IF(J1116="已实测","适用性冲突",IF(I1116="","待补不适用依据","不适用（非实测）")),IF(J1116="阻塞",IF(I1116="","待补阻塞原因","阻塞（非实测）"),IF(J1116&lt;&gt;"已实测",IF(F1116="","待展开路径","未实测"),IF(H1116&lt;&gt;"适用","待确认适用性",IF(INDEX(Equipment[登记状态（自动）],MATCH(B1116,Equipment[组合编号],0))&lt;&gt;"已登记","待补设备组合",IF(AND(F1116&lt;&gt;"",G1116&lt;&gt;"",K1116&lt;&gt;"",L1116&lt;&gt;"",M1116&lt;&gt;"",N1116&lt;&gt;"",ISNUMBER(O1116),O1116&gt;0,P1116&lt;&gt;""),"记录齐全","待补实测记录")))))))))))</x:f>
        <x:v>待展开路径</x:v>
      </x:c>
    </x:row>
    <x:row r="1117" ht="43.5" customHeight="1">
      <x:c r="A1117" s="20" t="str">
        <x:v>REC-01108</x:v>
      </x:c>
      <x:c r="B1117" s="20" t="str">
        <x:v>P3-B1-01</x:v>
      </x:c>
      <x:c r="C1117" s="30" t="str">
        <x:f>IF(B1117="","",IF(COUNTIFS(Equipment[组合编号],B1117)&lt;&gt;1,"组合编号无效",INDEX(Equipment[PLC组],MATCH(B1117,Equipment[组合编号],0))))</x:f>
        <x:v>欧姆龙</x:v>
      </x:c>
      <x:c r="D1117" s="30" t="str">
        <x:f>IF(B1117="","",IF(COUNTIFS(Equipment[组合编号],B1117)&lt;&gt;1,"组合编号无效",INDEX(Equipment[驱动品牌],MATCH(B1117,Equipment[组合编号],0))))</x:f>
        <x:v>CDHD</x:v>
      </x:c>
      <x:c r="E1117" s="20" t="str">
        <x:v>H11</x:v>
      </x:c>
      <x:c r="F1117" s="20"/>
      <x:c r="G1117" s="20"/>
      <x:c r="H1117" s="20" t="str">
        <x:v>待判定</x:v>
      </x:c>
      <x:c r="I1117" s="20"/>
      <x:c r="J1117" s="20" t="str">
        <x:v>未测试</x:v>
      </x:c>
      <x:c r="K1117" s="20"/>
      <x:c r="L1117" s="20"/>
      <x:c r="M1117" s="20"/>
      <x:c r="N1117" s="20"/>
      <x:c r="O1117" s="31"/>
      <x:c r="P1117" s="20"/>
      <x:c r="Q1117" s="20"/>
      <x:c r="R1117" s="20" t="str">
        <x:v>待展开</x:v>
      </x:c>
      <x:c r="S1117" s="20"/>
      <x:c r="T1117" s="31"/>
      <x:c r="U1117" s="30" t="str">
        <x:f>IF(A1117="","缺记录编号",IF(COUNTIFS(PathRecords[记录编号],A1117)&lt;&gt;1,"记录编号重复",IF(OR(B1117="",E1117=""),"缺组合/功能",IF(COUNTIFS(Equipment[组合编号],B1117)&lt;&gt;1,"组合编号无效",IF(COUNTIFS(FunctionMatrix[编号],E1117)=0,"功能编号无效",IF(H1117="不适用",IF(J1117="已实测","适用性冲突",IF(I1117="","待补不适用依据","不适用（非实测）")),IF(J1117="阻塞",IF(I1117="","待补阻塞原因","阻塞（非实测）"),IF(J1117&lt;&gt;"已实测",IF(F1117="","待展开路径","未实测"),IF(H1117&lt;&gt;"适用","待确认适用性",IF(INDEX(Equipment[登记状态（自动）],MATCH(B1117,Equipment[组合编号],0))&lt;&gt;"已登记","待补设备组合",IF(AND(F1117&lt;&gt;"",G1117&lt;&gt;"",K1117&lt;&gt;"",L1117&lt;&gt;"",M1117&lt;&gt;"",N1117&lt;&gt;"",ISNUMBER(O1117),O1117&gt;0,P1117&lt;&gt;""),"记录齐全","待补实测记录")))))))))))</x:f>
        <x:v>待展开路径</x:v>
      </x:c>
    </x:row>
    <x:row r="1118" ht="43.5" customHeight="1">
      <x:c r="A1118" s="20" t="str">
        <x:v>REC-01109</x:v>
      </x:c>
      <x:c r="B1118" s="20" t="str">
        <x:v>P3-B1-01</x:v>
      </x:c>
      <x:c r="C1118" s="30" t="str">
        <x:f>IF(B1118="","",IF(COUNTIFS(Equipment[组合编号],B1118)&lt;&gt;1,"组合编号无效",INDEX(Equipment[PLC组],MATCH(B1118,Equipment[组合编号],0))))</x:f>
        <x:v>欧姆龙</x:v>
      </x:c>
      <x:c r="D1118" s="30" t="str">
        <x:f>IF(B1118="","",IF(COUNTIFS(Equipment[组合编号],B1118)&lt;&gt;1,"组合编号无效",INDEX(Equipment[驱动品牌],MATCH(B1118,Equipment[组合编号],0))))</x:f>
        <x:v>CDHD</x:v>
      </x:c>
      <x:c r="E1118" s="20" t="str">
        <x:v>N01</x:v>
      </x:c>
      <x:c r="F1118" s="20"/>
      <x:c r="G1118" s="20"/>
      <x:c r="H1118" s="20" t="str">
        <x:v>待判定</x:v>
      </x:c>
      <x:c r="I1118" s="20"/>
      <x:c r="J1118" s="20" t="str">
        <x:v>未测试</x:v>
      </x:c>
      <x:c r="K1118" s="20"/>
      <x:c r="L1118" s="20"/>
      <x:c r="M1118" s="20"/>
      <x:c r="N1118" s="20"/>
      <x:c r="O1118" s="31"/>
      <x:c r="P1118" s="20"/>
      <x:c r="Q1118" s="20"/>
      <x:c r="R1118" s="20" t="str">
        <x:v>待展开</x:v>
      </x:c>
      <x:c r="S1118" s="20"/>
      <x:c r="T1118" s="31"/>
      <x:c r="U1118" s="30" t="str">
        <x:f>IF(A1118="","缺记录编号",IF(COUNTIFS(PathRecords[记录编号],A1118)&lt;&gt;1,"记录编号重复",IF(OR(B1118="",E1118=""),"缺组合/功能",IF(COUNTIFS(Equipment[组合编号],B1118)&lt;&gt;1,"组合编号无效",IF(COUNTIFS(FunctionMatrix[编号],E1118)=0,"功能编号无效",IF(H1118="不适用",IF(J1118="已实测","适用性冲突",IF(I1118="","待补不适用依据","不适用（非实测）")),IF(J1118="阻塞",IF(I1118="","待补阻塞原因","阻塞（非实测）"),IF(J1118&lt;&gt;"已实测",IF(F1118="","待展开路径","未实测"),IF(H1118&lt;&gt;"适用","待确认适用性",IF(INDEX(Equipment[登记状态（自动）],MATCH(B1118,Equipment[组合编号],0))&lt;&gt;"已登记","待补设备组合",IF(AND(F1118&lt;&gt;"",G1118&lt;&gt;"",K1118&lt;&gt;"",L1118&lt;&gt;"",M1118&lt;&gt;"",N1118&lt;&gt;"",ISNUMBER(O1118),O1118&gt;0,P1118&lt;&gt;""),"记录齐全","待补实测记录")))))))))))</x:f>
        <x:v>待展开路径</x:v>
      </x:c>
    </x:row>
    <x:row r="1119" ht="43.5" customHeight="1">
      <x:c r="A1119" s="20" t="str">
        <x:v>REC-01110</x:v>
      </x:c>
      <x:c r="B1119" s="20" t="str">
        <x:v>P3-B1-01</x:v>
      </x:c>
      <x:c r="C1119" s="30" t="str">
        <x:f>IF(B1119="","",IF(COUNTIFS(Equipment[组合编号],B1119)&lt;&gt;1,"组合编号无效",INDEX(Equipment[PLC组],MATCH(B1119,Equipment[组合编号],0))))</x:f>
        <x:v>欧姆龙</x:v>
      </x:c>
      <x:c r="D1119" s="30" t="str">
        <x:f>IF(B1119="","",IF(COUNTIFS(Equipment[组合编号],B1119)&lt;&gt;1,"组合编号无效",INDEX(Equipment[驱动品牌],MATCH(B1119,Equipment[组合编号],0))))</x:f>
        <x:v>CDHD</x:v>
      </x:c>
      <x:c r="E1119" s="20" t="str">
        <x:v>N02</x:v>
      </x:c>
      <x:c r="F1119" s="20"/>
      <x:c r="G1119" s="20"/>
      <x:c r="H1119" s="20" t="str">
        <x:v>待判定</x:v>
      </x:c>
      <x:c r="I1119" s="20"/>
      <x:c r="J1119" s="20" t="str">
        <x:v>未测试</x:v>
      </x:c>
      <x:c r="K1119" s="20"/>
      <x:c r="L1119" s="20"/>
      <x:c r="M1119" s="20"/>
      <x:c r="N1119" s="20"/>
      <x:c r="O1119" s="31"/>
      <x:c r="P1119" s="20"/>
      <x:c r="Q1119" s="20"/>
      <x:c r="R1119" s="20" t="str">
        <x:v>待展开</x:v>
      </x:c>
      <x:c r="S1119" s="20"/>
      <x:c r="T1119" s="31"/>
      <x:c r="U1119" s="30" t="str">
        <x:f>IF(A1119="","缺记录编号",IF(COUNTIFS(PathRecords[记录编号],A1119)&lt;&gt;1,"记录编号重复",IF(OR(B1119="",E1119=""),"缺组合/功能",IF(COUNTIFS(Equipment[组合编号],B1119)&lt;&gt;1,"组合编号无效",IF(COUNTIFS(FunctionMatrix[编号],E1119)=0,"功能编号无效",IF(H1119="不适用",IF(J1119="已实测","适用性冲突",IF(I1119="","待补不适用依据","不适用（非实测）")),IF(J1119="阻塞",IF(I1119="","待补阻塞原因","阻塞（非实测）"),IF(J1119&lt;&gt;"已实测",IF(F1119="","待展开路径","未实测"),IF(H1119&lt;&gt;"适用","待确认适用性",IF(INDEX(Equipment[登记状态（自动）],MATCH(B1119,Equipment[组合编号],0))&lt;&gt;"已登记","待补设备组合",IF(AND(F1119&lt;&gt;"",G1119&lt;&gt;"",K1119&lt;&gt;"",L1119&lt;&gt;"",M1119&lt;&gt;"",N1119&lt;&gt;"",ISNUMBER(O1119),O1119&gt;0,P1119&lt;&gt;""),"记录齐全","待补实测记录")))))))))))</x:f>
        <x:v>待展开路径</x:v>
      </x:c>
    </x:row>
    <x:row r="1120" ht="43.5" customHeight="1">
      <x:c r="A1120" s="20" t="str">
        <x:v>REC-01111</x:v>
      </x:c>
      <x:c r="B1120" s="20" t="str">
        <x:v>P3-B1-01</x:v>
      </x:c>
      <x:c r="C1120" s="30" t="str">
        <x:f>IF(B1120="","",IF(COUNTIFS(Equipment[组合编号],B1120)&lt;&gt;1,"组合编号无效",INDEX(Equipment[PLC组],MATCH(B1120,Equipment[组合编号],0))))</x:f>
        <x:v>欧姆龙</x:v>
      </x:c>
      <x:c r="D1120" s="30" t="str">
        <x:f>IF(B1120="","",IF(COUNTIFS(Equipment[组合编号],B1120)&lt;&gt;1,"组合编号无效",INDEX(Equipment[驱动品牌],MATCH(B1120,Equipment[组合编号],0))))</x:f>
        <x:v>CDHD</x:v>
      </x:c>
      <x:c r="E1120" s="20" t="str">
        <x:v>N03</x:v>
      </x:c>
      <x:c r="F1120" s="20"/>
      <x:c r="G1120" s="20"/>
      <x:c r="H1120" s="20" t="str">
        <x:v>待判定</x:v>
      </x:c>
      <x:c r="I1120" s="20"/>
      <x:c r="J1120" s="20" t="str">
        <x:v>未测试</x:v>
      </x:c>
      <x:c r="K1120" s="20"/>
      <x:c r="L1120" s="20"/>
      <x:c r="M1120" s="20"/>
      <x:c r="N1120" s="20"/>
      <x:c r="O1120" s="31"/>
      <x:c r="P1120" s="20"/>
      <x:c r="Q1120" s="20"/>
      <x:c r="R1120" s="20" t="str">
        <x:v>待展开</x:v>
      </x:c>
      <x:c r="S1120" s="20"/>
      <x:c r="T1120" s="31"/>
      <x:c r="U1120" s="30" t="str">
        <x:f>IF(A1120="","缺记录编号",IF(COUNTIFS(PathRecords[记录编号],A1120)&lt;&gt;1,"记录编号重复",IF(OR(B1120="",E1120=""),"缺组合/功能",IF(COUNTIFS(Equipment[组合编号],B1120)&lt;&gt;1,"组合编号无效",IF(COUNTIFS(FunctionMatrix[编号],E1120)=0,"功能编号无效",IF(H1120="不适用",IF(J1120="已实测","适用性冲突",IF(I1120="","待补不适用依据","不适用（非实测）")),IF(J1120="阻塞",IF(I1120="","待补阻塞原因","阻塞（非实测）"),IF(J1120&lt;&gt;"已实测",IF(F1120="","待展开路径","未实测"),IF(H1120&lt;&gt;"适用","待确认适用性",IF(INDEX(Equipment[登记状态（自动）],MATCH(B1120,Equipment[组合编号],0))&lt;&gt;"已登记","待补设备组合",IF(AND(F1120&lt;&gt;"",G1120&lt;&gt;"",K1120&lt;&gt;"",L1120&lt;&gt;"",M1120&lt;&gt;"",N1120&lt;&gt;"",ISNUMBER(O1120),O1120&gt;0,P1120&lt;&gt;""),"记录齐全","待补实测记录")))))))))))</x:f>
        <x:v>待展开路径</x:v>
      </x:c>
    </x:row>
    <x:row r="1121" ht="43.5" customHeight="1">
      <x:c r="A1121" s="20" t="str">
        <x:v>REC-01112</x:v>
      </x:c>
      <x:c r="B1121" s="20" t="str">
        <x:v>P3-B1-01</x:v>
      </x:c>
      <x:c r="C1121" s="30" t="str">
        <x:f>IF(B1121="","",IF(COUNTIFS(Equipment[组合编号],B1121)&lt;&gt;1,"组合编号无效",INDEX(Equipment[PLC组],MATCH(B1121,Equipment[组合编号],0))))</x:f>
        <x:v>欧姆龙</x:v>
      </x:c>
      <x:c r="D1121" s="30" t="str">
        <x:f>IF(B1121="","",IF(COUNTIFS(Equipment[组合编号],B1121)&lt;&gt;1,"组合编号无效",INDEX(Equipment[驱动品牌],MATCH(B1121,Equipment[组合编号],0))))</x:f>
        <x:v>CDHD</x:v>
      </x:c>
      <x:c r="E1121" s="20" t="str">
        <x:v>N04</x:v>
      </x:c>
      <x:c r="F1121" s="20"/>
      <x:c r="G1121" s="20"/>
      <x:c r="H1121" s="20" t="str">
        <x:v>待判定</x:v>
      </x:c>
      <x:c r="I1121" s="20"/>
      <x:c r="J1121" s="20" t="str">
        <x:v>未测试</x:v>
      </x:c>
      <x:c r="K1121" s="20"/>
      <x:c r="L1121" s="20"/>
      <x:c r="M1121" s="20"/>
      <x:c r="N1121" s="20"/>
      <x:c r="O1121" s="31"/>
      <x:c r="P1121" s="20"/>
      <x:c r="Q1121" s="20"/>
      <x:c r="R1121" s="20" t="str">
        <x:v>待展开</x:v>
      </x:c>
      <x:c r="S1121" s="20"/>
      <x:c r="T1121" s="31"/>
      <x:c r="U1121" s="30" t="str">
        <x:f>IF(A1121="","缺记录编号",IF(COUNTIFS(PathRecords[记录编号],A1121)&lt;&gt;1,"记录编号重复",IF(OR(B1121="",E1121=""),"缺组合/功能",IF(COUNTIFS(Equipment[组合编号],B1121)&lt;&gt;1,"组合编号无效",IF(COUNTIFS(FunctionMatrix[编号],E1121)=0,"功能编号无效",IF(H1121="不适用",IF(J1121="已实测","适用性冲突",IF(I1121="","待补不适用依据","不适用（非实测）")),IF(J1121="阻塞",IF(I1121="","待补阻塞原因","阻塞（非实测）"),IF(J1121&lt;&gt;"已实测",IF(F1121="","待展开路径","未实测"),IF(H1121&lt;&gt;"适用","待确认适用性",IF(INDEX(Equipment[登记状态（自动）],MATCH(B1121,Equipment[组合编号],0))&lt;&gt;"已登记","待补设备组合",IF(AND(F1121&lt;&gt;"",G1121&lt;&gt;"",K1121&lt;&gt;"",L1121&lt;&gt;"",M1121&lt;&gt;"",N1121&lt;&gt;"",ISNUMBER(O1121),O1121&gt;0,P1121&lt;&gt;""),"记录齐全","待补实测记录")))))))))))</x:f>
        <x:v>待展开路径</x:v>
      </x:c>
    </x:row>
    <x:row r="1122" ht="43.5" customHeight="1">
      <x:c r="A1122" s="20" t="str">
        <x:v>REC-01113</x:v>
      </x:c>
      <x:c r="B1122" s="20" t="str">
        <x:v>P3-B1-01</x:v>
      </x:c>
      <x:c r="C1122" s="30" t="str">
        <x:f>IF(B1122="","",IF(COUNTIFS(Equipment[组合编号],B1122)&lt;&gt;1,"组合编号无效",INDEX(Equipment[PLC组],MATCH(B1122,Equipment[组合编号],0))))</x:f>
        <x:v>欧姆龙</x:v>
      </x:c>
      <x:c r="D1122" s="30" t="str">
        <x:f>IF(B1122="","",IF(COUNTIFS(Equipment[组合编号],B1122)&lt;&gt;1,"组合编号无效",INDEX(Equipment[驱动品牌],MATCH(B1122,Equipment[组合编号],0))))</x:f>
        <x:v>CDHD</x:v>
      </x:c>
      <x:c r="E1122" s="20" t="str">
        <x:v>N05</x:v>
      </x:c>
      <x:c r="F1122" s="20"/>
      <x:c r="G1122" s="20"/>
      <x:c r="H1122" s="20" t="str">
        <x:v>待判定</x:v>
      </x:c>
      <x:c r="I1122" s="20"/>
      <x:c r="J1122" s="20" t="str">
        <x:v>未测试</x:v>
      </x:c>
      <x:c r="K1122" s="20"/>
      <x:c r="L1122" s="20"/>
      <x:c r="M1122" s="20"/>
      <x:c r="N1122" s="20"/>
      <x:c r="O1122" s="31"/>
      <x:c r="P1122" s="20"/>
      <x:c r="Q1122" s="20"/>
      <x:c r="R1122" s="20" t="str">
        <x:v>待展开</x:v>
      </x:c>
      <x:c r="S1122" s="20"/>
      <x:c r="T1122" s="31"/>
      <x:c r="U1122" s="30" t="str">
        <x:f>IF(A1122="","缺记录编号",IF(COUNTIFS(PathRecords[记录编号],A1122)&lt;&gt;1,"记录编号重复",IF(OR(B1122="",E1122=""),"缺组合/功能",IF(COUNTIFS(Equipment[组合编号],B1122)&lt;&gt;1,"组合编号无效",IF(COUNTIFS(FunctionMatrix[编号],E1122)=0,"功能编号无效",IF(H1122="不适用",IF(J1122="已实测","适用性冲突",IF(I1122="","待补不适用依据","不适用（非实测）")),IF(J1122="阻塞",IF(I1122="","待补阻塞原因","阻塞（非实测）"),IF(J1122&lt;&gt;"已实测",IF(F1122="","待展开路径","未实测"),IF(H1122&lt;&gt;"适用","待确认适用性",IF(INDEX(Equipment[登记状态（自动）],MATCH(B1122,Equipment[组合编号],0))&lt;&gt;"已登记","待补设备组合",IF(AND(F1122&lt;&gt;"",G1122&lt;&gt;"",K1122&lt;&gt;"",L1122&lt;&gt;"",M1122&lt;&gt;"",N1122&lt;&gt;"",ISNUMBER(O1122),O1122&gt;0,P1122&lt;&gt;""),"记录齐全","待补实测记录")))))))))))</x:f>
        <x:v>待展开路径</x:v>
      </x:c>
    </x:row>
    <x:row r="1123" ht="43.5" customHeight="1">
      <x:c r="A1123" s="20" t="str">
        <x:v>REC-01114</x:v>
      </x:c>
      <x:c r="B1123" s="20" t="str">
        <x:v>P3-B1-01</x:v>
      </x:c>
      <x:c r="C1123" s="30" t="str">
        <x:f>IF(B1123="","",IF(COUNTIFS(Equipment[组合编号],B1123)&lt;&gt;1,"组合编号无效",INDEX(Equipment[PLC组],MATCH(B1123,Equipment[组合编号],0))))</x:f>
        <x:v>欧姆龙</x:v>
      </x:c>
      <x:c r="D1123" s="30" t="str">
        <x:f>IF(B1123="","",IF(COUNTIFS(Equipment[组合编号],B1123)&lt;&gt;1,"组合编号无效",INDEX(Equipment[驱动品牌],MATCH(B1123,Equipment[组合编号],0))))</x:f>
        <x:v>CDHD</x:v>
      </x:c>
      <x:c r="E1123" s="20" t="str">
        <x:v>N06</x:v>
      </x:c>
      <x:c r="F1123" s="20"/>
      <x:c r="G1123" s="20"/>
      <x:c r="H1123" s="20" t="str">
        <x:v>待判定</x:v>
      </x:c>
      <x:c r="I1123" s="20"/>
      <x:c r="J1123" s="20" t="str">
        <x:v>未测试</x:v>
      </x:c>
      <x:c r="K1123" s="20"/>
      <x:c r="L1123" s="20"/>
      <x:c r="M1123" s="20"/>
      <x:c r="N1123" s="20"/>
      <x:c r="O1123" s="31"/>
      <x:c r="P1123" s="20"/>
      <x:c r="Q1123" s="20"/>
      <x:c r="R1123" s="20" t="str">
        <x:v>待展开</x:v>
      </x:c>
      <x:c r="S1123" s="20"/>
      <x:c r="T1123" s="31"/>
      <x:c r="U1123" s="30" t="str">
        <x:f>IF(A1123="","缺记录编号",IF(COUNTIFS(PathRecords[记录编号],A1123)&lt;&gt;1,"记录编号重复",IF(OR(B1123="",E1123=""),"缺组合/功能",IF(COUNTIFS(Equipment[组合编号],B1123)&lt;&gt;1,"组合编号无效",IF(COUNTIFS(FunctionMatrix[编号],E1123)=0,"功能编号无效",IF(H1123="不适用",IF(J1123="已实测","适用性冲突",IF(I1123="","待补不适用依据","不适用（非实测）")),IF(J1123="阻塞",IF(I1123="","待补阻塞原因","阻塞（非实测）"),IF(J1123&lt;&gt;"已实测",IF(F1123="","待展开路径","未实测"),IF(H1123&lt;&gt;"适用","待确认适用性",IF(INDEX(Equipment[登记状态（自动）],MATCH(B1123,Equipment[组合编号],0))&lt;&gt;"已登记","待补设备组合",IF(AND(F1123&lt;&gt;"",G1123&lt;&gt;"",K1123&lt;&gt;"",L1123&lt;&gt;"",M1123&lt;&gt;"",N1123&lt;&gt;"",ISNUMBER(O1123),O1123&gt;0,P1123&lt;&gt;""),"记录齐全","待补实测记录")))))))))))</x:f>
        <x:v>待展开路径</x:v>
      </x:c>
    </x:row>
    <x:row r="1124" ht="43.5" customHeight="1">
      <x:c r="A1124" s="20" t="str">
        <x:v>REC-01115</x:v>
      </x:c>
      <x:c r="B1124" s="20" t="str">
        <x:v>P3-B1-01</x:v>
      </x:c>
      <x:c r="C1124" s="30" t="str">
        <x:f>IF(B1124="","",IF(COUNTIFS(Equipment[组合编号],B1124)&lt;&gt;1,"组合编号无效",INDEX(Equipment[PLC组],MATCH(B1124,Equipment[组合编号],0))))</x:f>
        <x:v>欧姆龙</x:v>
      </x:c>
      <x:c r="D1124" s="30" t="str">
        <x:f>IF(B1124="","",IF(COUNTIFS(Equipment[组合编号],B1124)&lt;&gt;1,"组合编号无效",INDEX(Equipment[驱动品牌],MATCH(B1124,Equipment[组合编号],0))))</x:f>
        <x:v>CDHD</x:v>
      </x:c>
      <x:c r="E1124" s="20" t="str">
        <x:v>N07</x:v>
      </x:c>
      <x:c r="F1124" s="20"/>
      <x:c r="G1124" s="20"/>
      <x:c r="H1124" s="20" t="str">
        <x:v>待判定</x:v>
      </x:c>
      <x:c r="I1124" s="20"/>
      <x:c r="J1124" s="20" t="str">
        <x:v>未测试</x:v>
      </x:c>
      <x:c r="K1124" s="20"/>
      <x:c r="L1124" s="20"/>
      <x:c r="M1124" s="20"/>
      <x:c r="N1124" s="20"/>
      <x:c r="O1124" s="31"/>
      <x:c r="P1124" s="20"/>
      <x:c r="Q1124" s="20"/>
      <x:c r="R1124" s="20" t="str">
        <x:v>待展开</x:v>
      </x:c>
      <x:c r="S1124" s="20"/>
      <x:c r="T1124" s="31"/>
      <x:c r="U1124" s="30" t="str">
        <x:f>IF(A1124="","缺记录编号",IF(COUNTIFS(PathRecords[记录编号],A1124)&lt;&gt;1,"记录编号重复",IF(OR(B1124="",E1124=""),"缺组合/功能",IF(COUNTIFS(Equipment[组合编号],B1124)&lt;&gt;1,"组合编号无效",IF(COUNTIFS(FunctionMatrix[编号],E1124)=0,"功能编号无效",IF(H1124="不适用",IF(J1124="已实测","适用性冲突",IF(I1124="","待补不适用依据","不适用（非实测）")),IF(J1124="阻塞",IF(I1124="","待补阻塞原因","阻塞（非实测）"),IF(J1124&lt;&gt;"已实测",IF(F1124="","待展开路径","未实测"),IF(H1124&lt;&gt;"适用","待确认适用性",IF(INDEX(Equipment[登记状态（自动）],MATCH(B1124,Equipment[组合编号],0))&lt;&gt;"已登记","待补设备组合",IF(AND(F1124&lt;&gt;"",G1124&lt;&gt;"",K1124&lt;&gt;"",L1124&lt;&gt;"",M1124&lt;&gt;"",N1124&lt;&gt;"",ISNUMBER(O1124),O1124&gt;0,P1124&lt;&gt;""),"记录齐全","待补实测记录")))))))))))</x:f>
        <x:v>待展开路径</x:v>
      </x:c>
    </x:row>
    <x:row r="1125" ht="43.5" customHeight="1">
      <x:c r="A1125" s="20" t="str">
        <x:v>REC-01116</x:v>
      </x:c>
      <x:c r="B1125" s="20" t="str">
        <x:v>P3-B1-01</x:v>
      </x:c>
      <x:c r="C1125" s="30" t="str">
        <x:f>IF(B1125="","",IF(COUNTIFS(Equipment[组合编号],B1125)&lt;&gt;1,"组合编号无效",INDEX(Equipment[PLC组],MATCH(B1125,Equipment[组合编号],0))))</x:f>
        <x:v>欧姆龙</x:v>
      </x:c>
      <x:c r="D1125" s="30" t="str">
        <x:f>IF(B1125="","",IF(COUNTIFS(Equipment[组合编号],B1125)&lt;&gt;1,"组合编号无效",INDEX(Equipment[驱动品牌],MATCH(B1125,Equipment[组合编号],0))))</x:f>
        <x:v>CDHD</x:v>
      </x:c>
      <x:c r="E1125" s="20" t="str">
        <x:v>N08</x:v>
      </x:c>
      <x:c r="F1125" s="20"/>
      <x:c r="G1125" s="20"/>
      <x:c r="H1125" s="20" t="str">
        <x:v>待判定</x:v>
      </x:c>
      <x:c r="I1125" s="20"/>
      <x:c r="J1125" s="20" t="str">
        <x:v>未测试</x:v>
      </x:c>
      <x:c r="K1125" s="20"/>
      <x:c r="L1125" s="20"/>
      <x:c r="M1125" s="20"/>
      <x:c r="N1125" s="20"/>
      <x:c r="O1125" s="31"/>
      <x:c r="P1125" s="20"/>
      <x:c r="Q1125" s="20"/>
      <x:c r="R1125" s="20" t="str">
        <x:v>待展开</x:v>
      </x:c>
      <x:c r="S1125" s="20"/>
      <x:c r="T1125" s="31"/>
      <x:c r="U1125" s="30" t="str">
        <x:f>IF(A1125="","缺记录编号",IF(COUNTIFS(PathRecords[记录编号],A1125)&lt;&gt;1,"记录编号重复",IF(OR(B1125="",E1125=""),"缺组合/功能",IF(COUNTIFS(Equipment[组合编号],B1125)&lt;&gt;1,"组合编号无效",IF(COUNTIFS(FunctionMatrix[编号],E1125)=0,"功能编号无效",IF(H1125="不适用",IF(J1125="已实测","适用性冲突",IF(I1125="","待补不适用依据","不适用（非实测）")),IF(J1125="阻塞",IF(I1125="","待补阻塞原因","阻塞（非实测）"),IF(J1125&lt;&gt;"已实测",IF(F1125="","待展开路径","未实测"),IF(H1125&lt;&gt;"适用","待确认适用性",IF(INDEX(Equipment[登记状态（自动）],MATCH(B1125,Equipment[组合编号],0))&lt;&gt;"已登记","待补设备组合",IF(AND(F1125&lt;&gt;"",G1125&lt;&gt;"",K1125&lt;&gt;"",L1125&lt;&gt;"",M1125&lt;&gt;"",N1125&lt;&gt;"",ISNUMBER(O1125),O1125&gt;0,P1125&lt;&gt;""),"记录齐全","待补实测记录")))))))))))</x:f>
        <x:v>待展开路径</x:v>
      </x:c>
    </x:row>
    <x:row r="1126" ht="43.5" customHeight="1">
      <x:c r="A1126" s="20" t="str">
        <x:v>REC-01117</x:v>
      </x:c>
      <x:c r="B1126" s="20" t="str">
        <x:v>P3-B1-01</x:v>
      </x:c>
      <x:c r="C1126" s="30" t="str">
        <x:f>IF(B1126="","",IF(COUNTIFS(Equipment[组合编号],B1126)&lt;&gt;1,"组合编号无效",INDEX(Equipment[PLC组],MATCH(B1126,Equipment[组合编号],0))))</x:f>
        <x:v>欧姆龙</x:v>
      </x:c>
      <x:c r="D1126" s="30" t="str">
        <x:f>IF(B1126="","",IF(COUNTIFS(Equipment[组合编号],B1126)&lt;&gt;1,"组合编号无效",INDEX(Equipment[驱动品牌],MATCH(B1126,Equipment[组合编号],0))))</x:f>
        <x:v>CDHD</x:v>
      </x:c>
      <x:c r="E1126" s="20" t="str">
        <x:v>N09</x:v>
      </x:c>
      <x:c r="F1126" s="20"/>
      <x:c r="G1126" s="20"/>
      <x:c r="H1126" s="20" t="str">
        <x:v>待判定</x:v>
      </x:c>
      <x:c r="I1126" s="20"/>
      <x:c r="J1126" s="20" t="str">
        <x:v>未测试</x:v>
      </x:c>
      <x:c r="K1126" s="20"/>
      <x:c r="L1126" s="20"/>
      <x:c r="M1126" s="20"/>
      <x:c r="N1126" s="20"/>
      <x:c r="O1126" s="31"/>
      <x:c r="P1126" s="20"/>
      <x:c r="Q1126" s="20"/>
      <x:c r="R1126" s="20" t="str">
        <x:v>待展开</x:v>
      </x:c>
      <x:c r="S1126" s="20"/>
      <x:c r="T1126" s="31"/>
      <x:c r="U1126" s="30" t="str">
        <x:f>IF(A1126="","缺记录编号",IF(COUNTIFS(PathRecords[记录编号],A1126)&lt;&gt;1,"记录编号重复",IF(OR(B1126="",E1126=""),"缺组合/功能",IF(COUNTIFS(Equipment[组合编号],B1126)&lt;&gt;1,"组合编号无效",IF(COUNTIFS(FunctionMatrix[编号],E1126)=0,"功能编号无效",IF(H1126="不适用",IF(J1126="已实测","适用性冲突",IF(I1126="","待补不适用依据","不适用（非实测）")),IF(J1126="阻塞",IF(I1126="","待补阻塞原因","阻塞（非实测）"),IF(J1126&lt;&gt;"已实测",IF(F1126="","待展开路径","未实测"),IF(H1126&lt;&gt;"适用","待确认适用性",IF(INDEX(Equipment[登记状态（自动）],MATCH(B1126,Equipment[组合编号],0))&lt;&gt;"已登记","待补设备组合",IF(AND(F1126&lt;&gt;"",G1126&lt;&gt;"",K1126&lt;&gt;"",L1126&lt;&gt;"",M1126&lt;&gt;"",N1126&lt;&gt;"",ISNUMBER(O1126),O1126&gt;0,P1126&lt;&gt;""),"记录齐全","待补实测记录")))))))))))</x:f>
        <x:v>待展开路径</x:v>
      </x:c>
    </x:row>
    <x:row r="1127" ht="43.5" customHeight="1">
      <x:c r="A1127" s="20" t="str">
        <x:v>REC-01118</x:v>
      </x:c>
      <x:c r="B1127" s="20" t="str">
        <x:v>P3-B1-01</x:v>
      </x:c>
      <x:c r="C1127" s="30" t="str">
        <x:f>IF(B1127="","",IF(COUNTIFS(Equipment[组合编号],B1127)&lt;&gt;1,"组合编号无效",INDEX(Equipment[PLC组],MATCH(B1127,Equipment[组合编号],0))))</x:f>
        <x:v>欧姆龙</x:v>
      </x:c>
      <x:c r="D1127" s="30" t="str">
        <x:f>IF(B1127="","",IF(COUNTIFS(Equipment[组合编号],B1127)&lt;&gt;1,"组合编号无效",INDEX(Equipment[驱动品牌],MATCH(B1127,Equipment[组合编号],0))))</x:f>
        <x:v>CDHD</x:v>
      </x:c>
      <x:c r="E1127" s="20" t="str">
        <x:v>N10</x:v>
      </x:c>
      <x:c r="F1127" s="20"/>
      <x:c r="G1127" s="20"/>
      <x:c r="H1127" s="20" t="str">
        <x:v>待判定</x:v>
      </x:c>
      <x:c r="I1127" s="20"/>
      <x:c r="J1127" s="20" t="str">
        <x:v>未测试</x:v>
      </x:c>
      <x:c r="K1127" s="20"/>
      <x:c r="L1127" s="20"/>
      <x:c r="M1127" s="20"/>
      <x:c r="N1127" s="20"/>
      <x:c r="O1127" s="31"/>
      <x:c r="P1127" s="20"/>
      <x:c r="Q1127" s="20"/>
      <x:c r="R1127" s="20" t="str">
        <x:v>待展开</x:v>
      </x:c>
      <x:c r="S1127" s="20"/>
      <x:c r="T1127" s="31"/>
      <x:c r="U1127" s="30" t="str">
        <x:f>IF(A1127="","缺记录编号",IF(COUNTIFS(PathRecords[记录编号],A1127)&lt;&gt;1,"记录编号重复",IF(OR(B1127="",E1127=""),"缺组合/功能",IF(COUNTIFS(Equipment[组合编号],B1127)&lt;&gt;1,"组合编号无效",IF(COUNTIFS(FunctionMatrix[编号],E1127)=0,"功能编号无效",IF(H1127="不适用",IF(J1127="已实测","适用性冲突",IF(I1127="","待补不适用依据","不适用（非实测）")),IF(J1127="阻塞",IF(I1127="","待补阻塞原因","阻塞（非实测）"),IF(J1127&lt;&gt;"已实测",IF(F1127="","待展开路径","未实测"),IF(H1127&lt;&gt;"适用","待确认适用性",IF(INDEX(Equipment[登记状态（自动）],MATCH(B1127,Equipment[组合编号],0))&lt;&gt;"已登记","待补设备组合",IF(AND(F1127&lt;&gt;"",G1127&lt;&gt;"",K1127&lt;&gt;"",L1127&lt;&gt;"",M1127&lt;&gt;"",N1127&lt;&gt;"",ISNUMBER(O1127),O1127&gt;0,P1127&lt;&gt;""),"记录齐全","待补实测记录")))))))))))</x:f>
        <x:v>待展开路径</x:v>
      </x:c>
    </x:row>
    <x:row r="1128" ht="43.5" customHeight="1">
      <x:c r="A1128" s="20" t="str">
        <x:v>REC-01119</x:v>
      </x:c>
      <x:c r="B1128" s="20" t="str">
        <x:v>P3-B1-01</x:v>
      </x:c>
      <x:c r="C1128" s="30" t="str">
        <x:f>IF(B1128="","",IF(COUNTIFS(Equipment[组合编号],B1128)&lt;&gt;1,"组合编号无效",INDEX(Equipment[PLC组],MATCH(B1128,Equipment[组合编号],0))))</x:f>
        <x:v>欧姆龙</x:v>
      </x:c>
      <x:c r="D1128" s="30" t="str">
        <x:f>IF(B1128="","",IF(COUNTIFS(Equipment[组合编号],B1128)&lt;&gt;1,"组合编号无效",INDEX(Equipment[驱动品牌],MATCH(B1128,Equipment[组合编号],0))))</x:f>
        <x:v>CDHD</x:v>
      </x:c>
      <x:c r="E1128" s="20" t="str">
        <x:v>N11</x:v>
      </x:c>
      <x:c r="F1128" s="20"/>
      <x:c r="G1128" s="20"/>
      <x:c r="H1128" s="20" t="str">
        <x:v>待判定</x:v>
      </x:c>
      <x:c r="I1128" s="20"/>
      <x:c r="J1128" s="20" t="str">
        <x:v>未测试</x:v>
      </x:c>
      <x:c r="K1128" s="20"/>
      <x:c r="L1128" s="20"/>
      <x:c r="M1128" s="20"/>
      <x:c r="N1128" s="20"/>
      <x:c r="O1128" s="31"/>
      <x:c r="P1128" s="20"/>
      <x:c r="Q1128" s="20"/>
      <x:c r="R1128" s="20" t="str">
        <x:v>待展开</x:v>
      </x:c>
      <x:c r="S1128" s="20"/>
      <x:c r="T1128" s="31"/>
      <x:c r="U1128" s="30" t="str">
        <x:f>IF(A1128="","缺记录编号",IF(COUNTIFS(PathRecords[记录编号],A1128)&lt;&gt;1,"记录编号重复",IF(OR(B1128="",E1128=""),"缺组合/功能",IF(COUNTIFS(Equipment[组合编号],B1128)&lt;&gt;1,"组合编号无效",IF(COUNTIFS(FunctionMatrix[编号],E1128)=0,"功能编号无效",IF(H1128="不适用",IF(J1128="已实测","适用性冲突",IF(I1128="","待补不适用依据","不适用（非实测）")),IF(J1128="阻塞",IF(I1128="","待补阻塞原因","阻塞（非实测）"),IF(J1128&lt;&gt;"已实测",IF(F1128="","待展开路径","未实测"),IF(H1128&lt;&gt;"适用","待确认适用性",IF(INDEX(Equipment[登记状态（自动）],MATCH(B1128,Equipment[组合编号],0))&lt;&gt;"已登记","待补设备组合",IF(AND(F1128&lt;&gt;"",G1128&lt;&gt;"",K1128&lt;&gt;"",L1128&lt;&gt;"",M1128&lt;&gt;"",N1128&lt;&gt;"",ISNUMBER(O1128),O1128&gt;0,P1128&lt;&gt;""),"记录齐全","待补实测记录")))))))))))</x:f>
        <x:v>待展开路径</x:v>
      </x:c>
    </x:row>
    <x:row r="1129" ht="43.5" customHeight="1">
      <x:c r="A1129" s="20" t="str">
        <x:v>REC-01120</x:v>
      </x:c>
      <x:c r="B1129" s="20" t="str">
        <x:v>P3-B1-01</x:v>
      </x:c>
      <x:c r="C1129" s="30" t="str">
        <x:f>IF(B1129="","",IF(COUNTIFS(Equipment[组合编号],B1129)&lt;&gt;1,"组合编号无效",INDEX(Equipment[PLC组],MATCH(B1129,Equipment[组合编号],0))))</x:f>
        <x:v>欧姆龙</x:v>
      </x:c>
      <x:c r="D1129" s="30" t="str">
        <x:f>IF(B1129="","",IF(COUNTIFS(Equipment[组合编号],B1129)&lt;&gt;1,"组合编号无效",INDEX(Equipment[驱动品牌],MATCH(B1129,Equipment[组合编号],0))))</x:f>
        <x:v>CDHD</x:v>
      </x:c>
      <x:c r="E1129" s="20" t="str">
        <x:v>N12</x:v>
      </x:c>
      <x:c r="F1129" s="20"/>
      <x:c r="G1129" s="20"/>
      <x:c r="H1129" s="20" t="str">
        <x:v>待判定</x:v>
      </x:c>
      <x:c r="I1129" s="20"/>
      <x:c r="J1129" s="20" t="str">
        <x:v>未测试</x:v>
      </x:c>
      <x:c r="K1129" s="20"/>
      <x:c r="L1129" s="20"/>
      <x:c r="M1129" s="20"/>
      <x:c r="N1129" s="20"/>
      <x:c r="O1129" s="31"/>
      <x:c r="P1129" s="20"/>
      <x:c r="Q1129" s="20"/>
      <x:c r="R1129" s="20" t="str">
        <x:v>待展开</x:v>
      </x:c>
      <x:c r="S1129" s="20"/>
      <x:c r="T1129" s="31"/>
      <x:c r="U1129" s="30" t="str">
        <x:f>IF(A1129="","缺记录编号",IF(COUNTIFS(PathRecords[记录编号],A1129)&lt;&gt;1,"记录编号重复",IF(OR(B1129="",E1129=""),"缺组合/功能",IF(COUNTIFS(Equipment[组合编号],B1129)&lt;&gt;1,"组合编号无效",IF(COUNTIFS(FunctionMatrix[编号],E1129)=0,"功能编号无效",IF(H1129="不适用",IF(J1129="已实测","适用性冲突",IF(I1129="","待补不适用依据","不适用（非实测）")),IF(J1129="阻塞",IF(I1129="","待补阻塞原因","阻塞（非实测）"),IF(J1129&lt;&gt;"已实测",IF(F1129="","待展开路径","未实测"),IF(H1129&lt;&gt;"适用","待确认适用性",IF(INDEX(Equipment[登记状态（自动）],MATCH(B1129,Equipment[组合编号],0))&lt;&gt;"已登记","待补设备组合",IF(AND(F1129&lt;&gt;"",G1129&lt;&gt;"",K1129&lt;&gt;"",L1129&lt;&gt;"",M1129&lt;&gt;"",N1129&lt;&gt;"",ISNUMBER(O1129),O1129&gt;0,P1129&lt;&gt;""),"记录齐全","待补实测记录")))))))))))</x:f>
        <x:v>待展开路径</x:v>
      </x:c>
    </x:row>
    <x:row r="1130" ht="43.5" customHeight="1">
      <x:c r="A1130" s="20" t="str">
        <x:v>REC-01121</x:v>
      </x:c>
      <x:c r="B1130" s="20" t="str">
        <x:v>P3-B1-01</x:v>
      </x:c>
      <x:c r="C1130" s="30" t="str">
        <x:f>IF(B1130="","",IF(COUNTIFS(Equipment[组合编号],B1130)&lt;&gt;1,"组合编号无效",INDEX(Equipment[PLC组],MATCH(B1130,Equipment[组合编号],0))))</x:f>
        <x:v>欧姆龙</x:v>
      </x:c>
      <x:c r="D1130" s="30" t="str">
        <x:f>IF(B1130="","",IF(COUNTIFS(Equipment[组合编号],B1130)&lt;&gt;1,"组合编号无效",INDEX(Equipment[驱动品牌],MATCH(B1130,Equipment[组合编号],0))))</x:f>
        <x:v>CDHD</x:v>
      </x:c>
      <x:c r="E1130" s="20" t="str">
        <x:v>P01</x:v>
      </x:c>
      <x:c r="F1130" s="20"/>
      <x:c r="G1130" s="20"/>
      <x:c r="H1130" s="20" t="str">
        <x:v>待判定</x:v>
      </x:c>
      <x:c r="I1130" s="20"/>
      <x:c r="J1130" s="20" t="str">
        <x:v>未测试</x:v>
      </x:c>
      <x:c r="K1130" s="20"/>
      <x:c r="L1130" s="20"/>
      <x:c r="M1130" s="20"/>
      <x:c r="N1130" s="20"/>
      <x:c r="O1130" s="31"/>
      <x:c r="P1130" s="20"/>
      <x:c r="Q1130" s="20"/>
      <x:c r="R1130" s="20" t="str">
        <x:v>待展开</x:v>
      </x:c>
      <x:c r="S1130" s="20"/>
      <x:c r="T1130" s="31"/>
      <x:c r="U1130" s="30" t="str">
        <x:f>IF(A1130="","缺记录编号",IF(COUNTIFS(PathRecords[记录编号],A1130)&lt;&gt;1,"记录编号重复",IF(OR(B1130="",E1130=""),"缺组合/功能",IF(COUNTIFS(Equipment[组合编号],B1130)&lt;&gt;1,"组合编号无效",IF(COUNTIFS(FunctionMatrix[编号],E1130)=0,"功能编号无效",IF(H1130="不适用",IF(J1130="已实测","适用性冲突",IF(I1130="","待补不适用依据","不适用（非实测）")),IF(J1130="阻塞",IF(I1130="","待补阻塞原因","阻塞（非实测）"),IF(J1130&lt;&gt;"已实测",IF(F1130="","待展开路径","未实测"),IF(H1130&lt;&gt;"适用","待确认适用性",IF(INDEX(Equipment[登记状态（自动）],MATCH(B1130,Equipment[组合编号],0))&lt;&gt;"已登记","待补设备组合",IF(AND(F1130&lt;&gt;"",G1130&lt;&gt;"",K1130&lt;&gt;"",L1130&lt;&gt;"",M1130&lt;&gt;"",N1130&lt;&gt;"",ISNUMBER(O1130),O1130&gt;0,P1130&lt;&gt;""),"记录齐全","待补实测记录")))))))))))</x:f>
        <x:v>待展开路径</x:v>
      </x:c>
    </x:row>
    <x:row r="1131" ht="43.5" customHeight="1">
      <x:c r="A1131" s="20" t="str">
        <x:v>REC-01122</x:v>
      </x:c>
      <x:c r="B1131" s="20" t="str">
        <x:v>P3-B1-01</x:v>
      </x:c>
      <x:c r="C1131" s="30" t="str">
        <x:f>IF(B1131="","",IF(COUNTIFS(Equipment[组合编号],B1131)&lt;&gt;1,"组合编号无效",INDEX(Equipment[PLC组],MATCH(B1131,Equipment[组合编号],0))))</x:f>
        <x:v>欧姆龙</x:v>
      </x:c>
      <x:c r="D1131" s="30" t="str">
        <x:f>IF(B1131="","",IF(COUNTIFS(Equipment[组合编号],B1131)&lt;&gt;1,"组合编号无效",INDEX(Equipment[驱动品牌],MATCH(B1131,Equipment[组合编号],0))))</x:f>
        <x:v>CDHD</x:v>
      </x:c>
      <x:c r="E1131" s="20" t="str">
        <x:v>P02</x:v>
      </x:c>
      <x:c r="F1131" s="20"/>
      <x:c r="G1131" s="20"/>
      <x:c r="H1131" s="20" t="str">
        <x:v>待判定</x:v>
      </x:c>
      <x:c r="I1131" s="20"/>
      <x:c r="J1131" s="20" t="str">
        <x:v>未测试</x:v>
      </x:c>
      <x:c r="K1131" s="20"/>
      <x:c r="L1131" s="20"/>
      <x:c r="M1131" s="20"/>
      <x:c r="N1131" s="20"/>
      <x:c r="O1131" s="31"/>
      <x:c r="P1131" s="20"/>
      <x:c r="Q1131" s="20"/>
      <x:c r="R1131" s="20" t="str">
        <x:v>待展开</x:v>
      </x:c>
      <x:c r="S1131" s="20"/>
      <x:c r="T1131" s="31"/>
      <x:c r="U1131" s="30" t="str">
        <x:f>IF(A1131="","缺记录编号",IF(COUNTIFS(PathRecords[记录编号],A1131)&lt;&gt;1,"记录编号重复",IF(OR(B1131="",E1131=""),"缺组合/功能",IF(COUNTIFS(Equipment[组合编号],B1131)&lt;&gt;1,"组合编号无效",IF(COUNTIFS(FunctionMatrix[编号],E1131)=0,"功能编号无效",IF(H1131="不适用",IF(J1131="已实测","适用性冲突",IF(I1131="","待补不适用依据","不适用（非实测）")),IF(J1131="阻塞",IF(I1131="","待补阻塞原因","阻塞（非实测）"),IF(J1131&lt;&gt;"已实测",IF(F1131="","待展开路径","未实测"),IF(H1131&lt;&gt;"适用","待确认适用性",IF(INDEX(Equipment[登记状态（自动）],MATCH(B1131,Equipment[组合编号],0))&lt;&gt;"已登记","待补设备组合",IF(AND(F1131&lt;&gt;"",G1131&lt;&gt;"",K1131&lt;&gt;"",L1131&lt;&gt;"",M1131&lt;&gt;"",N1131&lt;&gt;"",ISNUMBER(O1131),O1131&gt;0,P1131&lt;&gt;""),"记录齐全","待补实测记录")))))))))))</x:f>
        <x:v>待展开路径</x:v>
      </x:c>
    </x:row>
    <x:row r="1132" ht="43.5" customHeight="1">
      <x:c r="A1132" s="20" t="str">
        <x:v>REC-01123</x:v>
      </x:c>
      <x:c r="B1132" s="20" t="str">
        <x:v>P3-B1-01</x:v>
      </x:c>
      <x:c r="C1132" s="30" t="str">
        <x:f>IF(B1132="","",IF(COUNTIFS(Equipment[组合编号],B1132)&lt;&gt;1,"组合编号无效",INDEX(Equipment[PLC组],MATCH(B1132,Equipment[组合编号],0))))</x:f>
        <x:v>欧姆龙</x:v>
      </x:c>
      <x:c r="D1132" s="30" t="str">
        <x:f>IF(B1132="","",IF(COUNTIFS(Equipment[组合编号],B1132)&lt;&gt;1,"组合编号无效",INDEX(Equipment[驱动品牌],MATCH(B1132,Equipment[组合编号],0))))</x:f>
        <x:v>CDHD</x:v>
      </x:c>
      <x:c r="E1132" s="20" t="str">
        <x:v>P03</x:v>
      </x:c>
      <x:c r="F1132" s="20"/>
      <x:c r="G1132" s="20"/>
      <x:c r="H1132" s="20" t="str">
        <x:v>待判定</x:v>
      </x:c>
      <x:c r="I1132" s="20"/>
      <x:c r="J1132" s="20" t="str">
        <x:v>未测试</x:v>
      </x:c>
      <x:c r="K1132" s="20"/>
      <x:c r="L1132" s="20"/>
      <x:c r="M1132" s="20"/>
      <x:c r="N1132" s="20"/>
      <x:c r="O1132" s="31"/>
      <x:c r="P1132" s="20"/>
      <x:c r="Q1132" s="20"/>
      <x:c r="R1132" s="20" t="str">
        <x:v>待展开</x:v>
      </x:c>
      <x:c r="S1132" s="20"/>
      <x:c r="T1132" s="31"/>
      <x:c r="U1132" s="30" t="str">
        <x:f>IF(A1132="","缺记录编号",IF(COUNTIFS(PathRecords[记录编号],A1132)&lt;&gt;1,"记录编号重复",IF(OR(B1132="",E1132=""),"缺组合/功能",IF(COUNTIFS(Equipment[组合编号],B1132)&lt;&gt;1,"组合编号无效",IF(COUNTIFS(FunctionMatrix[编号],E1132)=0,"功能编号无效",IF(H1132="不适用",IF(J1132="已实测","适用性冲突",IF(I1132="","待补不适用依据","不适用（非实测）")),IF(J1132="阻塞",IF(I1132="","待补阻塞原因","阻塞（非实测）"),IF(J1132&lt;&gt;"已实测",IF(F1132="","待展开路径","未实测"),IF(H1132&lt;&gt;"适用","待确认适用性",IF(INDEX(Equipment[登记状态（自动）],MATCH(B1132,Equipment[组合编号],0))&lt;&gt;"已登记","待补设备组合",IF(AND(F1132&lt;&gt;"",G1132&lt;&gt;"",K1132&lt;&gt;"",L1132&lt;&gt;"",M1132&lt;&gt;"",N1132&lt;&gt;"",ISNUMBER(O1132),O1132&gt;0,P1132&lt;&gt;""),"记录齐全","待补实测记录")))))))))))</x:f>
        <x:v>待展开路径</x:v>
      </x:c>
    </x:row>
    <x:row r="1133" ht="43.5" customHeight="1">
      <x:c r="A1133" s="20" t="str">
        <x:v>REC-01124</x:v>
      </x:c>
      <x:c r="B1133" s="20" t="str">
        <x:v>P3-B1-01</x:v>
      </x:c>
      <x:c r="C1133" s="30" t="str">
        <x:f>IF(B1133="","",IF(COUNTIFS(Equipment[组合编号],B1133)&lt;&gt;1,"组合编号无效",INDEX(Equipment[PLC组],MATCH(B1133,Equipment[组合编号],0))))</x:f>
        <x:v>欧姆龙</x:v>
      </x:c>
      <x:c r="D1133" s="30" t="str">
        <x:f>IF(B1133="","",IF(COUNTIFS(Equipment[组合编号],B1133)&lt;&gt;1,"组合编号无效",INDEX(Equipment[驱动品牌],MATCH(B1133,Equipment[组合编号],0))))</x:f>
        <x:v>CDHD</x:v>
      </x:c>
      <x:c r="E1133" s="20" t="str">
        <x:v>P04</x:v>
      </x:c>
      <x:c r="F1133" s="20"/>
      <x:c r="G1133" s="20"/>
      <x:c r="H1133" s="20" t="str">
        <x:v>待判定</x:v>
      </x:c>
      <x:c r="I1133" s="20"/>
      <x:c r="J1133" s="20" t="str">
        <x:v>未测试</x:v>
      </x:c>
      <x:c r="K1133" s="20"/>
      <x:c r="L1133" s="20"/>
      <x:c r="M1133" s="20"/>
      <x:c r="N1133" s="20"/>
      <x:c r="O1133" s="31"/>
      <x:c r="P1133" s="20"/>
      <x:c r="Q1133" s="20"/>
      <x:c r="R1133" s="20" t="str">
        <x:v>待展开</x:v>
      </x:c>
      <x:c r="S1133" s="20"/>
      <x:c r="T1133" s="31"/>
      <x:c r="U1133" s="30" t="str">
        <x:f>IF(A1133="","缺记录编号",IF(COUNTIFS(PathRecords[记录编号],A1133)&lt;&gt;1,"记录编号重复",IF(OR(B1133="",E1133=""),"缺组合/功能",IF(COUNTIFS(Equipment[组合编号],B1133)&lt;&gt;1,"组合编号无效",IF(COUNTIFS(FunctionMatrix[编号],E1133)=0,"功能编号无效",IF(H1133="不适用",IF(J1133="已实测","适用性冲突",IF(I1133="","待补不适用依据","不适用（非实测）")),IF(J1133="阻塞",IF(I1133="","待补阻塞原因","阻塞（非实测）"),IF(J1133&lt;&gt;"已实测",IF(F1133="","待展开路径","未实测"),IF(H1133&lt;&gt;"适用","待确认适用性",IF(INDEX(Equipment[登记状态（自动）],MATCH(B1133,Equipment[组合编号],0))&lt;&gt;"已登记","待补设备组合",IF(AND(F1133&lt;&gt;"",G1133&lt;&gt;"",K1133&lt;&gt;"",L1133&lt;&gt;"",M1133&lt;&gt;"",N1133&lt;&gt;"",ISNUMBER(O1133),O1133&gt;0,P1133&lt;&gt;""),"记录齐全","待补实测记录")))))))))))</x:f>
        <x:v>待展开路径</x:v>
      </x:c>
    </x:row>
    <x:row r="1134" ht="43.5" customHeight="1">
      <x:c r="A1134" s="20" t="str">
        <x:v>REC-01125</x:v>
      </x:c>
      <x:c r="B1134" s="20" t="str">
        <x:v>P3-B1-01</x:v>
      </x:c>
      <x:c r="C1134" s="30" t="str">
        <x:f>IF(B1134="","",IF(COUNTIFS(Equipment[组合编号],B1134)&lt;&gt;1,"组合编号无效",INDEX(Equipment[PLC组],MATCH(B1134,Equipment[组合编号],0))))</x:f>
        <x:v>欧姆龙</x:v>
      </x:c>
      <x:c r="D1134" s="30" t="str">
        <x:f>IF(B1134="","",IF(COUNTIFS(Equipment[组合编号],B1134)&lt;&gt;1,"组合编号无效",INDEX(Equipment[驱动品牌],MATCH(B1134,Equipment[组合编号],0))))</x:f>
        <x:v>CDHD</x:v>
      </x:c>
      <x:c r="E1134" s="20" t="str">
        <x:v>P05</x:v>
      </x:c>
      <x:c r="F1134" s="20"/>
      <x:c r="G1134" s="20"/>
      <x:c r="H1134" s="20" t="str">
        <x:v>待判定</x:v>
      </x:c>
      <x:c r="I1134" s="20"/>
      <x:c r="J1134" s="20" t="str">
        <x:v>未测试</x:v>
      </x:c>
      <x:c r="K1134" s="20"/>
      <x:c r="L1134" s="20"/>
      <x:c r="M1134" s="20"/>
      <x:c r="N1134" s="20"/>
      <x:c r="O1134" s="31"/>
      <x:c r="P1134" s="20"/>
      <x:c r="Q1134" s="20"/>
      <x:c r="R1134" s="20" t="str">
        <x:v>待展开</x:v>
      </x:c>
      <x:c r="S1134" s="20"/>
      <x:c r="T1134" s="31"/>
      <x:c r="U1134" s="30" t="str">
        <x:f>IF(A1134="","缺记录编号",IF(COUNTIFS(PathRecords[记录编号],A1134)&lt;&gt;1,"记录编号重复",IF(OR(B1134="",E1134=""),"缺组合/功能",IF(COUNTIFS(Equipment[组合编号],B1134)&lt;&gt;1,"组合编号无效",IF(COUNTIFS(FunctionMatrix[编号],E1134)=0,"功能编号无效",IF(H1134="不适用",IF(J1134="已实测","适用性冲突",IF(I1134="","待补不适用依据","不适用（非实测）")),IF(J1134="阻塞",IF(I1134="","待补阻塞原因","阻塞（非实测）"),IF(J1134&lt;&gt;"已实测",IF(F1134="","待展开路径","未实测"),IF(H1134&lt;&gt;"适用","待确认适用性",IF(INDEX(Equipment[登记状态（自动）],MATCH(B1134,Equipment[组合编号],0))&lt;&gt;"已登记","待补设备组合",IF(AND(F1134&lt;&gt;"",G1134&lt;&gt;"",K1134&lt;&gt;"",L1134&lt;&gt;"",M1134&lt;&gt;"",N1134&lt;&gt;"",ISNUMBER(O1134),O1134&gt;0,P1134&lt;&gt;""),"记录齐全","待补实测记录")))))))))))</x:f>
        <x:v>待展开路径</x:v>
      </x:c>
    </x:row>
    <x:row r="1135" ht="43.5" customHeight="1">
      <x:c r="A1135" s="20" t="str">
        <x:v>REC-01126</x:v>
      </x:c>
      <x:c r="B1135" s="20" t="str">
        <x:v>P3-B1-01</x:v>
      </x:c>
      <x:c r="C1135" s="30" t="str">
        <x:f>IF(B1135="","",IF(COUNTIFS(Equipment[组合编号],B1135)&lt;&gt;1,"组合编号无效",INDEX(Equipment[PLC组],MATCH(B1135,Equipment[组合编号],0))))</x:f>
        <x:v>欧姆龙</x:v>
      </x:c>
      <x:c r="D1135" s="30" t="str">
        <x:f>IF(B1135="","",IF(COUNTIFS(Equipment[组合编号],B1135)&lt;&gt;1,"组合编号无效",INDEX(Equipment[驱动品牌],MATCH(B1135,Equipment[组合编号],0))))</x:f>
        <x:v>CDHD</x:v>
      </x:c>
      <x:c r="E1135" s="20" t="str">
        <x:v>P06</x:v>
      </x:c>
      <x:c r="F1135" s="20"/>
      <x:c r="G1135" s="20"/>
      <x:c r="H1135" s="20" t="str">
        <x:v>待判定</x:v>
      </x:c>
      <x:c r="I1135" s="20"/>
      <x:c r="J1135" s="20" t="str">
        <x:v>未测试</x:v>
      </x:c>
      <x:c r="K1135" s="20"/>
      <x:c r="L1135" s="20"/>
      <x:c r="M1135" s="20"/>
      <x:c r="N1135" s="20"/>
      <x:c r="O1135" s="31"/>
      <x:c r="P1135" s="20"/>
      <x:c r="Q1135" s="20"/>
      <x:c r="R1135" s="20" t="str">
        <x:v>待展开</x:v>
      </x:c>
      <x:c r="S1135" s="20"/>
      <x:c r="T1135" s="31"/>
      <x:c r="U1135" s="30" t="str">
        <x:f>IF(A1135="","缺记录编号",IF(COUNTIFS(PathRecords[记录编号],A1135)&lt;&gt;1,"记录编号重复",IF(OR(B1135="",E1135=""),"缺组合/功能",IF(COUNTIFS(Equipment[组合编号],B1135)&lt;&gt;1,"组合编号无效",IF(COUNTIFS(FunctionMatrix[编号],E1135)=0,"功能编号无效",IF(H1135="不适用",IF(J1135="已实测","适用性冲突",IF(I1135="","待补不适用依据","不适用（非实测）")),IF(J1135="阻塞",IF(I1135="","待补阻塞原因","阻塞（非实测）"),IF(J1135&lt;&gt;"已实测",IF(F1135="","待展开路径","未实测"),IF(H1135&lt;&gt;"适用","待确认适用性",IF(INDEX(Equipment[登记状态（自动）],MATCH(B1135,Equipment[组合编号],0))&lt;&gt;"已登记","待补设备组合",IF(AND(F1135&lt;&gt;"",G1135&lt;&gt;"",K1135&lt;&gt;"",L1135&lt;&gt;"",M1135&lt;&gt;"",N1135&lt;&gt;"",ISNUMBER(O1135),O1135&gt;0,P1135&lt;&gt;""),"记录齐全","待补实测记录")))))))))))</x:f>
        <x:v>待展开路径</x:v>
      </x:c>
    </x:row>
    <x:row r="1136" ht="43.5" customHeight="1">
      <x:c r="A1136" s="20" t="str">
        <x:v>REC-01127</x:v>
      </x:c>
      <x:c r="B1136" s="20" t="str">
        <x:v>P3-B1-01</x:v>
      </x:c>
      <x:c r="C1136" s="30" t="str">
        <x:f>IF(B1136="","",IF(COUNTIFS(Equipment[组合编号],B1136)&lt;&gt;1,"组合编号无效",INDEX(Equipment[PLC组],MATCH(B1136,Equipment[组合编号],0))))</x:f>
        <x:v>欧姆龙</x:v>
      </x:c>
      <x:c r="D1136" s="30" t="str">
        <x:f>IF(B1136="","",IF(COUNTIFS(Equipment[组合编号],B1136)&lt;&gt;1,"组合编号无效",INDEX(Equipment[驱动品牌],MATCH(B1136,Equipment[组合编号],0))))</x:f>
        <x:v>CDHD</x:v>
      </x:c>
      <x:c r="E1136" s="20" t="str">
        <x:v>P07</x:v>
      </x:c>
      <x:c r="F1136" s="20"/>
      <x:c r="G1136" s="20"/>
      <x:c r="H1136" s="20" t="str">
        <x:v>待判定</x:v>
      </x:c>
      <x:c r="I1136" s="20"/>
      <x:c r="J1136" s="20" t="str">
        <x:v>未测试</x:v>
      </x:c>
      <x:c r="K1136" s="20"/>
      <x:c r="L1136" s="20"/>
      <x:c r="M1136" s="20"/>
      <x:c r="N1136" s="20"/>
      <x:c r="O1136" s="31"/>
      <x:c r="P1136" s="20"/>
      <x:c r="Q1136" s="20"/>
      <x:c r="R1136" s="20" t="str">
        <x:v>待展开</x:v>
      </x:c>
      <x:c r="S1136" s="20"/>
      <x:c r="T1136" s="31"/>
      <x:c r="U1136" s="30" t="str">
        <x:f>IF(A1136="","缺记录编号",IF(COUNTIFS(PathRecords[记录编号],A1136)&lt;&gt;1,"记录编号重复",IF(OR(B1136="",E1136=""),"缺组合/功能",IF(COUNTIFS(Equipment[组合编号],B1136)&lt;&gt;1,"组合编号无效",IF(COUNTIFS(FunctionMatrix[编号],E1136)=0,"功能编号无效",IF(H1136="不适用",IF(J1136="已实测","适用性冲突",IF(I1136="","待补不适用依据","不适用（非实测）")),IF(J1136="阻塞",IF(I1136="","待补阻塞原因","阻塞（非实测）"),IF(J1136&lt;&gt;"已实测",IF(F1136="","待展开路径","未实测"),IF(H1136&lt;&gt;"适用","待确认适用性",IF(INDEX(Equipment[登记状态（自动）],MATCH(B1136,Equipment[组合编号],0))&lt;&gt;"已登记","待补设备组合",IF(AND(F1136&lt;&gt;"",G1136&lt;&gt;"",K1136&lt;&gt;"",L1136&lt;&gt;"",M1136&lt;&gt;"",N1136&lt;&gt;"",ISNUMBER(O1136),O1136&gt;0,P1136&lt;&gt;""),"记录齐全","待补实测记录")))))))))))</x:f>
        <x:v>待展开路径</x:v>
      </x:c>
    </x:row>
    <x:row r="1137" ht="43.5" customHeight="1">
      <x:c r="A1137" s="20" t="str">
        <x:v>REC-01128</x:v>
      </x:c>
      <x:c r="B1137" s="20" t="str">
        <x:v>P3-B1-01</x:v>
      </x:c>
      <x:c r="C1137" s="30" t="str">
        <x:f>IF(B1137="","",IF(COUNTIFS(Equipment[组合编号],B1137)&lt;&gt;1,"组合编号无效",INDEX(Equipment[PLC组],MATCH(B1137,Equipment[组合编号],0))))</x:f>
        <x:v>欧姆龙</x:v>
      </x:c>
      <x:c r="D1137" s="30" t="str">
        <x:f>IF(B1137="","",IF(COUNTIFS(Equipment[组合编号],B1137)&lt;&gt;1,"组合编号无效",INDEX(Equipment[驱动品牌],MATCH(B1137,Equipment[组合编号],0))))</x:f>
        <x:v>CDHD</x:v>
      </x:c>
      <x:c r="E1137" s="20" t="str">
        <x:v>P08</x:v>
      </x:c>
      <x:c r="F1137" s="20"/>
      <x:c r="G1137" s="20"/>
      <x:c r="H1137" s="20" t="str">
        <x:v>待判定</x:v>
      </x:c>
      <x:c r="I1137" s="20"/>
      <x:c r="J1137" s="20" t="str">
        <x:v>未测试</x:v>
      </x:c>
      <x:c r="K1137" s="20"/>
      <x:c r="L1137" s="20"/>
      <x:c r="M1137" s="20"/>
      <x:c r="N1137" s="20"/>
      <x:c r="O1137" s="31"/>
      <x:c r="P1137" s="20"/>
      <x:c r="Q1137" s="20"/>
      <x:c r="R1137" s="20" t="str">
        <x:v>待展开</x:v>
      </x:c>
      <x:c r="S1137" s="20"/>
      <x:c r="T1137" s="31"/>
      <x:c r="U1137" s="30" t="str">
        <x:f>IF(A1137="","缺记录编号",IF(COUNTIFS(PathRecords[记录编号],A1137)&lt;&gt;1,"记录编号重复",IF(OR(B1137="",E1137=""),"缺组合/功能",IF(COUNTIFS(Equipment[组合编号],B1137)&lt;&gt;1,"组合编号无效",IF(COUNTIFS(FunctionMatrix[编号],E1137)=0,"功能编号无效",IF(H1137="不适用",IF(J1137="已实测","适用性冲突",IF(I1137="","待补不适用依据","不适用（非实测）")),IF(J1137="阻塞",IF(I1137="","待补阻塞原因","阻塞（非实测）"),IF(J1137&lt;&gt;"已实测",IF(F1137="","待展开路径","未实测"),IF(H1137&lt;&gt;"适用","待确认适用性",IF(INDEX(Equipment[登记状态（自动）],MATCH(B1137,Equipment[组合编号],0))&lt;&gt;"已登记","待补设备组合",IF(AND(F1137&lt;&gt;"",G1137&lt;&gt;"",K1137&lt;&gt;"",L1137&lt;&gt;"",M1137&lt;&gt;"",N1137&lt;&gt;"",ISNUMBER(O1137),O1137&gt;0,P1137&lt;&gt;""),"记录齐全","待补实测记录")))))))))))</x:f>
        <x:v>待展开路径</x:v>
      </x:c>
    </x:row>
    <x:row r="1138" ht="43.5" customHeight="1">
      <x:c r="A1138" s="20" t="str">
        <x:v>REC-01129</x:v>
      </x:c>
      <x:c r="B1138" s="20" t="str">
        <x:v>P3-B1-01</x:v>
      </x:c>
      <x:c r="C1138" s="30" t="str">
        <x:f>IF(B1138="","",IF(COUNTIFS(Equipment[组合编号],B1138)&lt;&gt;1,"组合编号无效",INDEX(Equipment[PLC组],MATCH(B1138,Equipment[组合编号],0))))</x:f>
        <x:v>欧姆龙</x:v>
      </x:c>
      <x:c r="D1138" s="30" t="str">
        <x:f>IF(B1138="","",IF(COUNTIFS(Equipment[组合编号],B1138)&lt;&gt;1,"组合编号无效",INDEX(Equipment[驱动品牌],MATCH(B1138,Equipment[组合编号],0))))</x:f>
        <x:v>CDHD</x:v>
      </x:c>
      <x:c r="E1138" s="20" t="str">
        <x:v>P09</x:v>
      </x:c>
      <x:c r="F1138" s="20"/>
      <x:c r="G1138" s="20"/>
      <x:c r="H1138" s="20" t="str">
        <x:v>待判定</x:v>
      </x:c>
      <x:c r="I1138" s="20"/>
      <x:c r="J1138" s="20" t="str">
        <x:v>未测试</x:v>
      </x:c>
      <x:c r="K1138" s="20"/>
      <x:c r="L1138" s="20"/>
      <x:c r="M1138" s="20"/>
      <x:c r="N1138" s="20"/>
      <x:c r="O1138" s="31"/>
      <x:c r="P1138" s="20"/>
      <x:c r="Q1138" s="20"/>
      <x:c r="R1138" s="20" t="str">
        <x:v>待展开</x:v>
      </x:c>
      <x:c r="S1138" s="20"/>
      <x:c r="T1138" s="31"/>
      <x:c r="U1138" s="30" t="str">
        <x:f>IF(A1138="","缺记录编号",IF(COUNTIFS(PathRecords[记录编号],A1138)&lt;&gt;1,"记录编号重复",IF(OR(B1138="",E1138=""),"缺组合/功能",IF(COUNTIFS(Equipment[组合编号],B1138)&lt;&gt;1,"组合编号无效",IF(COUNTIFS(FunctionMatrix[编号],E1138)=0,"功能编号无效",IF(H1138="不适用",IF(J1138="已实测","适用性冲突",IF(I1138="","待补不适用依据","不适用（非实测）")),IF(J1138="阻塞",IF(I1138="","待补阻塞原因","阻塞（非实测）"),IF(J1138&lt;&gt;"已实测",IF(F1138="","待展开路径","未实测"),IF(H1138&lt;&gt;"适用","待确认适用性",IF(INDEX(Equipment[登记状态（自动）],MATCH(B1138,Equipment[组合编号],0))&lt;&gt;"已登记","待补设备组合",IF(AND(F1138&lt;&gt;"",G1138&lt;&gt;"",K1138&lt;&gt;"",L1138&lt;&gt;"",M1138&lt;&gt;"",N1138&lt;&gt;"",ISNUMBER(O1138),O1138&gt;0,P1138&lt;&gt;""),"记录齐全","待补实测记录")))))))))))</x:f>
        <x:v>待展开路径</x:v>
      </x:c>
    </x:row>
    <x:row r="1139" ht="43.5" customHeight="1">
      <x:c r="A1139" s="20" t="str">
        <x:v>REC-01130</x:v>
      </x:c>
      <x:c r="B1139" s="20" t="str">
        <x:v>P3-B1-01</x:v>
      </x:c>
      <x:c r="C1139" s="30" t="str">
        <x:f>IF(B1139="","",IF(COUNTIFS(Equipment[组合编号],B1139)&lt;&gt;1,"组合编号无效",INDEX(Equipment[PLC组],MATCH(B1139,Equipment[组合编号],0))))</x:f>
        <x:v>欧姆龙</x:v>
      </x:c>
      <x:c r="D1139" s="30" t="str">
        <x:f>IF(B1139="","",IF(COUNTIFS(Equipment[组合编号],B1139)&lt;&gt;1,"组合编号无效",INDEX(Equipment[驱动品牌],MATCH(B1139,Equipment[组合编号],0))))</x:f>
        <x:v>CDHD</x:v>
      </x:c>
      <x:c r="E1139" s="20" t="str">
        <x:v>P10</x:v>
      </x:c>
      <x:c r="F1139" s="20"/>
      <x:c r="G1139" s="20"/>
      <x:c r="H1139" s="20" t="str">
        <x:v>待判定</x:v>
      </x:c>
      <x:c r="I1139" s="20"/>
      <x:c r="J1139" s="20" t="str">
        <x:v>未测试</x:v>
      </x:c>
      <x:c r="K1139" s="20"/>
      <x:c r="L1139" s="20"/>
      <x:c r="M1139" s="20"/>
      <x:c r="N1139" s="20"/>
      <x:c r="O1139" s="31"/>
      <x:c r="P1139" s="20"/>
      <x:c r="Q1139" s="20"/>
      <x:c r="R1139" s="20" t="str">
        <x:v>待展开</x:v>
      </x:c>
      <x:c r="S1139" s="20"/>
      <x:c r="T1139" s="31"/>
      <x:c r="U1139" s="30" t="str">
        <x:f>IF(A1139="","缺记录编号",IF(COUNTIFS(PathRecords[记录编号],A1139)&lt;&gt;1,"记录编号重复",IF(OR(B1139="",E1139=""),"缺组合/功能",IF(COUNTIFS(Equipment[组合编号],B1139)&lt;&gt;1,"组合编号无效",IF(COUNTIFS(FunctionMatrix[编号],E1139)=0,"功能编号无效",IF(H1139="不适用",IF(J1139="已实测","适用性冲突",IF(I1139="","待补不适用依据","不适用（非实测）")),IF(J1139="阻塞",IF(I1139="","待补阻塞原因","阻塞（非实测）"),IF(J1139&lt;&gt;"已实测",IF(F1139="","待展开路径","未实测"),IF(H1139&lt;&gt;"适用","待确认适用性",IF(INDEX(Equipment[登记状态（自动）],MATCH(B1139,Equipment[组合编号],0))&lt;&gt;"已登记","待补设备组合",IF(AND(F1139&lt;&gt;"",G1139&lt;&gt;"",K1139&lt;&gt;"",L1139&lt;&gt;"",M1139&lt;&gt;"",N1139&lt;&gt;"",ISNUMBER(O1139),O1139&gt;0,P1139&lt;&gt;""),"记录齐全","待补实测记录")))))))))))</x:f>
        <x:v>待展开路径</x:v>
      </x:c>
    </x:row>
    <x:row r="1140" ht="43.5" customHeight="1">
      <x:c r="A1140" s="20" t="str">
        <x:v>REC-01131</x:v>
      </x:c>
      <x:c r="B1140" s="20" t="str">
        <x:v>P3-B1-01</x:v>
      </x:c>
      <x:c r="C1140" s="30" t="str">
        <x:f>IF(B1140="","",IF(COUNTIFS(Equipment[组合编号],B1140)&lt;&gt;1,"组合编号无效",INDEX(Equipment[PLC组],MATCH(B1140,Equipment[组合编号],0))))</x:f>
        <x:v>欧姆龙</x:v>
      </x:c>
      <x:c r="D1140" s="30" t="str">
        <x:f>IF(B1140="","",IF(COUNTIFS(Equipment[组合编号],B1140)&lt;&gt;1,"组合编号无效",INDEX(Equipment[驱动品牌],MATCH(B1140,Equipment[组合编号],0))))</x:f>
        <x:v>CDHD</x:v>
      </x:c>
      <x:c r="E1140" s="20" t="str">
        <x:v>A01</x:v>
      </x:c>
      <x:c r="F1140" s="20"/>
      <x:c r="G1140" s="20"/>
      <x:c r="H1140" s="20" t="str">
        <x:v>待判定</x:v>
      </x:c>
      <x:c r="I1140" s="20"/>
      <x:c r="J1140" s="20" t="str">
        <x:v>未测试</x:v>
      </x:c>
      <x:c r="K1140" s="20"/>
      <x:c r="L1140" s="20"/>
      <x:c r="M1140" s="20"/>
      <x:c r="N1140" s="20"/>
      <x:c r="O1140" s="31"/>
      <x:c r="P1140" s="20"/>
      <x:c r="Q1140" s="20"/>
      <x:c r="R1140" s="20" t="str">
        <x:v>待展开</x:v>
      </x:c>
      <x:c r="S1140" s="20"/>
      <x:c r="T1140" s="31"/>
      <x:c r="U1140" s="30" t="str">
        <x:f>IF(A1140="","缺记录编号",IF(COUNTIFS(PathRecords[记录编号],A1140)&lt;&gt;1,"记录编号重复",IF(OR(B1140="",E1140=""),"缺组合/功能",IF(COUNTIFS(Equipment[组合编号],B1140)&lt;&gt;1,"组合编号无效",IF(COUNTIFS(FunctionMatrix[编号],E1140)=0,"功能编号无效",IF(H1140="不适用",IF(J1140="已实测","适用性冲突",IF(I1140="","待补不适用依据","不适用（非实测）")),IF(J1140="阻塞",IF(I1140="","待补阻塞原因","阻塞（非实测）"),IF(J1140&lt;&gt;"已实测",IF(F1140="","待展开路径","未实测"),IF(H1140&lt;&gt;"适用","待确认适用性",IF(INDEX(Equipment[登记状态（自动）],MATCH(B1140,Equipment[组合编号],0))&lt;&gt;"已登记","待补设备组合",IF(AND(F1140&lt;&gt;"",G1140&lt;&gt;"",K1140&lt;&gt;"",L1140&lt;&gt;"",M1140&lt;&gt;"",N1140&lt;&gt;"",ISNUMBER(O1140),O1140&gt;0,P1140&lt;&gt;""),"记录齐全","待补实测记录")))))))))))</x:f>
        <x:v>待展开路径</x:v>
      </x:c>
    </x:row>
    <x:row r="1141" ht="43.5" customHeight="1">
      <x:c r="A1141" s="20" t="str">
        <x:v>REC-01132</x:v>
      </x:c>
      <x:c r="B1141" s="20" t="str">
        <x:v>P3-B1-01</x:v>
      </x:c>
      <x:c r="C1141" s="30" t="str">
        <x:f>IF(B1141="","",IF(COUNTIFS(Equipment[组合编号],B1141)&lt;&gt;1,"组合编号无效",INDEX(Equipment[PLC组],MATCH(B1141,Equipment[组合编号],0))))</x:f>
        <x:v>欧姆龙</x:v>
      </x:c>
      <x:c r="D1141" s="30" t="str">
        <x:f>IF(B1141="","",IF(COUNTIFS(Equipment[组合编号],B1141)&lt;&gt;1,"组合编号无效",INDEX(Equipment[驱动品牌],MATCH(B1141,Equipment[组合编号],0))))</x:f>
        <x:v>CDHD</x:v>
      </x:c>
      <x:c r="E1141" s="20" t="str">
        <x:v>A02</x:v>
      </x:c>
      <x:c r="F1141" s="20"/>
      <x:c r="G1141" s="20"/>
      <x:c r="H1141" s="20" t="str">
        <x:v>待判定</x:v>
      </x:c>
      <x:c r="I1141" s="20"/>
      <x:c r="J1141" s="20" t="str">
        <x:v>未测试</x:v>
      </x:c>
      <x:c r="K1141" s="20"/>
      <x:c r="L1141" s="20"/>
      <x:c r="M1141" s="20"/>
      <x:c r="N1141" s="20"/>
      <x:c r="O1141" s="31"/>
      <x:c r="P1141" s="20"/>
      <x:c r="Q1141" s="20"/>
      <x:c r="R1141" s="20" t="str">
        <x:v>待展开</x:v>
      </x:c>
      <x:c r="S1141" s="20"/>
      <x:c r="T1141" s="31"/>
      <x:c r="U1141" s="30" t="str">
        <x:f>IF(A1141="","缺记录编号",IF(COUNTIFS(PathRecords[记录编号],A1141)&lt;&gt;1,"记录编号重复",IF(OR(B1141="",E1141=""),"缺组合/功能",IF(COUNTIFS(Equipment[组合编号],B1141)&lt;&gt;1,"组合编号无效",IF(COUNTIFS(FunctionMatrix[编号],E1141)=0,"功能编号无效",IF(H1141="不适用",IF(J1141="已实测","适用性冲突",IF(I1141="","待补不适用依据","不适用（非实测）")),IF(J1141="阻塞",IF(I1141="","待补阻塞原因","阻塞（非实测）"),IF(J1141&lt;&gt;"已实测",IF(F1141="","待展开路径","未实测"),IF(H1141&lt;&gt;"适用","待确认适用性",IF(INDEX(Equipment[登记状态（自动）],MATCH(B1141,Equipment[组合编号],0))&lt;&gt;"已登记","待补设备组合",IF(AND(F1141&lt;&gt;"",G1141&lt;&gt;"",K1141&lt;&gt;"",L1141&lt;&gt;"",M1141&lt;&gt;"",N1141&lt;&gt;"",ISNUMBER(O1141),O1141&gt;0,P1141&lt;&gt;""),"记录齐全","待补实测记录")))))))))))</x:f>
        <x:v>待展开路径</x:v>
      </x:c>
    </x:row>
    <x:row r="1142" ht="43.5" customHeight="1">
      <x:c r="A1142" s="20" t="str">
        <x:v>REC-01133</x:v>
      </x:c>
      <x:c r="B1142" s="20" t="str">
        <x:v>P3-B1-01</x:v>
      </x:c>
      <x:c r="C1142" s="30" t="str">
        <x:f>IF(B1142="","",IF(COUNTIFS(Equipment[组合编号],B1142)&lt;&gt;1,"组合编号无效",INDEX(Equipment[PLC组],MATCH(B1142,Equipment[组合编号],0))))</x:f>
        <x:v>欧姆龙</x:v>
      </x:c>
      <x:c r="D1142" s="30" t="str">
        <x:f>IF(B1142="","",IF(COUNTIFS(Equipment[组合编号],B1142)&lt;&gt;1,"组合编号无效",INDEX(Equipment[驱动品牌],MATCH(B1142,Equipment[组合编号],0))))</x:f>
        <x:v>CDHD</x:v>
      </x:c>
      <x:c r="E1142" s="20" t="str">
        <x:v>A03</x:v>
      </x:c>
      <x:c r="F1142" s="20"/>
      <x:c r="G1142" s="20"/>
      <x:c r="H1142" s="20" t="str">
        <x:v>待判定</x:v>
      </x:c>
      <x:c r="I1142" s="20"/>
      <x:c r="J1142" s="20" t="str">
        <x:v>未测试</x:v>
      </x:c>
      <x:c r="K1142" s="20"/>
      <x:c r="L1142" s="20"/>
      <x:c r="M1142" s="20"/>
      <x:c r="N1142" s="20"/>
      <x:c r="O1142" s="31"/>
      <x:c r="P1142" s="20"/>
      <x:c r="Q1142" s="20"/>
      <x:c r="R1142" s="20" t="str">
        <x:v>待展开</x:v>
      </x:c>
      <x:c r="S1142" s="20"/>
      <x:c r="T1142" s="31"/>
      <x:c r="U1142" s="30" t="str">
        <x:f>IF(A1142="","缺记录编号",IF(COUNTIFS(PathRecords[记录编号],A1142)&lt;&gt;1,"记录编号重复",IF(OR(B1142="",E1142=""),"缺组合/功能",IF(COUNTIFS(Equipment[组合编号],B1142)&lt;&gt;1,"组合编号无效",IF(COUNTIFS(FunctionMatrix[编号],E1142)=0,"功能编号无效",IF(H1142="不适用",IF(J1142="已实测","适用性冲突",IF(I1142="","待补不适用依据","不适用（非实测）")),IF(J1142="阻塞",IF(I1142="","待补阻塞原因","阻塞（非实测）"),IF(J1142&lt;&gt;"已实测",IF(F1142="","待展开路径","未实测"),IF(H1142&lt;&gt;"适用","待确认适用性",IF(INDEX(Equipment[登记状态（自动）],MATCH(B1142,Equipment[组合编号],0))&lt;&gt;"已登记","待补设备组合",IF(AND(F1142&lt;&gt;"",G1142&lt;&gt;"",K1142&lt;&gt;"",L1142&lt;&gt;"",M1142&lt;&gt;"",N1142&lt;&gt;"",ISNUMBER(O1142),O1142&gt;0,P1142&lt;&gt;""),"记录齐全","待补实测记录")))))))))))</x:f>
        <x:v>待展开路径</x:v>
      </x:c>
    </x:row>
    <x:row r="1143" ht="43.5" customHeight="1">
      <x:c r="A1143" s="20" t="str">
        <x:v>REC-01134</x:v>
      </x:c>
      <x:c r="B1143" s="20" t="str">
        <x:v>P3-B1-01</x:v>
      </x:c>
      <x:c r="C1143" s="30" t="str">
        <x:f>IF(B1143="","",IF(COUNTIFS(Equipment[组合编号],B1143)&lt;&gt;1,"组合编号无效",INDEX(Equipment[PLC组],MATCH(B1143,Equipment[组合编号],0))))</x:f>
        <x:v>欧姆龙</x:v>
      </x:c>
      <x:c r="D1143" s="30" t="str">
        <x:f>IF(B1143="","",IF(COUNTIFS(Equipment[组合编号],B1143)&lt;&gt;1,"组合编号无效",INDEX(Equipment[驱动品牌],MATCH(B1143,Equipment[组合编号],0))))</x:f>
        <x:v>CDHD</x:v>
      </x:c>
      <x:c r="E1143" s="20" t="str">
        <x:v>A04</x:v>
      </x:c>
      <x:c r="F1143" s="20"/>
      <x:c r="G1143" s="20"/>
      <x:c r="H1143" s="20" t="str">
        <x:v>待判定</x:v>
      </x:c>
      <x:c r="I1143" s="20"/>
      <x:c r="J1143" s="20" t="str">
        <x:v>未测试</x:v>
      </x:c>
      <x:c r="K1143" s="20"/>
      <x:c r="L1143" s="20"/>
      <x:c r="M1143" s="20"/>
      <x:c r="N1143" s="20"/>
      <x:c r="O1143" s="31"/>
      <x:c r="P1143" s="20"/>
      <x:c r="Q1143" s="20"/>
      <x:c r="R1143" s="20" t="str">
        <x:v>待展开</x:v>
      </x:c>
      <x:c r="S1143" s="20"/>
      <x:c r="T1143" s="31"/>
      <x:c r="U1143" s="30" t="str">
        <x:f>IF(A1143="","缺记录编号",IF(COUNTIFS(PathRecords[记录编号],A1143)&lt;&gt;1,"记录编号重复",IF(OR(B1143="",E1143=""),"缺组合/功能",IF(COUNTIFS(Equipment[组合编号],B1143)&lt;&gt;1,"组合编号无效",IF(COUNTIFS(FunctionMatrix[编号],E1143)=0,"功能编号无效",IF(H1143="不适用",IF(J1143="已实测","适用性冲突",IF(I1143="","待补不适用依据","不适用（非实测）")),IF(J1143="阻塞",IF(I1143="","待补阻塞原因","阻塞（非实测）"),IF(J1143&lt;&gt;"已实测",IF(F1143="","待展开路径","未实测"),IF(H1143&lt;&gt;"适用","待确认适用性",IF(INDEX(Equipment[登记状态（自动）],MATCH(B1143,Equipment[组合编号],0))&lt;&gt;"已登记","待补设备组合",IF(AND(F1143&lt;&gt;"",G1143&lt;&gt;"",K1143&lt;&gt;"",L1143&lt;&gt;"",M1143&lt;&gt;"",N1143&lt;&gt;"",ISNUMBER(O1143),O1143&gt;0,P1143&lt;&gt;""),"记录齐全","待补实测记录")))))))))))</x:f>
        <x:v>待展开路径</x:v>
      </x:c>
    </x:row>
    <x:row r="1144" ht="43.5" customHeight="1">
      <x:c r="A1144" s="20" t="str">
        <x:v>REC-01135</x:v>
      </x:c>
      <x:c r="B1144" s="20" t="str">
        <x:v>P3-B1-01</x:v>
      </x:c>
      <x:c r="C1144" s="30" t="str">
        <x:f>IF(B1144="","",IF(COUNTIFS(Equipment[组合编号],B1144)&lt;&gt;1,"组合编号无效",INDEX(Equipment[PLC组],MATCH(B1144,Equipment[组合编号],0))))</x:f>
        <x:v>欧姆龙</x:v>
      </x:c>
      <x:c r="D1144" s="30" t="str">
        <x:f>IF(B1144="","",IF(COUNTIFS(Equipment[组合编号],B1144)&lt;&gt;1,"组合编号无效",INDEX(Equipment[驱动品牌],MATCH(B1144,Equipment[组合编号],0))))</x:f>
        <x:v>CDHD</x:v>
      </x:c>
      <x:c r="E1144" s="20" t="str">
        <x:v>A05</x:v>
      </x:c>
      <x:c r="F1144" s="20"/>
      <x:c r="G1144" s="20"/>
      <x:c r="H1144" s="20" t="str">
        <x:v>待判定</x:v>
      </x:c>
      <x:c r="I1144" s="20"/>
      <x:c r="J1144" s="20" t="str">
        <x:v>未测试</x:v>
      </x:c>
      <x:c r="K1144" s="20"/>
      <x:c r="L1144" s="20"/>
      <x:c r="M1144" s="20"/>
      <x:c r="N1144" s="20"/>
      <x:c r="O1144" s="31"/>
      <x:c r="P1144" s="20"/>
      <x:c r="Q1144" s="20"/>
      <x:c r="R1144" s="20" t="str">
        <x:v>待展开</x:v>
      </x:c>
      <x:c r="S1144" s="20"/>
      <x:c r="T1144" s="31"/>
      <x:c r="U1144" s="30" t="str">
        <x:f>IF(A1144="","缺记录编号",IF(COUNTIFS(PathRecords[记录编号],A1144)&lt;&gt;1,"记录编号重复",IF(OR(B1144="",E1144=""),"缺组合/功能",IF(COUNTIFS(Equipment[组合编号],B1144)&lt;&gt;1,"组合编号无效",IF(COUNTIFS(FunctionMatrix[编号],E1144)=0,"功能编号无效",IF(H1144="不适用",IF(J1144="已实测","适用性冲突",IF(I1144="","待补不适用依据","不适用（非实测）")),IF(J1144="阻塞",IF(I1144="","待补阻塞原因","阻塞（非实测）"),IF(J1144&lt;&gt;"已实测",IF(F1144="","待展开路径","未实测"),IF(H1144&lt;&gt;"适用","待确认适用性",IF(INDEX(Equipment[登记状态（自动）],MATCH(B1144,Equipment[组合编号],0))&lt;&gt;"已登记","待补设备组合",IF(AND(F1144&lt;&gt;"",G1144&lt;&gt;"",K1144&lt;&gt;"",L1144&lt;&gt;"",M1144&lt;&gt;"",N1144&lt;&gt;"",ISNUMBER(O1144),O1144&gt;0,P1144&lt;&gt;""),"记录齐全","待补实测记录")))))))))))</x:f>
        <x:v>待展开路径</x:v>
      </x:c>
    </x:row>
    <x:row r="1145" ht="43.5" customHeight="1">
      <x:c r="A1145" s="20" t="str">
        <x:v>REC-01136</x:v>
      </x:c>
      <x:c r="B1145" s="20" t="str">
        <x:v>P3-B1-01</x:v>
      </x:c>
      <x:c r="C1145" s="30" t="str">
        <x:f>IF(B1145="","",IF(COUNTIFS(Equipment[组合编号],B1145)&lt;&gt;1,"组合编号无效",INDEX(Equipment[PLC组],MATCH(B1145,Equipment[组合编号],0))))</x:f>
        <x:v>欧姆龙</x:v>
      </x:c>
      <x:c r="D1145" s="30" t="str">
        <x:f>IF(B1145="","",IF(COUNTIFS(Equipment[组合编号],B1145)&lt;&gt;1,"组合编号无效",INDEX(Equipment[驱动品牌],MATCH(B1145,Equipment[组合编号],0))))</x:f>
        <x:v>CDHD</x:v>
      </x:c>
      <x:c r="E1145" s="20" t="str">
        <x:v>A06</x:v>
      </x:c>
      <x:c r="F1145" s="20"/>
      <x:c r="G1145" s="20"/>
      <x:c r="H1145" s="20" t="str">
        <x:v>待判定</x:v>
      </x:c>
      <x:c r="I1145" s="20"/>
      <x:c r="J1145" s="20" t="str">
        <x:v>未测试</x:v>
      </x:c>
      <x:c r="K1145" s="20"/>
      <x:c r="L1145" s="20"/>
      <x:c r="M1145" s="20"/>
      <x:c r="N1145" s="20"/>
      <x:c r="O1145" s="31"/>
      <x:c r="P1145" s="20"/>
      <x:c r="Q1145" s="20"/>
      <x:c r="R1145" s="20" t="str">
        <x:v>待展开</x:v>
      </x:c>
      <x:c r="S1145" s="20"/>
      <x:c r="T1145" s="31"/>
      <x:c r="U1145" s="30" t="str">
        <x:f>IF(A1145="","缺记录编号",IF(COUNTIFS(PathRecords[记录编号],A1145)&lt;&gt;1,"记录编号重复",IF(OR(B1145="",E1145=""),"缺组合/功能",IF(COUNTIFS(Equipment[组合编号],B1145)&lt;&gt;1,"组合编号无效",IF(COUNTIFS(FunctionMatrix[编号],E1145)=0,"功能编号无效",IF(H1145="不适用",IF(J1145="已实测","适用性冲突",IF(I1145="","待补不适用依据","不适用（非实测）")),IF(J1145="阻塞",IF(I1145="","待补阻塞原因","阻塞（非实测）"),IF(J1145&lt;&gt;"已实测",IF(F1145="","待展开路径","未实测"),IF(H1145&lt;&gt;"适用","待确认适用性",IF(INDEX(Equipment[登记状态（自动）],MATCH(B1145,Equipment[组合编号],0))&lt;&gt;"已登记","待补设备组合",IF(AND(F1145&lt;&gt;"",G1145&lt;&gt;"",K1145&lt;&gt;"",L1145&lt;&gt;"",M1145&lt;&gt;"",N1145&lt;&gt;"",ISNUMBER(O1145),O1145&gt;0,P1145&lt;&gt;""),"记录齐全","待补实测记录")))))))))))</x:f>
        <x:v>待展开路径</x:v>
      </x:c>
    </x:row>
    <x:row r="1146" ht="43.5" customHeight="1">
      <x:c r="A1146" s="20" t="str">
        <x:v>REC-01137</x:v>
      </x:c>
      <x:c r="B1146" s="20" t="str">
        <x:v>P3-B1-01</x:v>
      </x:c>
      <x:c r="C1146" s="30" t="str">
        <x:f>IF(B1146="","",IF(COUNTIFS(Equipment[组合编号],B1146)&lt;&gt;1,"组合编号无效",INDEX(Equipment[PLC组],MATCH(B1146,Equipment[组合编号],0))))</x:f>
        <x:v>欧姆龙</x:v>
      </x:c>
      <x:c r="D1146" s="30" t="str">
        <x:f>IF(B1146="","",IF(COUNTIFS(Equipment[组合编号],B1146)&lt;&gt;1,"组合编号无效",INDEX(Equipment[驱动品牌],MATCH(B1146,Equipment[组合编号],0))))</x:f>
        <x:v>CDHD</x:v>
      </x:c>
      <x:c r="E1146" s="20" t="str">
        <x:v>A07</x:v>
      </x:c>
      <x:c r="F1146" s="20"/>
      <x:c r="G1146" s="20"/>
      <x:c r="H1146" s="20" t="str">
        <x:v>待判定</x:v>
      </x:c>
      <x:c r="I1146" s="20"/>
      <x:c r="J1146" s="20" t="str">
        <x:v>未测试</x:v>
      </x:c>
      <x:c r="K1146" s="20"/>
      <x:c r="L1146" s="20"/>
      <x:c r="M1146" s="20"/>
      <x:c r="N1146" s="20"/>
      <x:c r="O1146" s="31"/>
      <x:c r="P1146" s="20"/>
      <x:c r="Q1146" s="20"/>
      <x:c r="R1146" s="20" t="str">
        <x:v>待展开</x:v>
      </x:c>
      <x:c r="S1146" s="20"/>
      <x:c r="T1146" s="31"/>
      <x:c r="U1146" s="30" t="str">
        <x:f>IF(A1146="","缺记录编号",IF(COUNTIFS(PathRecords[记录编号],A1146)&lt;&gt;1,"记录编号重复",IF(OR(B1146="",E1146=""),"缺组合/功能",IF(COUNTIFS(Equipment[组合编号],B1146)&lt;&gt;1,"组合编号无效",IF(COUNTIFS(FunctionMatrix[编号],E1146)=0,"功能编号无效",IF(H1146="不适用",IF(J1146="已实测","适用性冲突",IF(I1146="","待补不适用依据","不适用（非实测）")),IF(J1146="阻塞",IF(I1146="","待补阻塞原因","阻塞（非实测）"),IF(J1146&lt;&gt;"已实测",IF(F1146="","待展开路径","未实测"),IF(H1146&lt;&gt;"适用","待确认适用性",IF(INDEX(Equipment[登记状态（自动）],MATCH(B1146,Equipment[组合编号],0))&lt;&gt;"已登记","待补设备组合",IF(AND(F1146&lt;&gt;"",G1146&lt;&gt;"",K1146&lt;&gt;"",L1146&lt;&gt;"",M1146&lt;&gt;"",N1146&lt;&gt;"",ISNUMBER(O1146),O1146&gt;0,P1146&lt;&gt;""),"记录齐全","待补实测记录")))))))))))</x:f>
        <x:v>待展开路径</x:v>
      </x:c>
    </x:row>
    <x:row r="1147" ht="43.5" customHeight="1">
      <x:c r="A1147" s="20" t="str">
        <x:v>REC-01138</x:v>
      </x:c>
      <x:c r="B1147" s="20" t="str">
        <x:v>P3-B1-01</x:v>
      </x:c>
      <x:c r="C1147" s="30" t="str">
        <x:f>IF(B1147="","",IF(COUNTIFS(Equipment[组合编号],B1147)&lt;&gt;1,"组合编号无效",INDEX(Equipment[PLC组],MATCH(B1147,Equipment[组合编号],0))))</x:f>
        <x:v>欧姆龙</x:v>
      </x:c>
      <x:c r="D1147" s="30" t="str">
        <x:f>IF(B1147="","",IF(COUNTIFS(Equipment[组合编号],B1147)&lt;&gt;1,"组合编号无效",INDEX(Equipment[驱动品牌],MATCH(B1147,Equipment[组合编号],0))))</x:f>
        <x:v>CDHD</x:v>
      </x:c>
      <x:c r="E1147" s="20" t="str">
        <x:v>A08</x:v>
      </x:c>
      <x:c r="F1147" s="20"/>
      <x:c r="G1147" s="20"/>
      <x:c r="H1147" s="20" t="str">
        <x:v>待判定</x:v>
      </x:c>
      <x:c r="I1147" s="20"/>
      <x:c r="J1147" s="20" t="str">
        <x:v>未测试</x:v>
      </x:c>
      <x:c r="K1147" s="20"/>
      <x:c r="L1147" s="20"/>
      <x:c r="M1147" s="20"/>
      <x:c r="N1147" s="20"/>
      <x:c r="O1147" s="31"/>
      <x:c r="P1147" s="20"/>
      <x:c r="Q1147" s="20"/>
      <x:c r="R1147" s="20" t="str">
        <x:v>待展开</x:v>
      </x:c>
      <x:c r="S1147" s="20"/>
      <x:c r="T1147" s="31"/>
      <x:c r="U1147" s="30" t="str">
        <x:f>IF(A1147="","缺记录编号",IF(COUNTIFS(PathRecords[记录编号],A1147)&lt;&gt;1,"记录编号重复",IF(OR(B1147="",E1147=""),"缺组合/功能",IF(COUNTIFS(Equipment[组合编号],B1147)&lt;&gt;1,"组合编号无效",IF(COUNTIFS(FunctionMatrix[编号],E1147)=0,"功能编号无效",IF(H1147="不适用",IF(J1147="已实测","适用性冲突",IF(I1147="","待补不适用依据","不适用（非实测）")),IF(J1147="阻塞",IF(I1147="","待补阻塞原因","阻塞（非实测）"),IF(J1147&lt;&gt;"已实测",IF(F1147="","待展开路径","未实测"),IF(H1147&lt;&gt;"适用","待确认适用性",IF(INDEX(Equipment[登记状态（自动）],MATCH(B1147,Equipment[组合编号],0))&lt;&gt;"已登记","待补设备组合",IF(AND(F1147&lt;&gt;"",G1147&lt;&gt;"",K1147&lt;&gt;"",L1147&lt;&gt;"",M1147&lt;&gt;"",N1147&lt;&gt;"",ISNUMBER(O1147),O1147&gt;0,P1147&lt;&gt;""),"记录齐全","待补实测记录")))))))))))</x:f>
        <x:v>待展开路径</x:v>
      </x:c>
    </x:row>
    <x:row r="1148" ht="43.5" customHeight="1">
      <x:c r="A1148" s="20" t="str">
        <x:v>REC-01139</x:v>
      </x:c>
      <x:c r="B1148" s="20" t="str">
        <x:v>P3-B1-01</x:v>
      </x:c>
      <x:c r="C1148" s="30" t="str">
        <x:f>IF(B1148="","",IF(COUNTIFS(Equipment[组合编号],B1148)&lt;&gt;1,"组合编号无效",INDEX(Equipment[PLC组],MATCH(B1148,Equipment[组合编号],0))))</x:f>
        <x:v>欧姆龙</x:v>
      </x:c>
      <x:c r="D1148" s="30" t="str">
        <x:f>IF(B1148="","",IF(COUNTIFS(Equipment[组合编号],B1148)&lt;&gt;1,"组合编号无效",INDEX(Equipment[驱动品牌],MATCH(B1148,Equipment[组合编号],0))))</x:f>
        <x:v>CDHD</x:v>
      </x:c>
      <x:c r="E1148" s="20" t="str">
        <x:v>A09</x:v>
      </x:c>
      <x:c r="F1148" s="20"/>
      <x:c r="G1148" s="20"/>
      <x:c r="H1148" s="20" t="str">
        <x:v>待判定</x:v>
      </x:c>
      <x:c r="I1148" s="20"/>
      <x:c r="J1148" s="20" t="str">
        <x:v>未测试</x:v>
      </x:c>
      <x:c r="K1148" s="20"/>
      <x:c r="L1148" s="20"/>
      <x:c r="M1148" s="20"/>
      <x:c r="N1148" s="20"/>
      <x:c r="O1148" s="31"/>
      <x:c r="P1148" s="20"/>
      <x:c r="Q1148" s="20"/>
      <x:c r="R1148" s="20" t="str">
        <x:v>待展开</x:v>
      </x:c>
      <x:c r="S1148" s="20"/>
      <x:c r="T1148" s="31"/>
      <x:c r="U1148" s="30" t="str">
        <x:f>IF(A1148="","缺记录编号",IF(COUNTIFS(PathRecords[记录编号],A1148)&lt;&gt;1,"记录编号重复",IF(OR(B1148="",E1148=""),"缺组合/功能",IF(COUNTIFS(Equipment[组合编号],B1148)&lt;&gt;1,"组合编号无效",IF(COUNTIFS(FunctionMatrix[编号],E1148)=0,"功能编号无效",IF(H1148="不适用",IF(J1148="已实测","适用性冲突",IF(I1148="","待补不适用依据","不适用（非实测）")),IF(J1148="阻塞",IF(I1148="","待补阻塞原因","阻塞（非实测）"),IF(J1148&lt;&gt;"已实测",IF(F1148="","待展开路径","未实测"),IF(H1148&lt;&gt;"适用","待确认适用性",IF(INDEX(Equipment[登记状态（自动）],MATCH(B1148,Equipment[组合编号],0))&lt;&gt;"已登记","待补设备组合",IF(AND(F1148&lt;&gt;"",G1148&lt;&gt;"",K1148&lt;&gt;"",L1148&lt;&gt;"",M1148&lt;&gt;"",N1148&lt;&gt;"",ISNUMBER(O1148),O1148&gt;0,P1148&lt;&gt;""),"记录齐全","待补实测记录")))))))))))</x:f>
        <x:v>待展开路径</x:v>
      </x:c>
    </x:row>
    <x:row r="1149" ht="43.5" customHeight="1">
      <x:c r="A1149" s="20" t="str">
        <x:v>REC-01140</x:v>
      </x:c>
      <x:c r="B1149" s="20" t="str">
        <x:v>P3-B1-01</x:v>
      </x:c>
      <x:c r="C1149" s="30" t="str">
        <x:f>IF(B1149="","",IF(COUNTIFS(Equipment[组合编号],B1149)&lt;&gt;1,"组合编号无效",INDEX(Equipment[PLC组],MATCH(B1149,Equipment[组合编号],0))))</x:f>
        <x:v>欧姆龙</x:v>
      </x:c>
      <x:c r="D1149" s="30" t="str">
        <x:f>IF(B1149="","",IF(COUNTIFS(Equipment[组合编号],B1149)&lt;&gt;1,"组合编号无效",INDEX(Equipment[驱动品牌],MATCH(B1149,Equipment[组合编号],0))))</x:f>
        <x:v>CDHD</x:v>
      </x:c>
      <x:c r="E1149" s="20" t="str">
        <x:v>C01</x:v>
      </x:c>
      <x:c r="F1149" s="20"/>
      <x:c r="G1149" s="20"/>
      <x:c r="H1149" s="20" t="str">
        <x:v>待判定</x:v>
      </x:c>
      <x:c r="I1149" s="20"/>
      <x:c r="J1149" s="20" t="str">
        <x:v>未测试</x:v>
      </x:c>
      <x:c r="K1149" s="20"/>
      <x:c r="L1149" s="20"/>
      <x:c r="M1149" s="20"/>
      <x:c r="N1149" s="20"/>
      <x:c r="O1149" s="31"/>
      <x:c r="P1149" s="20"/>
      <x:c r="Q1149" s="20"/>
      <x:c r="R1149" s="20" t="str">
        <x:v>待展开</x:v>
      </x:c>
      <x:c r="S1149" s="20"/>
      <x:c r="T1149" s="31"/>
      <x:c r="U1149" s="30" t="str">
        <x:f>IF(A1149="","缺记录编号",IF(COUNTIFS(PathRecords[记录编号],A1149)&lt;&gt;1,"记录编号重复",IF(OR(B1149="",E1149=""),"缺组合/功能",IF(COUNTIFS(Equipment[组合编号],B1149)&lt;&gt;1,"组合编号无效",IF(COUNTIFS(FunctionMatrix[编号],E1149)=0,"功能编号无效",IF(H1149="不适用",IF(J1149="已实测","适用性冲突",IF(I1149="","待补不适用依据","不适用（非实测）")),IF(J1149="阻塞",IF(I1149="","待补阻塞原因","阻塞（非实测）"),IF(J1149&lt;&gt;"已实测",IF(F1149="","待展开路径","未实测"),IF(H1149&lt;&gt;"适用","待确认适用性",IF(INDEX(Equipment[登记状态（自动）],MATCH(B1149,Equipment[组合编号],0))&lt;&gt;"已登记","待补设备组合",IF(AND(F1149&lt;&gt;"",G1149&lt;&gt;"",K1149&lt;&gt;"",L1149&lt;&gt;"",M1149&lt;&gt;"",N1149&lt;&gt;"",ISNUMBER(O1149),O1149&gt;0,P1149&lt;&gt;""),"记录齐全","待补实测记录")))))))))))</x:f>
        <x:v>待展开路径</x:v>
      </x:c>
    </x:row>
    <x:row r="1150" ht="43.5" customHeight="1">
      <x:c r="A1150" s="20" t="str">
        <x:v>REC-01141</x:v>
      </x:c>
      <x:c r="B1150" s="20" t="str">
        <x:v>P3-B1-01</x:v>
      </x:c>
      <x:c r="C1150" s="30" t="str">
        <x:f>IF(B1150="","",IF(COUNTIFS(Equipment[组合编号],B1150)&lt;&gt;1,"组合编号无效",INDEX(Equipment[PLC组],MATCH(B1150,Equipment[组合编号],0))))</x:f>
        <x:v>欧姆龙</x:v>
      </x:c>
      <x:c r="D1150" s="30" t="str">
        <x:f>IF(B1150="","",IF(COUNTIFS(Equipment[组合编号],B1150)&lt;&gt;1,"组合编号无效",INDEX(Equipment[驱动品牌],MATCH(B1150,Equipment[组合编号],0))))</x:f>
        <x:v>CDHD</x:v>
      </x:c>
      <x:c r="E1150" s="20" t="str">
        <x:v>C02</x:v>
      </x:c>
      <x:c r="F1150" s="20"/>
      <x:c r="G1150" s="20"/>
      <x:c r="H1150" s="20" t="str">
        <x:v>待判定</x:v>
      </x:c>
      <x:c r="I1150" s="20"/>
      <x:c r="J1150" s="20" t="str">
        <x:v>未测试</x:v>
      </x:c>
      <x:c r="K1150" s="20"/>
      <x:c r="L1150" s="20"/>
      <x:c r="M1150" s="20"/>
      <x:c r="N1150" s="20"/>
      <x:c r="O1150" s="31"/>
      <x:c r="P1150" s="20"/>
      <x:c r="Q1150" s="20"/>
      <x:c r="R1150" s="20" t="str">
        <x:v>待展开</x:v>
      </x:c>
      <x:c r="S1150" s="20"/>
      <x:c r="T1150" s="31"/>
      <x:c r="U1150" s="30" t="str">
        <x:f>IF(A1150="","缺记录编号",IF(COUNTIFS(PathRecords[记录编号],A1150)&lt;&gt;1,"记录编号重复",IF(OR(B1150="",E1150=""),"缺组合/功能",IF(COUNTIFS(Equipment[组合编号],B1150)&lt;&gt;1,"组合编号无效",IF(COUNTIFS(FunctionMatrix[编号],E1150)=0,"功能编号无效",IF(H1150="不适用",IF(J1150="已实测","适用性冲突",IF(I1150="","待补不适用依据","不适用（非实测）")),IF(J1150="阻塞",IF(I1150="","待补阻塞原因","阻塞（非实测）"),IF(J1150&lt;&gt;"已实测",IF(F1150="","待展开路径","未实测"),IF(H1150&lt;&gt;"适用","待确认适用性",IF(INDEX(Equipment[登记状态（自动）],MATCH(B1150,Equipment[组合编号],0))&lt;&gt;"已登记","待补设备组合",IF(AND(F1150&lt;&gt;"",G1150&lt;&gt;"",K1150&lt;&gt;"",L1150&lt;&gt;"",M1150&lt;&gt;"",N1150&lt;&gt;"",ISNUMBER(O1150),O1150&gt;0,P1150&lt;&gt;""),"记录齐全","待补实测记录")))))))))))</x:f>
        <x:v>待展开路径</x:v>
      </x:c>
    </x:row>
    <x:row r="1151" ht="43.5" customHeight="1">
      <x:c r="A1151" s="20" t="str">
        <x:v>REC-01142</x:v>
      </x:c>
      <x:c r="B1151" s="20" t="str">
        <x:v>P3-B1-01</x:v>
      </x:c>
      <x:c r="C1151" s="30" t="str">
        <x:f>IF(B1151="","",IF(COUNTIFS(Equipment[组合编号],B1151)&lt;&gt;1,"组合编号无效",INDEX(Equipment[PLC组],MATCH(B1151,Equipment[组合编号],0))))</x:f>
        <x:v>欧姆龙</x:v>
      </x:c>
      <x:c r="D1151" s="30" t="str">
        <x:f>IF(B1151="","",IF(COUNTIFS(Equipment[组合编号],B1151)&lt;&gt;1,"组合编号无效",INDEX(Equipment[驱动品牌],MATCH(B1151,Equipment[组合编号],0))))</x:f>
        <x:v>CDHD</x:v>
      </x:c>
      <x:c r="E1151" s="20" t="str">
        <x:v>C03</x:v>
      </x:c>
      <x:c r="F1151" s="20"/>
      <x:c r="G1151" s="20"/>
      <x:c r="H1151" s="20" t="str">
        <x:v>待判定</x:v>
      </x:c>
      <x:c r="I1151" s="20"/>
      <x:c r="J1151" s="20" t="str">
        <x:v>未测试</x:v>
      </x:c>
      <x:c r="K1151" s="20"/>
      <x:c r="L1151" s="20"/>
      <x:c r="M1151" s="20"/>
      <x:c r="N1151" s="20"/>
      <x:c r="O1151" s="31"/>
      <x:c r="P1151" s="20"/>
      <x:c r="Q1151" s="20"/>
      <x:c r="R1151" s="20" t="str">
        <x:v>待展开</x:v>
      </x:c>
      <x:c r="S1151" s="20"/>
      <x:c r="T1151" s="31"/>
      <x:c r="U1151" s="30" t="str">
        <x:f>IF(A1151="","缺记录编号",IF(COUNTIFS(PathRecords[记录编号],A1151)&lt;&gt;1,"记录编号重复",IF(OR(B1151="",E1151=""),"缺组合/功能",IF(COUNTIFS(Equipment[组合编号],B1151)&lt;&gt;1,"组合编号无效",IF(COUNTIFS(FunctionMatrix[编号],E1151)=0,"功能编号无效",IF(H1151="不适用",IF(J1151="已实测","适用性冲突",IF(I1151="","待补不适用依据","不适用（非实测）")),IF(J1151="阻塞",IF(I1151="","待补阻塞原因","阻塞（非实测）"),IF(J1151&lt;&gt;"已实测",IF(F1151="","待展开路径","未实测"),IF(H1151&lt;&gt;"适用","待确认适用性",IF(INDEX(Equipment[登记状态（自动）],MATCH(B1151,Equipment[组合编号],0))&lt;&gt;"已登记","待补设备组合",IF(AND(F1151&lt;&gt;"",G1151&lt;&gt;"",K1151&lt;&gt;"",L1151&lt;&gt;"",M1151&lt;&gt;"",N1151&lt;&gt;"",ISNUMBER(O1151),O1151&gt;0,P1151&lt;&gt;""),"记录齐全","待补实测记录")))))))))))</x:f>
        <x:v>待展开路径</x:v>
      </x:c>
    </x:row>
    <x:row r="1152" ht="43.5" customHeight="1">
      <x:c r="A1152" s="20" t="str">
        <x:v>REC-01143</x:v>
      </x:c>
      <x:c r="B1152" s="20" t="str">
        <x:v>P3-B1-01</x:v>
      </x:c>
      <x:c r="C1152" s="30" t="str">
        <x:f>IF(B1152="","",IF(COUNTIFS(Equipment[组合编号],B1152)&lt;&gt;1,"组合编号无效",INDEX(Equipment[PLC组],MATCH(B1152,Equipment[组合编号],0))))</x:f>
        <x:v>欧姆龙</x:v>
      </x:c>
      <x:c r="D1152" s="30" t="str">
        <x:f>IF(B1152="","",IF(COUNTIFS(Equipment[组合编号],B1152)&lt;&gt;1,"组合编号无效",INDEX(Equipment[驱动品牌],MATCH(B1152,Equipment[组合编号],0))))</x:f>
        <x:v>CDHD</x:v>
      </x:c>
      <x:c r="E1152" s="20" t="str">
        <x:v>C04</x:v>
      </x:c>
      <x:c r="F1152" s="20"/>
      <x:c r="G1152" s="20"/>
      <x:c r="H1152" s="20" t="str">
        <x:v>待判定</x:v>
      </x:c>
      <x:c r="I1152" s="20"/>
      <x:c r="J1152" s="20" t="str">
        <x:v>未测试</x:v>
      </x:c>
      <x:c r="K1152" s="20"/>
      <x:c r="L1152" s="20"/>
      <x:c r="M1152" s="20"/>
      <x:c r="N1152" s="20"/>
      <x:c r="O1152" s="31"/>
      <x:c r="P1152" s="20"/>
      <x:c r="Q1152" s="20"/>
      <x:c r="R1152" s="20" t="str">
        <x:v>待展开</x:v>
      </x:c>
      <x:c r="S1152" s="20"/>
      <x:c r="T1152" s="31"/>
      <x:c r="U1152" s="30" t="str">
        <x:f>IF(A1152="","缺记录编号",IF(COUNTIFS(PathRecords[记录编号],A1152)&lt;&gt;1,"记录编号重复",IF(OR(B1152="",E1152=""),"缺组合/功能",IF(COUNTIFS(Equipment[组合编号],B1152)&lt;&gt;1,"组合编号无效",IF(COUNTIFS(FunctionMatrix[编号],E1152)=0,"功能编号无效",IF(H1152="不适用",IF(J1152="已实测","适用性冲突",IF(I1152="","待补不适用依据","不适用（非实测）")),IF(J1152="阻塞",IF(I1152="","待补阻塞原因","阻塞（非实测）"),IF(J1152&lt;&gt;"已实测",IF(F1152="","待展开路径","未实测"),IF(H1152&lt;&gt;"适用","待确认适用性",IF(INDEX(Equipment[登记状态（自动）],MATCH(B1152,Equipment[组合编号],0))&lt;&gt;"已登记","待补设备组合",IF(AND(F1152&lt;&gt;"",G1152&lt;&gt;"",K1152&lt;&gt;"",L1152&lt;&gt;"",M1152&lt;&gt;"",N1152&lt;&gt;"",ISNUMBER(O1152),O1152&gt;0,P1152&lt;&gt;""),"记录齐全","待补实测记录")))))))))))</x:f>
        <x:v>待展开路径</x:v>
      </x:c>
    </x:row>
    <x:row r="1153" ht="43.5" customHeight="1">
      <x:c r="A1153" s="20" t="str">
        <x:v>REC-01144</x:v>
      </x:c>
      <x:c r="B1153" s="20" t="str">
        <x:v>P3-B1-01</x:v>
      </x:c>
      <x:c r="C1153" s="30" t="str">
        <x:f>IF(B1153="","",IF(COUNTIFS(Equipment[组合编号],B1153)&lt;&gt;1,"组合编号无效",INDEX(Equipment[PLC组],MATCH(B1153,Equipment[组合编号],0))))</x:f>
        <x:v>欧姆龙</x:v>
      </x:c>
      <x:c r="D1153" s="30" t="str">
        <x:f>IF(B1153="","",IF(COUNTIFS(Equipment[组合编号],B1153)&lt;&gt;1,"组合编号无效",INDEX(Equipment[驱动品牌],MATCH(B1153,Equipment[组合编号],0))))</x:f>
        <x:v>CDHD</x:v>
      </x:c>
      <x:c r="E1153" s="20" t="str">
        <x:v>C05</x:v>
      </x:c>
      <x:c r="F1153" s="20"/>
      <x:c r="G1153" s="20"/>
      <x:c r="H1153" s="20" t="str">
        <x:v>待判定</x:v>
      </x:c>
      <x:c r="I1153" s="20"/>
      <x:c r="J1153" s="20" t="str">
        <x:v>未测试</x:v>
      </x:c>
      <x:c r="K1153" s="20"/>
      <x:c r="L1153" s="20"/>
      <x:c r="M1153" s="20"/>
      <x:c r="N1153" s="20"/>
      <x:c r="O1153" s="31"/>
      <x:c r="P1153" s="20"/>
      <x:c r="Q1153" s="20"/>
      <x:c r="R1153" s="20" t="str">
        <x:v>待展开</x:v>
      </x:c>
      <x:c r="S1153" s="20"/>
      <x:c r="T1153" s="31"/>
      <x:c r="U1153" s="30" t="str">
        <x:f>IF(A1153="","缺记录编号",IF(COUNTIFS(PathRecords[记录编号],A1153)&lt;&gt;1,"记录编号重复",IF(OR(B1153="",E1153=""),"缺组合/功能",IF(COUNTIFS(Equipment[组合编号],B1153)&lt;&gt;1,"组合编号无效",IF(COUNTIFS(FunctionMatrix[编号],E1153)=0,"功能编号无效",IF(H1153="不适用",IF(J1153="已实测","适用性冲突",IF(I1153="","待补不适用依据","不适用（非实测）")),IF(J1153="阻塞",IF(I1153="","待补阻塞原因","阻塞（非实测）"),IF(J1153&lt;&gt;"已实测",IF(F1153="","待展开路径","未实测"),IF(H1153&lt;&gt;"适用","待确认适用性",IF(INDEX(Equipment[登记状态（自动）],MATCH(B1153,Equipment[组合编号],0))&lt;&gt;"已登记","待补设备组合",IF(AND(F1153&lt;&gt;"",G1153&lt;&gt;"",K1153&lt;&gt;"",L1153&lt;&gt;"",M1153&lt;&gt;"",N1153&lt;&gt;"",ISNUMBER(O1153),O1153&gt;0,P1153&lt;&gt;""),"记录齐全","待补实测记录")))))))))))</x:f>
        <x:v>待展开路径</x:v>
      </x:c>
    </x:row>
    <x:row r="1154" ht="43.5" customHeight="1">
      <x:c r="A1154" s="20" t="str">
        <x:v>REC-01145</x:v>
      </x:c>
      <x:c r="B1154" s="20" t="str">
        <x:v>P3-B1-01</x:v>
      </x:c>
      <x:c r="C1154" s="30" t="str">
        <x:f>IF(B1154="","",IF(COUNTIFS(Equipment[组合编号],B1154)&lt;&gt;1,"组合编号无效",INDEX(Equipment[PLC组],MATCH(B1154,Equipment[组合编号],0))))</x:f>
        <x:v>欧姆龙</x:v>
      </x:c>
      <x:c r="D1154" s="30" t="str">
        <x:f>IF(B1154="","",IF(COUNTIFS(Equipment[组合编号],B1154)&lt;&gt;1,"组合编号无效",INDEX(Equipment[驱动品牌],MATCH(B1154,Equipment[组合编号],0))))</x:f>
        <x:v>CDHD</x:v>
      </x:c>
      <x:c r="E1154" s="20" t="str">
        <x:v>C06</x:v>
      </x:c>
      <x:c r="F1154" s="20"/>
      <x:c r="G1154" s="20"/>
      <x:c r="H1154" s="20" t="str">
        <x:v>待判定</x:v>
      </x:c>
      <x:c r="I1154" s="20"/>
      <x:c r="J1154" s="20" t="str">
        <x:v>未测试</x:v>
      </x:c>
      <x:c r="K1154" s="20"/>
      <x:c r="L1154" s="20"/>
      <x:c r="M1154" s="20"/>
      <x:c r="N1154" s="20"/>
      <x:c r="O1154" s="31"/>
      <x:c r="P1154" s="20"/>
      <x:c r="Q1154" s="20"/>
      <x:c r="R1154" s="20" t="str">
        <x:v>待展开</x:v>
      </x:c>
      <x:c r="S1154" s="20"/>
      <x:c r="T1154" s="31"/>
      <x:c r="U1154" s="30" t="str">
        <x:f>IF(A1154="","缺记录编号",IF(COUNTIFS(PathRecords[记录编号],A1154)&lt;&gt;1,"记录编号重复",IF(OR(B1154="",E1154=""),"缺组合/功能",IF(COUNTIFS(Equipment[组合编号],B1154)&lt;&gt;1,"组合编号无效",IF(COUNTIFS(FunctionMatrix[编号],E1154)=0,"功能编号无效",IF(H1154="不适用",IF(J1154="已实测","适用性冲突",IF(I1154="","待补不适用依据","不适用（非实测）")),IF(J1154="阻塞",IF(I1154="","待补阻塞原因","阻塞（非实测）"),IF(J1154&lt;&gt;"已实测",IF(F1154="","待展开路径","未实测"),IF(H1154&lt;&gt;"适用","待确认适用性",IF(INDEX(Equipment[登记状态（自动）],MATCH(B1154,Equipment[组合编号],0))&lt;&gt;"已登记","待补设备组合",IF(AND(F1154&lt;&gt;"",G1154&lt;&gt;"",K1154&lt;&gt;"",L1154&lt;&gt;"",M1154&lt;&gt;"",N1154&lt;&gt;"",ISNUMBER(O1154),O1154&gt;0,P1154&lt;&gt;""),"记录齐全","待补实测记录")))))))))))</x:f>
        <x:v>待展开路径</x:v>
      </x:c>
    </x:row>
    <x:row r="1155" ht="43.5" customHeight="1">
      <x:c r="A1155" s="20" t="str">
        <x:v>REC-01146</x:v>
      </x:c>
      <x:c r="B1155" s="20" t="str">
        <x:v>P3-B1-01</x:v>
      </x:c>
      <x:c r="C1155" s="30" t="str">
        <x:f>IF(B1155="","",IF(COUNTIFS(Equipment[组合编号],B1155)&lt;&gt;1,"组合编号无效",INDEX(Equipment[PLC组],MATCH(B1155,Equipment[组合编号],0))))</x:f>
        <x:v>欧姆龙</x:v>
      </x:c>
      <x:c r="D1155" s="30" t="str">
        <x:f>IF(B1155="","",IF(COUNTIFS(Equipment[组合编号],B1155)&lt;&gt;1,"组合编号无效",INDEX(Equipment[驱动品牌],MATCH(B1155,Equipment[组合编号],0))))</x:f>
        <x:v>CDHD</x:v>
      </x:c>
      <x:c r="E1155" s="20" t="str">
        <x:v>C07</x:v>
      </x:c>
      <x:c r="F1155" s="20"/>
      <x:c r="G1155" s="20"/>
      <x:c r="H1155" s="20" t="str">
        <x:v>待判定</x:v>
      </x:c>
      <x:c r="I1155" s="20"/>
      <x:c r="J1155" s="20" t="str">
        <x:v>未测试</x:v>
      </x:c>
      <x:c r="K1155" s="20"/>
      <x:c r="L1155" s="20"/>
      <x:c r="M1155" s="20"/>
      <x:c r="N1155" s="20"/>
      <x:c r="O1155" s="31"/>
      <x:c r="P1155" s="20"/>
      <x:c r="Q1155" s="20"/>
      <x:c r="R1155" s="20" t="str">
        <x:v>待展开</x:v>
      </x:c>
      <x:c r="S1155" s="20"/>
      <x:c r="T1155" s="31"/>
      <x:c r="U1155" s="30" t="str">
        <x:f>IF(A1155="","缺记录编号",IF(COUNTIFS(PathRecords[记录编号],A1155)&lt;&gt;1,"记录编号重复",IF(OR(B1155="",E1155=""),"缺组合/功能",IF(COUNTIFS(Equipment[组合编号],B1155)&lt;&gt;1,"组合编号无效",IF(COUNTIFS(FunctionMatrix[编号],E1155)=0,"功能编号无效",IF(H1155="不适用",IF(J1155="已实测","适用性冲突",IF(I1155="","待补不适用依据","不适用（非实测）")),IF(J1155="阻塞",IF(I1155="","待补阻塞原因","阻塞（非实测）"),IF(J1155&lt;&gt;"已实测",IF(F1155="","待展开路径","未实测"),IF(H1155&lt;&gt;"适用","待确认适用性",IF(INDEX(Equipment[登记状态（自动）],MATCH(B1155,Equipment[组合编号],0))&lt;&gt;"已登记","待补设备组合",IF(AND(F1155&lt;&gt;"",G1155&lt;&gt;"",K1155&lt;&gt;"",L1155&lt;&gt;"",M1155&lt;&gt;"",N1155&lt;&gt;"",ISNUMBER(O1155),O1155&gt;0,P1155&lt;&gt;""),"记录齐全","待补实测记录")))))))))))</x:f>
        <x:v>待展开路径</x:v>
      </x:c>
    </x:row>
    <x:row r="1156" ht="43.5" customHeight="1">
      <x:c r="A1156" s="20" t="str">
        <x:v>REC-01147</x:v>
      </x:c>
      <x:c r="B1156" s="20" t="str">
        <x:v>P3-B1-01</x:v>
      </x:c>
      <x:c r="C1156" s="30" t="str">
        <x:f>IF(B1156="","",IF(COUNTIFS(Equipment[组合编号],B1156)&lt;&gt;1,"组合编号无效",INDEX(Equipment[PLC组],MATCH(B1156,Equipment[组合编号],0))))</x:f>
        <x:v>欧姆龙</x:v>
      </x:c>
      <x:c r="D1156" s="30" t="str">
        <x:f>IF(B1156="","",IF(COUNTIFS(Equipment[组合编号],B1156)&lt;&gt;1,"组合编号无效",INDEX(Equipment[驱动品牌],MATCH(B1156,Equipment[组合编号],0))))</x:f>
        <x:v>CDHD</x:v>
      </x:c>
      <x:c r="E1156" s="20" t="str">
        <x:v>C08</x:v>
      </x:c>
      <x:c r="F1156" s="20"/>
      <x:c r="G1156" s="20"/>
      <x:c r="H1156" s="20" t="str">
        <x:v>待判定</x:v>
      </x:c>
      <x:c r="I1156" s="20"/>
      <x:c r="J1156" s="20" t="str">
        <x:v>未测试</x:v>
      </x:c>
      <x:c r="K1156" s="20"/>
      <x:c r="L1156" s="20"/>
      <x:c r="M1156" s="20"/>
      <x:c r="N1156" s="20"/>
      <x:c r="O1156" s="31"/>
      <x:c r="P1156" s="20"/>
      <x:c r="Q1156" s="20"/>
      <x:c r="R1156" s="20" t="str">
        <x:v>待展开</x:v>
      </x:c>
      <x:c r="S1156" s="20"/>
      <x:c r="T1156" s="31"/>
      <x:c r="U1156" s="30" t="str">
        <x:f>IF(A1156="","缺记录编号",IF(COUNTIFS(PathRecords[记录编号],A1156)&lt;&gt;1,"记录编号重复",IF(OR(B1156="",E1156=""),"缺组合/功能",IF(COUNTIFS(Equipment[组合编号],B1156)&lt;&gt;1,"组合编号无效",IF(COUNTIFS(FunctionMatrix[编号],E1156)=0,"功能编号无效",IF(H1156="不适用",IF(J1156="已实测","适用性冲突",IF(I1156="","待补不适用依据","不适用（非实测）")),IF(J1156="阻塞",IF(I1156="","待补阻塞原因","阻塞（非实测）"),IF(J1156&lt;&gt;"已实测",IF(F1156="","待展开路径","未实测"),IF(H1156&lt;&gt;"适用","待确认适用性",IF(INDEX(Equipment[登记状态（自动）],MATCH(B1156,Equipment[组合编号],0))&lt;&gt;"已登记","待补设备组合",IF(AND(F1156&lt;&gt;"",G1156&lt;&gt;"",K1156&lt;&gt;"",L1156&lt;&gt;"",M1156&lt;&gt;"",N1156&lt;&gt;"",ISNUMBER(O1156),O1156&gt;0,P1156&lt;&gt;""),"记录齐全","待补实测记录")))))))))))</x:f>
        <x:v>待展开路径</x:v>
      </x:c>
    </x:row>
    <x:row r="1157" ht="43.5" customHeight="1">
      <x:c r="A1157" s="20" t="str">
        <x:v>REC-01148</x:v>
      </x:c>
      <x:c r="B1157" s="20" t="str">
        <x:v>P3-B1-01</x:v>
      </x:c>
      <x:c r="C1157" s="30" t="str">
        <x:f>IF(B1157="","",IF(COUNTIFS(Equipment[组合编号],B1157)&lt;&gt;1,"组合编号无效",INDEX(Equipment[PLC组],MATCH(B1157,Equipment[组合编号],0))))</x:f>
        <x:v>欧姆龙</x:v>
      </x:c>
      <x:c r="D1157" s="30" t="str">
        <x:f>IF(B1157="","",IF(COUNTIFS(Equipment[组合编号],B1157)&lt;&gt;1,"组合编号无效",INDEX(Equipment[驱动品牌],MATCH(B1157,Equipment[组合编号],0))))</x:f>
        <x:v>CDHD</x:v>
      </x:c>
      <x:c r="E1157" s="20" t="str">
        <x:v>C09</x:v>
      </x:c>
      <x:c r="F1157" s="20"/>
      <x:c r="G1157" s="20"/>
      <x:c r="H1157" s="20" t="str">
        <x:v>待判定</x:v>
      </x:c>
      <x:c r="I1157" s="20"/>
      <x:c r="J1157" s="20" t="str">
        <x:v>未测试</x:v>
      </x:c>
      <x:c r="K1157" s="20"/>
      <x:c r="L1157" s="20"/>
      <x:c r="M1157" s="20"/>
      <x:c r="N1157" s="20"/>
      <x:c r="O1157" s="31"/>
      <x:c r="P1157" s="20"/>
      <x:c r="Q1157" s="20"/>
      <x:c r="R1157" s="20" t="str">
        <x:v>待展开</x:v>
      </x:c>
      <x:c r="S1157" s="20"/>
      <x:c r="T1157" s="31"/>
      <x:c r="U1157" s="30" t="str">
        <x:f>IF(A1157="","缺记录编号",IF(COUNTIFS(PathRecords[记录编号],A1157)&lt;&gt;1,"记录编号重复",IF(OR(B1157="",E1157=""),"缺组合/功能",IF(COUNTIFS(Equipment[组合编号],B1157)&lt;&gt;1,"组合编号无效",IF(COUNTIFS(FunctionMatrix[编号],E1157)=0,"功能编号无效",IF(H1157="不适用",IF(J1157="已实测","适用性冲突",IF(I1157="","待补不适用依据","不适用（非实测）")),IF(J1157="阻塞",IF(I1157="","待补阻塞原因","阻塞（非实测）"),IF(J1157&lt;&gt;"已实测",IF(F1157="","待展开路径","未实测"),IF(H1157&lt;&gt;"适用","待确认适用性",IF(INDEX(Equipment[登记状态（自动）],MATCH(B1157,Equipment[组合编号],0))&lt;&gt;"已登记","待补设备组合",IF(AND(F1157&lt;&gt;"",G1157&lt;&gt;"",K1157&lt;&gt;"",L1157&lt;&gt;"",M1157&lt;&gt;"",N1157&lt;&gt;"",ISNUMBER(O1157),O1157&gt;0,P1157&lt;&gt;""),"记录齐全","待补实测记录")))))))))))</x:f>
        <x:v>待展开路径</x:v>
      </x:c>
    </x:row>
    <x:row r="1158" ht="43.5" customHeight="1">
      <x:c r="A1158" s="20" t="str">
        <x:v>REC-01149</x:v>
      </x:c>
      <x:c r="B1158" s="20" t="str">
        <x:v>P3-B1-01</x:v>
      </x:c>
      <x:c r="C1158" s="30" t="str">
        <x:f>IF(B1158="","",IF(COUNTIFS(Equipment[组合编号],B1158)&lt;&gt;1,"组合编号无效",INDEX(Equipment[PLC组],MATCH(B1158,Equipment[组合编号],0))))</x:f>
        <x:v>欧姆龙</x:v>
      </x:c>
      <x:c r="D1158" s="30" t="str">
        <x:f>IF(B1158="","",IF(COUNTIFS(Equipment[组合编号],B1158)&lt;&gt;1,"组合编号无效",INDEX(Equipment[驱动品牌],MATCH(B1158,Equipment[组合编号],0))))</x:f>
        <x:v>CDHD</x:v>
      </x:c>
      <x:c r="E1158" s="20" t="str">
        <x:v>C10</x:v>
      </x:c>
      <x:c r="F1158" s="20"/>
      <x:c r="G1158" s="20"/>
      <x:c r="H1158" s="20" t="str">
        <x:v>待判定</x:v>
      </x:c>
      <x:c r="I1158" s="20"/>
      <x:c r="J1158" s="20" t="str">
        <x:v>未测试</x:v>
      </x:c>
      <x:c r="K1158" s="20"/>
      <x:c r="L1158" s="20"/>
      <x:c r="M1158" s="20"/>
      <x:c r="N1158" s="20"/>
      <x:c r="O1158" s="31"/>
      <x:c r="P1158" s="20"/>
      <x:c r="Q1158" s="20"/>
      <x:c r="R1158" s="20" t="str">
        <x:v>待展开</x:v>
      </x:c>
      <x:c r="S1158" s="20"/>
      <x:c r="T1158" s="31"/>
      <x:c r="U1158" s="30" t="str">
        <x:f>IF(A1158="","缺记录编号",IF(COUNTIFS(PathRecords[记录编号],A1158)&lt;&gt;1,"记录编号重复",IF(OR(B1158="",E1158=""),"缺组合/功能",IF(COUNTIFS(Equipment[组合编号],B1158)&lt;&gt;1,"组合编号无效",IF(COUNTIFS(FunctionMatrix[编号],E1158)=0,"功能编号无效",IF(H1158="不适用",IF(J1158="已实测","适用性冲突",IF(I1158="","待补不适用依据","不适用（非实测）")),IF(J1158="阻塞",IF(I1158="","待补阻塞原因","阻塞（非实测）"),IF(J1158&lt;&gt;"已实测",IF(F1158="","待展开路径","未实测"),IF(H1158&lt;&gt;"适用","待确认适用性",IF(INDEX(Equipment[登记状态（自动）],MATCH(B1158,Equipment[组合编号],0))&lt;&gt;"已登记","待补设备组合",IF(AND(F1158&lt;&gt;"",G1158&lt;&gt;"",K1158&lt;&gt;"",L1158&lt;&gt;"",M1158&lt;&gt;"",N1158&lt;&gt;"",ISNUMBER(O1158),O1158&gt;0,P1158&lt;&gt;""),"记录齐全","待补实测记录")))))))))))</x:f>
        <x:v>待展开路径</x:v>
      </x:c>
    </x:row>
    <x:row r="1159" ht="43.5" customHeight="1">
      <x:c r="A1159" s="20" t="str">
        <x:v>REC-01150</x:v>
      </x:c>
      <x:c r="B1159" s="20" t="str">
        <x:v>P3-B1-01</x:v>
      </x:c>
      <x:c r="C1159" s="30" t="str">
        <x:f>IF(B1159="","",IF(COUNTIFS(Equipment[组合编号],B1159)&lt;&gt;1,"组合编号无效",INDEX(Equipment[PLC组],MATCH(B1159,Equipment[组合编号],0))))</x:f>
        <x:v>欧姆龙</x:v>
      </x:c>
      <x:c r="D1159" s="30" t="str">
        <x:f>IF(B1159="","",IF(COUNTIFS(Equipment[组合编号],B1159)&lt;&gt;1,"组合编号无效",INDEX(Equipment[驱动品牌],MATCH(B1159,Equipment[组合编号],0))))</x:f>
        <x:v>CDHD</x:v>
      </x:c>
      <x:c r="E1159" s="20" t="str">
        <x:v>T01</x:v>
      </x:c>
      <x:c r="F1159" s="20"/>
      <x:c r="G1159" s="20"/>
      <x:c r="H1159" s="20" t="str">
        <x:v>待判定</x:v>
      </x:c>
      <x:c r="I1159" s="20"/>
      <x:c r="J1159" s="20" t="str">
        <x:v>未测试</x:v>
      </x:c>
      <x:c r="K1159" s="20"/>
      <x:c r="L1159" s="20"/>
      <x:c r="M1159" s="20"/>
      <x:c r="N1159" s="20"/>
      <x:c r="O1159" s="31"/>
      <x:c r="P1159" s="20"/>
      <x:c r="Q1159" s="20"/>
      <x:c r="R1159" s="20" t="str">
        <x:v>待展开</x:v>
      </x:c>
      <x:c r="S1159" s="20"/>
      <x:c r="T1159" s="31"/>
      <x:c r="U1159" s="30" t="str">
        <x:f>IF(A1159="","缺记录编号",IF(COUNTIFS(PathRecords[记录编号],A1159)&lt;&gt;1,"记录编号重复",IF(OR(B1159="",E1159=""),"缺组合/功能",IF(COUNTIFS(Equipment[组合编号],B1159)&lt;&gt;1,"组合编号无效",IF(COUNTIFS(FunctionMatrix[编号],E1159)=0,"功能编号无效",IF(H1159="不适用",IF(J1159="已实测","适用性冲突",IF(I1159="","待补不适用依据","不适用（非实测）")),IF(J1159="阻塞",IF(I1159="","待补阻塞原因","阻塞（非实测）"),IF(J1159&lt;&gt;"已实测",IF(F1159="","待展开路径","未实测"),IF(H1159&lt;&gt;"适用","待确认适用性",IF(INDEX(Equipment[登记状态（自动）],MATCH(B1159,Equipment[组合编号],0))&lt;&gt;"已登记","待补设备组合",IF(AND(F1159&lt;&gt;"",G1159&lt;&gt;"",K1159&lt;&gt;"",L1159&lt;&gt;"",M1159&lt;&gt;"",N1159&lt;&gt;"",ISNUMBER(O1159),O1159&gt;0,P1159&lt;&gt;""),"记录齐全","待补实测记录")))))))))))</x:f>
        <x:v>待展开路径</x:v>
      </x:c>
    </x:row>
    <x:row r="1160" ht="43.5" customHeight="1">
      <x:c r="A1160" s="20" t="str">
        <x:v>REC-01151</x:v>
      </x:c>
      <x:c r="B1160" s="20" t="str">
        <x:v>P3-B1-01</x:v>
      </x:c>
      <x:c r="C1160" s="30" t="str">
        <x:f>IF(B1160="","",IF(COUNTIFS(Equipment[组合编号],B1160)&lt;&gt;1,"组合编号无效",INDEX(Equipment[PLC组],MATCH(B1160,Equipment[组合编号],0))))</x:f>
        <x:v>欧姆龙</x:v>
      </x:c>
      <x:c r="D1160" s="30" t="str">
        <x:f>IF(B1160="","",IF(COUNTIFS(Equipment[组合编号],B1160)&lt;&gt;1,"组合编号无效",INDEX(Equipment[驱动品牌],MATCH(B1160,Equipment[组合编号],0))))</x:f>
        <x:v>CDHD</x:v>
      </x:c>
      <x:c r="E1160" s="20" t="str">
        <x:v>T02</x:v>
      </x:c>
      <x:c r="F1160" s="20"/>
      <x:c r="G1160" s="20"/>
      <x:c r="H1160" s="20" t="str">
        <x:v>待判定</x:v>
      </x:c>
      <x:c r="I1160" s="20"/>
      <x:c r="J1160" s="20" t="str">
        <x:v>未测试</x:v>
      </x:c>
      <x:c r="K1160" s="20"/>
      <x:c r="L1160" s="20"/>
      <x:c r="M1160" s="20"/>
      <x:c r="N1160" s="20"/>
      <x:c r="O1160" s="31"/>
      <x:c r="P1160" s="20"/>
      <x:c r="Q1160" s="20"/>
      <x:c r="R1160" s="20" t="str">
        <x:v>待展开</x:v>
      </x:c>
      <x:c r="S1160" s="20"/>
      <x:c r="T1160" s="31"/>
      <x:c r="U1160" s="30" t="str">
        <x:f>IF(A1160="","缺记录编号",IF(COUNTIFS(PathRecords[记录编号],A1160)&lt;&gt;1,"记录编号重复",IF(OR(B1160="",E1160=""),"缺组合/功能",IF(COUNTIFS(Equipment[组合编号],B1160)&lt;&gt;1,"组合编号无效",IF(COUNTIFS(FunctionMatrix[编号],E1160)=0,"功能编号无效",IF(H1160="不适用",IF(J1160="已实测","适用性冲突",IF(I1160="","待补不适用依据","不适用（非实测）")),IF(J1160="阻塞",IF(I1160="","待补阻塞原因","阻塞（非实测）"),IF(J1160&lt;&gt;"已实测",IF(F1160="","待展开路径","未实测"),IF(H1160&lt;&gt;"适用","待确认适用性",IF(INDEX(Equipment[登记状态（自动）],MATCH(B1160,Equipment[组合编号],0))&lt;&gt;"已登记","待补设备组合",IF(AND(F1160&lt;&gt;"",G1160&lt;&gt;"",K1160&lt;&gt;"",L1160&lt;&gt;"",M1160&lt;&gt;"",N1160&lt;&gt;"",ISNUMBER(O1160),O1160&gt;0,P1160&lt;&gt;""),"记录齐全","待补实测记录")))))))))))</x:f>
        <x:v>待展开路径</x:v>
      </x:c>
    </x:row>
    <x:row r="1161" ht="43.5" customHeight="1">
      <x:c r="A1161" s="20" t="str">
        <x:v>REC-01152</x:v>
      </x:c>
      <x:c r="B1161" s="20" t="str">
        <x:v>P3-B1-01</x:v>
      </x:c>
      <x:c r="C1161" s="30" t="str">
        <x:f>IF(B1161="","",IF(COUNTIFS(Equipment[组合编号],B1161)&lt;&gt;1,"组合编号无效",INDEX(Equipment[PLC组],MATCH(B1161,Equipment[组合编号],0))))</x:f>
        <x:v>欧姆龙</x:v>
      </x:c>
      <x:c r="D1161" s="30" t="str">
        <x:f>IF(B1161="","",IF(COUNTIFS(Equipment[组合编号],B1161)&lt;&gt;1,"组合编号无效",INDEX(Equipment[驱动品牌],MATCH(B1161,Equipment[组合编号],0))))</x:f>
        <x:v>CDHD</x:v>
      </x:c>
      <x:c r="E1161" s="20" t="str">
        <x:v>T03</x:v>
      </x:c>
      <x:c r="F1161" s="20"/>
      <x:c r="G1161" s="20"/>
      <x:c r="H1161" s="20" t="str">
        <x:v>待判定</x:v>
      </x:c>
      <x:c r="I1161" s="20"/>
      <x:c r="J1161" s="20" t="str">
        <x:v>未测试</x:v>
      </x:c>
      <x:c r="K1161" s="20"/>
      <x:c r="L1161" s="20"/>
      <x:c r="M1161" s="20"/>
      <x:c r="N1161" s="20"/>
      <x:c r="O1161" s="31"/>
      <x:c r="P1161" s="20"/>
      <x:c r="Q1161" s="20"/>
      <x:c r="R1161" s="20" t="str">
        <x:v>待展开</x:v>
      </x:c>
      <x:c r="S1161" s="20"/>
      <x:c r="T1161" s="31"/>
      <x:c r="U1161" s="30" t="str">
        <x:f>IF(A1161="","缺记录编号",IF(COUNTIFS(PathRecords[记录编号],A1161)&lt;&gt;1,"记录编号重复",IF(OR(B1161="",E1161=""),"缺组合/功能",IF(COUNTIFS(Equipment[组合编号],B1161)&lt;&gt;1,"组合编号无效",IF(COUNTIFS(FunctionMatrix[编号],E1161)=0,"功能编号无效",IF(H1161="不适用",IF(J1161="已实测","适用性冲突",IF(I1161="","待补不适用依据","不适用（非实测）")),IF(J1161="阻塞",IF(I1161="","待补阻塞原因","阻塞（非实测）"),IF(J1161&lt;&gt;"已实测",IF(F1161="","待展开路径","未实测"),IF(H1161&lt;&gt;"适用","待确认适用性",IF(INDEX(Equipment[登记状态（自动）],MATCH(B1161,Equipment[组合编号],0))&lt;&gt;"已登记","待补设备组合",IF(AND(F1161&lt;&gt;"",G1161&lt;&gt;"",K1161&lt;&gt;"",L1161&lt;&gt;"",M1161&lt;&gt;"",N1161&lt;&gt;"",ISNUMBER(O1161),O1161&gt;0,P1161&lt;&gt;""),"记录齐全","待补实测记录")))))))))))</x:f>
        <x:v>待展开路径</x:v>
      </x:c>
    </x:row>
    <x:row r="1162" ht="43.5" customHeight="1">
      <x:c r="A1162" s="20" t="str">
        <x:v>REC-01153</x:v>
      </x:c>
      <x:c r="B1162" s="20" t="str">
        <x:v>P3-B1-01</x:v>
      </x:c>
      <x:c r="C1162" s="30" t="str">
        <x:f>IF(B1162="","",IF(COUNTIFS(Equipment[组合编号],B1162)&lt;&gt;1,"组合编号无效",INDEX(Equipment[PLC组],MATCH(B1162,Equipment[组合编号],0))))</x:f>
        <x:v>欧姆龙</x:v>
      </x:c>
      <x:c r="D1162" s="30" t="str">
        <x:f>IF(B1162="","",IF(COUNTIFS(Equipment[组合编号],B1162)&lt;&gt;1,"组合编号无效",INDEX(Equipment[驱动品牌],MATCH(B1162,Equipment[组合编号],0))))</x:f>
        <x:v>CDHD</x:v>
      </x:c>
      <x:c r="E1162" s="20" t="str">
        <x:v>T04</x:v>
      </x:c>
      <x:c r="F1162" s="20"/>
      <x:c r="G1162" s="20"/>
      <x:c r="H1162" s="20" t="str">
        <x:v>待判定</x:v>
      </x:c>
      <x:c r="I1162" s="20"/>
      <x:c r="J1162" s="20" t="str">
        <x:v>未测试</x:v>
      </x:c>
      <x:c r="K1162" s="20"/>
      <x:c r="L1162" s="20"/>
      <x:c r="M1162" s="20"/>
      <x:c r="N1162" s="20"/>
      <x:c r="O1162" s="31"/>
      <x:c r="P1162" s="20"/>
      <x:c r="Q1162" s="20"/>
      <x:c r="R1162" s="20" t="str">
        <x:v>待展开</x:v>
      </x:c>
      <x:c r="S1162" s="20"/>
      <x:c r="T1162" s="31"/>
      <x:c r="U1162" s="30" t="str">
        <x:f>IF(A1162="","缺记录编号",IF(COUNTIFS(PathRecords[记录编号],A1162)&lt;&gt;1,"记录编号重复",IF(OR(B1162="",E1162=""),"缺组合/功能",IF(COUNTIFS(Equipment[组合编号],B1162)&lt;&gt;1,"组合编号无效",IF(COUNTIFS(FunctionMatrix[编号],E1162)=0,"功能编号无效",IF(H1162="不适用",IF(J1162="已实测","适用性冲突",IF(I1162="","待补不适用依据","不适用（非实测）")),IF(J1162="阻塞",IF(I1162="","待补阻塞原因","阻塞（非实测）"),IF(J1162&lt;&gt;"已实测",IF(F1162="","待展开路径","未实测"),IF(H1162&lt;&gt;"适用","待确认适用性",IF(INDEX(Equipment[登记状态（自动）],MATCH(B1162,Equipment[组合编号],0))&lt;&gt;"已登记","待补设备组合",IF(AND(F1162&lt;&gt;"",G1162&lt;&gt;"",K1162&lt;&gt;"",L1162&lt;&gt;"",M1162&lt;&gt;"",N1162&lt;&gt;"",ISNUMBER(O1162),O1162&gt;0,P1162&lt;&gt;""),"记录齐全","待补实测记录")))))))))))</x:f>
        <x:v>待展开路径</x:v>
      </x:c>
    </x:row>
    <x:row r="1163" ht="43.5" customHeight="1">
      <x:c r="A1163" s="20" t="str">
        <x:v>REC-01154</x:v>
      </x:c>
      <x:c r="B1163" s="20" t="str">
        <x:v>P3-B1-01</x:v>
      </x:c>
      <x:c r="C1163" s="30" t="str">
        <x:f>IF(B1163="","",IF(COUNTIFS(Equipment[组合编号],B1163)&lt;&gt;1,"组合编号无效",INDEX(Equipment[PLC组],MATCH(B1163,Equipment[组合编号],0))))</x:f>
        <x:v>欧姆龙</x:v>
      </x:c>
      <x:c r="D1163" s="30" t="str">
        <x:f>IF(B1163="","",IF(COUNTIFS(Equipment[组合编号],B1163)&lt;&gt;1,"组合编号无效",INDEX(Equipment[驱动品牌],MATCH(B1163,Equipment[组合编号],0))))</x:f>
        <x:v>CDHD</x:v>
      </x:c>
      <x:c r="E1163" s="20" t="str">
        <x:v>T05</x:v>
      </x:c>
      <x:c r="F1163" s="20"/>
      <x:c r="G1163" s="20"/>
      <x:c r="H1163" s="20" t="str">
        <x:v>待判定</x:v>
      </x:c>
      <x:c r="I1163" s="20"/>
      <x:c r="J1163" s="20" t="str">
        <x:v>未测试</x:v>
      </x:c>
      <x:c r="K1163" s="20"/>
      <x:c r="L1163" s="20"/>
      <x:c r="M1163" s="20"/>
      <x:c r="N1163" s="20"/>
      <x:c r="O1163" s="31"/>
      <x:c r="P1163" s="20"/>
      <x:c r="Q1163" s="20"/>
      <x:c r="R1163" s="20" t="str">
        <x:v>待展开</x:v>
      </x:c>
      <x:c r="S1163" s="20"/>
      <x:c r="T1163" s="31"/>
      <x:c r="U1163" s="30" t="str">
        <x:f>IF(A1163="","缺记录编号",IF(COUNTIFS(PathRecords[记录编号],A1163)&lt;&gt;1,"记录编号重复",IF(OR(B1163="",E1163=""),"缺组合/功能",IF(COUNTIFS(Equipment[组合编号],B1163)&lt;&gt;1,"组合编号无效",IF(COUNTIFS(FunctionMatrix[编号],E1163)=0,"功能编号无效",IF(H1163="不适用",IF(J1163="已实测","适用性冲突",IF(I1163="","待补不适用依据","不适用（非实测）")),IF(J1163="阻塞",IF(I1163="","待补阻塞原因","阻塞（非实测）"),IF(J1163&lt;&gt;"已实测",IF(F1163="","待展开路径","未实测"),IF(H1163&lt;&gt;"适用","待确认适用性",IF(INDEX(Equipment[登记状态（自动）],MATCH(B1163,Equipment[组合编号],0))&lt;&gt;"已登记","待补设备组合",IF(AND(F1163&lt;&gt;"",G1163&lt;&gt;"",K1163&lt;&gt;"",L1163&lt;&gt;"",M1163&lt;&gt;"",N1163&lt;&gt;"",ISNUMBER(O1163),O1163&gt;0,P1163&lt;&gt;""),"记录齐全","待补实测记录")))))))))))</x:f>
        <x:v>待展开路径</x:v>
      </x:c>
    </x:row>
    <x:row r="1164" ht="43.5" customHeight="1">
      <x:c r="A1164" s="20" t="str">
        <x:v>REC-01155</x:v>
      </x:c>
      <x:c r="B1164" s="20" t="str">
        <x:v>P3-B1-01</x:v>
      </x:c>
      <x:c r="C1164" s="30" t="str">
        <x:f>IF(B1164="","",IF(COUNTIFS(Equipment[组合编号],B1164)&lt;&gt;1,"组合编号无效",INDEX(Equipment[PLC组],MATCH(B1164,Equipment[组合编号],0))))</x:f>
        <x:v>欧姆龙</x:v>
      </x:c>
      <x:c r="D1164" s="30" t="str">
        <x:f>IF(B1164="","",IF(COUNTIFS(Equipment[组合编号],B1164)&lt;&gt;1,"组合编号无效",INDEX(Equipment[驱动品牌],MATCH(B1164,Equipment[组合编号],0))))</x:f>
        <x:v>CDHD</x:v>
      </x:c>
      <x:c r="E1164" s="20" t="str">
        <x:v>T06</x:v>
      </x:c>
      <x:c r="F1164" s="20"/>
      <x:c r="G1164" s="20"/>
      <x:c r="H1164" s="20" t="str">
        <x:v>待判定</x:v>
      </x:c>
      <x:c r="I1164" s="20"/>
      <x:c r="J1164" s="20" t="str">
        <x:v>未测试</x:v>
      </x:c>
      <x:c r="K1164" s="20"/>
      <x:c r="L1164" s="20"/>
      <x:c r="M1164" s="20"/>
      <x:c r="N1164" s="20"/>
      <x:c r="O1164" s="31"/>
      <x:c r="P1164" s="20"/>
      <x:c r="Q1164" s="20"/>
      <x:c r="R1164" s="20" t="str">
        <x:v>待展开</x:v>
      </x:c>
      <x:c r="S1164" s="20"/>
      <x:c r="T1164" s="31"/>
      <x:c r="U1164" s="30" t="str">
        <x:f>IF(A1164="","缺记录编号",IF(COUNTIFS(PathRecords[记录编号],A1164)&lt;&gt;1,"记录编号重复",IF(OR(B1164="",E1164=""),"缺组合/功能",IF(COUNTIFS(Equipment[组合编号],B1164)&lt;&gt;1,"组合编号无效",IF(COUNTIFS(FunctionMatrix[编号],E1164)=0,"功能编号无效",IF(H1164="不适用",IF(J1164="已实测","适用性冲突",IF(I1164="","待补不适用依据","不适用（非实测）")),IF(J1164="阻塞",IF(I1164="","待补阻塞原因","阻塞（非实测）"),IF(J1164&lt;&gt;"已实测",IF(F1164="","待展开路径","未实测"),IF(H1164&lt;&gt;"适用","待确认适用性",IF(INDEX(Equipment[登记状态（自动）],MATCH(B1164,Equipment[组合编号],0))&lt;&gt;"已登记","待补设备组合",IF(AND(F1164&lt;&gt;"",G1164&lt;&gt;"",K1164&lt;&gt;"",L1164&lt;&gt;"",M1164&lt;&gt;"",N1164&lt;&gt;"",ISNUMBER(O1164),O1164&gt;0,P1164&lt;&gt;""),"记录齐全","待补实测记录")))))))))))</x:f>
        <x:v>待展开路径</x:v>
      </x:c>
    </x:row>
    <x:row r="1165" ht="43.5" customHeight="1">
      <x:c r="A1165" s="20" t="str">
        <x:v>REC-01156</x:v>
      </x:c>
      <x:c r="B1165" s="20" t="str">
        <x:v>P3-B1-01</x:v>
      </x:c>
      <x:c r="C1165" s="30" t="str">
        <x:f>IF(B1165="","",IF(COUNTIFS(Equipment[组合编号],B1165)&lt;&gt;1,"组合编号无效",INDEX(Equipment[PLC组],MATCH(B1165,Equipment[组合编号],0))))</x:f>
        <x:v>欧姆龙</x:v>
      </x:c>
      <x:c r="D1165" s="30" t="str">
        <x:f>IF(B1165="","",IF(COUNTIFS(Equipment[组合编号],B1165)&lt;&gt;1,"组合编号无效",INDEX(Equipment[驱动品牌],MATCH(B1165,Equipment[组合编号],0))))</x:f>
        <x:v>CDHD</x:v>
      </x:c>
      <x:c r="E1165" s="20" t="str">
        <x:v>T07</x:v>
      </x:c>
      <x:c r="F1165" s="20"/>
      <x:c r="G1165" s="20"/>
      <x:c r="H1165" s="20" t="str">
        <x:v>待判定</x:v>
      </x:c>
      <x:c r="I1165" s="20"/>
      <x:c r="J1165" s="20" t="str">
        <x:v>未测试</x:v>
      </x:c>
      <x:c r="K1165" s="20"/>
      <x:c r="L1165" s="20"/>
      <x:c r="M1165" s="20"/>
      <x:c r="N1165" s="20"/>
      <x:c r="O1165" s="31"/>
      <x:c r="P1165" s="20"/>
      <x:c r="Q1165" s="20"/>
      <x:c r="R1165" s="20" t="str">
        <x:v>待展开</x:v>
      </x:c>
      <x:c r="S1165" s="20"/>
      <x:c r="T1165" s="31"/>
      <x:c r="U1165" s="30" t="str">
        <x:f>IF(A1165="","缺记录编号",IF(COUNTIFS(PathRecords[记录编号],A1165)&lt;&gt;1,"记录编号重复",IF(OR(B1165="",E1165=""),"缺组合/功能",IF(COUNTIFS(Equipment[组合编号],B1165)&lt;&gt;1,"组合编号无效",IF(COUNTIFS(FunctionMatrix[编号],E1165)=0,"功能编号无效",IF(H1165="不适用",IF(J1165="已实测","适用性冲突",IF(I1165="","待补不适用依据","不适用（非实测）")),IF(J1165="阻塞",IF(I1165="","待补阻塞原因","阻塞（非实测）"),IF(J1165&lt;&gt;"已实测",IF(F1165="","待展开路径","未实测"),IF(H1165&lt;&gt;"适用","待确认适用性",IF(INDEX(Equipment[登记状态（自动）],MATCH(B1165,Equipment[组合编号],0))&lt;&gt;"已登记","待补设备组合",IF(AND(F1165&lt;&gt;"",G1165&lt;&gt;"",K1165&lt;&gt;"",L1165&lt;&gt;"",M1165&lt;&gt;"",N1165&lt;&gt;"",ISNUMBER(O1165),O1165&gt;0,P1165&lt;&gt;""),"记录齐全","待补实测记录")))))))))))</x:f>
        <x:v>待展开路径</x:v>
      </x:c>
    </x:row>
    <x:row r="1166" ht="43.5" customHeight="1">
      <x:c r="A1166" s="20" t="str">
        <x:v>REC-01157</x:v>
      </x:c>
      <x:c r="B1166" s="20" t="str">
        <x:v>P3-B1-01</x:v>
      </x:c>
      <x:c r="C1166" s="30" t="str">
        <x:f>IF(B1166="","",IF(COUNTIFS(Equipment[组合编号],B1166)&lt;&gt;1,"组合编号无效",INDEX(Equipment[PLC组],MATCH(B1166,Equipment[组合编号],0))))</x:f>
        <x:v>欧姆龙</x:v>
      </x:c>
      <x:c r="D1166" s="30" t="str">
        <x:f>IF(B1166="","",IF(COUNTIFS(Equipment[组合编号],B1166)&lt;&gt;1,"组合编号无效",INDEX(Equipment[驱动品牌],MATCH(B1166,Equipment[组合编号],0))))</x:f>
        <x:v>CDHD</x:v>
      </x:c>
      <x:c r="E1166" s="20" t="str">
        <x:v>T08</x:v>
      </x:c>
      <x:c r="F1166" s="20"/>
      <x:c r="G1166" s="20"/>
      <x:c r="H1166" s="20" t="str">
        <x:v>待判定</x:v>
      </x:c>
      <x:c r="I1166" s="20"/>
      <x:c r="J1166" s="20" t="str">
        <x:v>未测试</x:v>
      </x:c>
      <x:c r="K1166" s="20"/>
      <x:c r="L1166" s="20"/>
      <x:c r="M1166" s="20"/>
      <x:c r="N1166" s="20"/>
      <x:c r="O1166" s="31"/>
      <x:c r="P1166" s="20"/>
      <x:c r="Q1166" s="20"/>
      <x:c r="R1166" s="20" t="str">
        <x:v>待展开</x:v>
      </x:c>
      <x:c r="S1166" s="20"/>
      <x:c r="T1166" s="31"/>
      <x:c r="U1166" s="30" t="str">
        <x:f>IF(A1166="","缺记录编号",IF(COUNTIFS(PathRecords[记录编号],A1166)&lt;&gt;1,"记录编号重复",IF(OR(B1166="",E1166=""),"缺组合/功能",IF(COUNTIFS(Equipment[组合编号],B1166)&lt;&gt;1,"组合编号无效",IF(COUNTIFS(FunctionMatrix[编号],E1166)=0,"功能编号无效",IF(H1166="不适用",IF(J1166="已实测","适用性冲突",IF(I1166="","待补不适用依据","不适用（非实测）")),IF(J1166="阻塞",IF(I1166="","待补阻塞原因","阻塞（非实测）"),IF(J1166&lt;&gt;"已实测",IF(F1166="","待展开路径","未实测"),IF(H1166&lt;&gt;"适用","待确认适用性",IF(INDEX(Equipment[登记状态（自动）],MATCH(B1166,Equipment[组合编号],0))&lt;&gt;"已登记","待补设备组合",IF(AND(F1166&lt;&gt;"",G1166&lt;&gt;"",K1166&lt;&gt;"",L1166&lt;&gt;"",M1166&lt;&gt;"",N1166&lt;&gt;"",ISNUMBER(O1166),O1166&gt;0,P1166&lt;&gt;""),"记录齐全","待补实测记录")))))))))))</x:f>
        <x:v>待展开路径</x:v>
      </x:c>
    </x:row>
    <x:row r="1167" ht="43.5" customHeight="1">
      <x:c r="A1167" s="20" t="str">
        <x:v>REC-01158</x:v>
      </x:c>
      <x:c r="B1167" s="20" t="str">
        <x:v>P3-B1-01</x:v>
      </x:c>
      <x:c r="C1167" s="30" t="str">
        <x:f>IF(B1167="","",IF(COUNTIFS(Equipment[组合编号],B1167)&lt;&gt;1,"组合编号无效",INDEX(Equipment[PLC组],MATCH(B1167,Equipment[组合编号],0))))</x:f>
        <x:v>欧姆龙</x:v>
      </x:c>
      <x:c r="D1167" s="30" t="str">
        <x:f>IF(B1167="","",IF(COUNTIFS(Equipment[组合编号],B1167)&lt;&gt;1,"组合编号无效",INDEX(Equipment[驱动品牌],MATCH(B1167,Equipment[组合编号],0))))</x:f>
        <x:v>CDHD</x:v>
      </x:c>
      <x:c r="E1167" s="20" t="str">
        <x:v>T09</x:v>
      </x:c>
      <x:c r="F1167" s="20"/>
      <x:c r="G1167" s="20"/>
      <x:c r="H1167" s="20" t="str">
        <x:v>待判定</x:v>
      </x:c>
      <x:c r="I1167" s="20"/>
      <x:c r="J1167" s="20" t="str">
        <x:v>未测试</x:v>
      </x:c>
      <x:c r="K1167" s="20"/>
      <x:c r="L1167" s="20"/>
      <x:c r="M1167" s="20"/>
      <x:c r="N1167" s="20"/>
      <x:c r="O1167" s="31"/>
      <x:c r="P1167" s="20"/>
      <x:c r="Q1167" s="20"/>
      <x:c r="R1167" s="20" t="str">
        <x:v>待展开</x:v>
      </x:c>
      <x:c r="S1167" s="20"/>
      <x:c r="T1167" s="31"/>
      <x:c r="U1167" s="30" t="str">
        <x:f>IF(A1167="","缺记录编号",IF(COUNTIFS(PathRecords[记录编号],A1167)&lt;&gt;1,"记录编号重复",IF(OR(B1167="",E1167=""),"缺组合/功能",IF(COUNTIFS(Equipment[组合编号],B1167)&lt;&gt;1,"组合编号无效",IF(COUNTIFS(FunctionMatrix[编号],E1167)=0,"功能编号无效",IF(H1167="不适用",IF(J1167="已实测","适用性冲突",IF(I1167="","待补不适用依据","不适用（非实测）")),IF(J1167="阻塞",IF(I1167="","待补阻塞原因","阻塞（非实测）"),IF(J1167&lt;&gt;"已实测",IF(F1167="","待展开路径","未实测"),IF(H1167&lt;&gt;"适用","待确认适用性",IF(INDEX(Equipment[登记状态（自动）],MATCH(B1167,Equipment[组合编号],0))&lt;&gt;"已登记","待补设备组合",IF(AND(F1167&lt;&gt;"",G1167&lt;&gt;"",K1167&lt;&gt;"",L1167&lt;&gt;"",M1167&lt;&gt;"",N1167&lt;&gt;"",ISNUMBER(O1167),O1167&gt;0,P1167&lt;&gt;""),"记录齐全","待补实测记录")))))))))))</x:f>
        <x:v>待展开路径</x:v>
      </x:c>
    </x:row>
    <x:row r="1168" ht="43.5" customHeight="1">
      <x:c r="A1168" s="20" t="str">
        <x:v>REC-01159</x:v>
      </x:c>
      <x:c r="B1168" s="20" t="str">
        <x:v>P3-B1-01</x:v>
      </x:c>
      <x:c r="C1168" s="30" t="str">
        <x:f>IF(B1168="","",IF(COUNTIFS(Equipment[组合编号],B1168)&lt;&gt;1,"组合编号无效",INDEX(Equipment[PLC组],MATCH(B1168,Equipment[组合编号],0))))</x:f>
        <x:v>欧姆龙</x:v>
      </x:c>
      <x:c r="D1168" s="30" t="str">
        <x:f>IF(B1168="","",IF(COUNTIFS(Equipment[组合编号],B1168)&lt;&gt;1,"组合编号无效",INDEX(Equipment[驱动品牌],MATCH(B1168,Equipment[组合编号],0))))</x:f>
        <x:v>CDHD</x:v>
      </x:c>
      <x:c r="E1168" s="20" t="str">
        <x:v>R01</x:v>
      </x:c>
      <x:c r="F1168" s="20"/>
      <x:c r="G1168" s="20"/>
      <x:c r="H1168" s="20" t="str">
        <x:v>待判定</x:v>
      </x:c>
      <x:c r="I1168" s="20"/>
      <x:c r="J1168" s="20" t="str">
        <x:v>未测试</x:v>
      </x:c>
      <x:c r="K1168" s="20"/>
      <x:c r="L1168" s="20"/>
      <x:c r="M1168" s="20"/>
      <x:c r="N1168" s="20"/>
      <x:c r="O1168" s="31"/>
      <x:c r="P1168" s="20"/>
      <x:c r="Q1168" s="20"/>
      <x:c r="R1168" s="20" t="str">
        <x:v>待展开</x:v>
      </x:c>
      <x:c r="S1168" s="20"/>
      <x:c r="T1168" s="31"/>
      <x:c r="U1168" s="30" t="str">
        <x:f>IF(A1168="","缺记录编号",IF(COUNTIFS(PathRecords[记录编号],A1168)&lt;&gt;1,"记录编号重复",IF(OR(B1168="",E1168=""),"缺组合/功能",IF(COUNTIFS(Equipment[组合编号],B1168)&lt;&gt;1,"组合编号无效",IF(COUNTIFS(FunctionMatrix[编号],E1168)=0,"功能编号无效",IF(H1168="不适用",IF(J1168="已实测","适用性冲突",IF(I1168="","待补不适用依据","不适用（非实测）")),IF(J1168="阻塞",IF(I1168="","待补阻塞原因","阻塞（非实测）"),IF(J1168&lt;&gt;"已实测",IF(F1168="","待展开路径","未实测"),IF(H1168&lt;&gt;"适用","待确认适用性",IF(INDEX(Equipment[登记状态（自动）],MATCH(B1168,Equipment[组合编号],0))&lt;&gt;"已登记","待补设备组合",IF(AND(F1168&lt;&gt;"",G1168&lt;&gt;"",K1168&lt;&gt;"",L1168&lt;&gt;"",M1168&lt;&gt;"",N1168&lt;&gt;"",ISNUMBER(O1168),O1168&gt;0,P1168&lt;&gt;""),"记录齐全","待补实测记录")))))))))))</x:f>
        <x:v>待展开路径</x:v>
      </x:c>
    </x:row>
    <x:row r="1169" ht="43.5" customHeight="1">
      <x:c r="A1169" s="20" t="str">
        <x:v>REC-01160</x:v>
      </x:c>
      <x:c r="B1169" s="20" t="str">
        <x:v>P3-B1-01</x:v>
      </x:c>
      <x:c r="C1169" s="30" t="str">
        <x:f>IF(B1169="","",IF(COUNTIFS(Equipment[组合编号],B1169)&lt;&gt;1,"组合编号无效",INDEX(Equipment[PLC组],MATCH(B1169,Equipment[组合编号],0))))</x:f>
        <x:v>欧姆龙</x:v>
      </x:c>
      <x:c r="D1169" s="30" t="str">
        <x:f>IF(B1169="","",IF(COUNTIFS(Equipment[组合编号],B1169)&lt;&gt;1,"组合编号无效",INDEX(Equipment[驱动品牌],MATCH(B1169,Equipment[组合编号],0))))</x:f>
        <x:v>CDHD</x:v>
      </x:c>
      <x:c r="E1169" s="20" t="str">
        <x:v>R02</x:v>
      </x:c>
      <x:c r="F1169" s="20"/>
      <x:c r="G1169" s="20"/>
      <x:c r="H1169" s="20" t="str">
        <x:v>待判定</x:v>
      </x:c>
      <x:c r="I1169" s="20"/>
      <x:c r="J1169" s="20" t="str">
        <x:v>未测试</x:v>
      </x:c>
      <x:c r="K1169" s="20"/>
      <x:c r="L1169" s="20"/>
      <x:c r="M1169" s="20"/>
      <x:c r="N1169" s="20"/>
      <x:c r="O1169" s="31"/>
      <x:c r="P1169" s="20"/>
      <x:c r="Q1169" s="20"/>
      <x:c r="R1169" s="20" t="str">
        <x:v>待展开</x:v>
      </x:c>
      <x:c r="S1169" s="20"/>
      <x:c r="T1169" s="31"/>
      <x:c r="U1169" s="30" t="str">
        <x:f>IF(A1169="","缺记录编号",IF(COUNTIFS(PathRecords[记录编号],A1169)&lt;&gt;1,"记录编号重复",IF(OR(B1169="",E1169=""),"缺组合/功能",IF(COUNTIFS(Equipment[组合编号],B1169)&lt;&gt;1,"组合编号无效",IF(COUNTIFS(FunctionMatrix[编号],E1169)=0,"功能编号无效",IF(H1169="不适用",IF(J1169="已实测","适用性冲突",IF(I1169="","待补不适用依据","不适用（非实测）")),IF(J1169="阻塞",IF(I1169="","待补阻塞原因","阻塞（非实测）"),IF(J1169&lt;&gt;"已实测",IF(F1169="","待展开路径","未实测"),IF(H1169&lt;&gt;"适用","待确认适用性",IF(INDEX(Equipment[登记状态（自动）],MATCH(B1169,Equipment[组合编号],0))&lt;&gt;"已登记","待补设备组合",IF(AND(F1169&lt;&gt;"",G1169&lt;&gt;"",K1169&lt;&gt;"",L1169&lt;&gt;"",M1169&lt;&gt;"",N1169&lt;&gt;"",ISNUMBER(O1169),O1169&gt;0,P1169&lt;&gt;""),"记录齐全","待补实测记录")))))))))))</x:f>
        <x:v>待展开路径</x:v>
      </x:c>
    </x:row>
    <x:row r="1170" ht="43.5" customHeight="1">
      <x:c r="A1170" s="20" t="str">
        <x:v>REC-01161</x:v>
      </x:c>
      <x:c r="B1170" s="20" t="str">
        <x:v>P3-B1-01</x:v>
      </x:c>
      <x:c r="C1170" s="30" t="str">
        <x:f>IF(B1170="","",IF(COUNTIFS(Equipment[组合编号],B1170)&lt;&gt;1,"组合编号无效",INDEX(Equipment[PLC组],MATCH(B1170,Equipment[组合编号],0))))</x:f>
        <x:v>欧姆龙</x:v>
      </x:c>
      <x:c r="D1170" s="30" t="str">
        <x:f>IF(B1170="","",IF(COUNTIFS(Equipment[组合编号],B1170)&lt;&gt;1,"组合编号无效",INDEX(Equipment[驱动品牌],MATCH(B1170,Equipment[组合编号],0))))</x:f>
        <x:v>CDHD</x:v>
      </x:c>
      <x:c r="E1170" s="20" t="str">
        <x:v>R03</x:v>
      </x:c>
      <x:c r="F1170" s="20"/>
      <x:c r="G1170" s="20"/>
      <x:c r="H1170" s="20" t="str">
        <x:v>待判定</x:v>
      </x:c>
      <x:c r="I1170" s="20"/>
      <x:c r="J1170" s="20" t="str">
        <x:v>未测试</x:v>
      </x:c>
      <x:c r="K1170" s="20"/>
      <x:c r="L1170" s="20"/>
      <x:c r="M1170" s="20"/>
      <x:c r="N1170" s="20"/>
      <x:c r="O1170" s="31"/>
      <x:c r="P1170" s="20"/>
      <x:c r="Q1170" s="20"/>
      <x:c r="R1170" s="20" t="str">
        <x:v>待展开</x:v>
      </x:c>
      <x:c r="S1170" s="20"/>
      <x:c r="T1170" s="31"/>
      <x:c r="U1170" s="30" t="str">
        <x:f>IF(A1170="","缺记录编号",IF(COUNTIFS(PathRecords[记录编号],A1170)&lt;&gt;1,"记录编号重复",IF(OR(B1170="",E1170=""),"缺组合/功能",IF(COUNTIFS(Equipment[组合编号],B1170)&lt;&gt;1,"组合编号无效",IF(COUNTIFS(FunctionMatrix[编号],E1170)=0,"功能编号无效",IF(H1170="不适用",IF(J1170="已实测","适用性冲突",IF(I1170="","待补不适用依据","不适用（非实测）")),IF(J1170="阻塞",IF(I1170="","待补阻塞原因","阻塞（非实测）"),IF(J1170&lt;&gt;"已实测",IF(F1170="","待展开路径","未实测"),IF(H1170&lt;&gt;"适用","待确认适用性",IF(INDEX(Equipment[登记状态（自动）],MATCH(B1170,Equipment[组合编号],0))&lt;&gt;"已登记","待补设备组合",IF(AND(F1170&lt;&gt;"",G1170&lt;&gt;"",K1170&lt;&gt;"",L1170&lt;&gt;"",M1170&lt;&gt;"",N1170&lt;&gt;"",ISNUMBER(O1170),O1170&gt;0,P1170&lt;&gt;""),"记录齐全","待补实测记录")))))))))))</x:f>
        <x:v>待展开路径</x:v>
      </x:c>
    </x:row>
    <x:row r="1171" ht="43.5" customHeight="1">
      <x:c r="A1171" s="20" t="str">
        <x:v>REC-01162</x:v>
      </x:c>
      <x:c r="B1171" s="20" t="str">
        <x:v>P3-B1-01</x:v>
      </x:c>
      <x:c r="C1171" s="30" t="str">
        <x:f>IF(B1171="","",IF(COUNTIFS(Equipment[组合编号],B1171)&lt;&gt;1,"组合编号无效",INDEX(Equipment[PLC组],MATCH(B1171,Equipment[组合编号],0))))</x:f>
        <x:v>欧姆龙</x:v>
      </x:c>
      <x:c r="D1171" s="30" t="str">
        <x:f>IF(B1171="","",IF(COUNTIFS(Equipment[组合编号],B1171)&lt;&gt;1,"组合编号无效",INDEX(Equipment[驱动品牌],MATCH(B1171,Equipment[组合编号],0))))</x:f>
        <x:v>CDHD</x:v>
      </x:c>
      <x:c r="E1171" s="20" t="str">
        <x:v>R04</x:v>
      </x:c>
      <x:c r="F1171" s="20"/>
      <x:c r="G1171" s="20"/>
      <x:c r="H1171" s="20" t="str">
        <x:v>待判定</x:v>
      </x:c>
      <x:c r="I1171" s="20"/>
      <x:c r="J1171" s="20" t="str">
        <x:v>未测试</x:v>
      </x:c>
      <x:c r="K1171" s="20"/>
      <x:c r="L1171" s="20"/>
      <x:c r="M1171" s="20"/>
      <x:c r="N1171" s="20"/>
      <x:c r="O1171" s="31"/>
      <x:c r="P1171" s="20"/>
      <x:c r="Q1171" s="20"/>
      <x:c r="R1171" s="20" t="str">
        <x:v>待展开</x:v>
      </x:c>
      <x:c r="S1171" s="20"/>
      <x:c r="T1171" s="31"/>
      <x:c r="U1171" s="30" t="str">
        <x:f>IF(A1171="","缺记录编号",IF(COUNTIFS(PathRecords[记录编号],A1171)&lt;&gt;1,"记录编号重复",IF(OR(B1171="",E1171=""),"缺组合/功能",IF(COUNTIFS(Equipment[组合编号],B1171)&lt;&gt;1,"组合编号无效",IF(COUNTIFS(FunctionMatrix[编号],E1171)=0,"功能编号无效",IF(H1171="不适用",IF(J1171="已实测","适用性冲突",IF(I1171="","待补不适用依据","不适用（非实测）")),IF(J1171="阻塞",IF(I1171="","待补阻塞原因","阻塞（非实测）"),IF(J1171&lt;&gt;"已实测",IF(F1171="","待展开路径","未实测"),IF(H1171&lt;&gt;"适用","待确认适用性",IF(INDEX(Equipment[登记状态（自动）],MATCH(B1171,Equipment[组合编号],0))&lt;&gt;"已登记","待补设备组合",IF(AND(F1171&lt;&gt;"",G1171&lt;&gt;"",K1171&lt;&gt;"",L1171&lt;&gt;"",M1171&lt;&gt;"",N1171&lt;&gt;"",ISNUMBER(O1171),O1171&gt;0,P1171&lt;&gt;""),"记录齐全","待补实测记录")))))))))))</x:f>
        <x:v>待展开路径</x:v>
      </x:c>
    </x:row>
    <x:row r="1172" ht="43.5" customHeight="1">
      <x:c r="A1172" s="20" t="str">
        <x:v>REC-01163</x:v>
      </x:c>
      <x:c r="B1172" s="20" t="str">
        <x:v>P3-B1-01</x:v>
      </x:c>
      <x:c r="C1172" s="30" t="str">
        <x:f>IF(B1172="","",IF(COUNTIFS(Equipment[组合编号],B1172)&lt;&gt;1,"组合编号无效",INDEX(Equipment[PLC组],MATCH(B1172,Equipment[组合编号],0))))</x:f>
        <x:v>欧姆龙</x:v>
      </x:c>
      <x:c r="D1172" s="30" t="str">
        <x:f>IF(B1172="","",IF(COUNTIFS(Equipment[组合编号],B1172)&lt;&gt;1,"组合编号无效",INDEX(Equipment[驱动品牌],MATCH(B1172,Equipment[组合编号],0))))</x:f>
        <x:v>CDHD</x:v>
      </x:c>
      <x:c r="E1172" s="20" t="str">
        <x:v>R05</x:v>
      </x:c>
      <x:c r="F1172" s="20"/>
      <x:c r="G1172" s="20"/>
      <x:c r="H1172" s="20" t="str">
        <x:v>待判定</x:v>
      </x:c>
      <x:c r="I1172" s="20"/>
      <x:c r="J1172" s="20" t="str">
        <x:v>未测试</x:v>
      </x:c>
      <x:c r="K1172" s="20"/>
      <x:c r="L1172" s="20"/>
      <x:c r="M1172" s="20"/>
      <x:c r="N1172" s="20"/>
      <x:c r="O1172" s="31"/>
      <x:c r="P1172" s="20"/>
      <x:c r="Q1172" s="20"/>
      <x:c r="R1172" s="20" t="str">
        <x:v>待展开</x:v>
      </x:c>
      <x:c r="S1172" s="20"/>
      <x:c r="T1172" s="31"/>
      <x:c r="U1172" s="30" t="str">
        <x:f>IF(A1172="","缺记录编号",IF(COUNTIFS(PathRecords[记录编号],A1172)&lt;&gt;1,"记录编号重复",IF(OR(B1172="",E1172=""),"缺组合/功能",IF(COUNTIFS(Equipment[组合编号],B1172)&lt;&gt;1,"组合编号无效",IF(COUNTIFS(FunctionMatrix[编号],E1172)=0,"功能编号无效",IF(H1172="不适用",IF(J1172="已实测","适用性冲突",IF(I1172="","待补不适用依据","不适用（非实测）")),IF(J1172="阻塞",IF(I1172="","待补阻塞原因","阻塞（非实测）"),IF(J1172&lt;&gt;"已实测",IF(F1172="","待展开路径","未实测"),IF(H1172&lt;&gt;"适用","待确认适用性",IF(INDEX(Equipment[登记状态（自动）],MATCH(B1172,Equipment[组合编号],0))&lt;&gt;"已登记","待补设备组合",IF(AND(F1172&lt;&gt;"",G1172&lt;&gt;"",K1172&lt;&gt;"",L1172&lt;&gt;"",M1172&lt;&gt;"",N1172&lt;&gt;"",ISNUMBER(O1172),O1172&gt;0,P1172&lt;&gt;""),"记录齐全","待补实测记录")))))))))))</x:f>
        <x:v>待展开路径</x:v>
      </x:c>
    </x:row>
    <x:row r="1173" ht="43.5" customHeight="1">
      <x:c r="A1173" s="20" t="str">
        <x:v>REC-01164</x:v>
      </x:c>
      <x:c r="B1173" s="20" t="str">
        <x:v>P3-B1-01</x:v>
      </x:c>
      <x:c r="C1173" s="30" t="str">
        <x:f>IF(B1173="","",IF(COUNTIFS(Equipment[组合编号],B1173)&lt;&gt;1,"组合编号无效",INDEX(Equipment[PLC组],MATCH(B1173,Equipment[组合编号],0))))</x:f>
        <x:v>欧姆龙</x:v>
      </x:c>
      <x:c r="D1173" s="30" t="str">
        <x:f>IF(B1173="","",IF(COUNTIFS(Equipment[组合编号],B1173)&lt;&gt;1,"组合编号无效",INDEX(Equipment[驱动品牌],MATCH(B1173,Equipment[组合编号],0))))</x:f>
        <x:v>CDHD</x:v>
      </x:c>
      <x:c r="E1173" s="20" t="str">
        <x:v>R06</x:v>
      </x:c>
      <x:c r="F1173" s="20"/>
      <x:c r="G1173" s="20"/>
      <x:c r="H1173" s="20" t="str">
        <x:v>待判定</x:v>
      </x:c>
      <x:c r="I1173" s="20"/>
      <x:c r="J1173" s="20" t="str">
        <x:v>未测试</x:v>
      </x:c>
      <x:c r="K1173" s="20"/>
      <x:c r="L1173" s="20"/>
      <x:c r="M1173" s="20"/>
      <x:c r="N1173" s="20"/>
      <x:c r="O1173" s="31"/>
      <x:c r="P1173" s="20"/>
      <x:c r="Q1173" s="20"/>
      <x:c r="R1173" s="20" t="str">
        <x:v>待展开</x:v>
      </x:c>
      <x:c r="S1173" s="20"/>
      <x:c r="T1173" s="31"/>
      <x:c r="U1173" s="30" t="str">
        <x:f>IF(A1173="","缺记录编号",IF(COUNTIFS(PathRecords[记录编号],A1173)&lt;&gt;1,"记录编号重复",IF(OR(B1173="",E1173=""),"缺组合/功能",IF(COUNTIFS(Equipment[组合编号],B1173)&lt;&gt;1,"组合编号无效",IF(COUNTIFS(FunctionMatrix[编号],E1173)=0,"功能编号无效",IF(H1173="不适用",IF(J1173="已实测","适用性冲突",IF(I1173="","待补不适用依据","不适用（非实测）")),IF(J1173="阻塞",IF(I1173="","待补阻塞原因","阻塞（非实测）"),IF(J1173&lt;&gt;"已实测",IF(F1173="","待展开路径","未实测"),IF(H1173&lt;&gt;"适用","待确认适用性",IF(INDEX(Equipment[登记状态（自动）],MATCH(B1173,Equipment[组合编号],0))&lt;&gt;"已登记","待补设备组合",IF(AND(F1173&lt;&gt;"",G1173&lt;&gt;"",K1173&lt;&gt;"",L1173&lt;&gt;"",M1173&lt;&gt;"",N1173&lt;&gt;"",ISNUMBER(O1173),O1173&gt;0,P1173&lt;&gt;""),"记录齐全","待补实测记录")))))))))))</x:f>
        <x:v>待展开路径</x:v>
      </x:c>
    </x:row>
    <x:row r="1174" ht="43.5" customHeight="1">
      <x:c r="A1174" s="20" t="str">
        <x:v>REC-01165</x:v>
      </x:c>
      <x:c r="B1174" s="20" t="str">
        <x:v>P3-B1-01</x:v>
      </x:c>
      <x:c r="C1174" s="30" t="str">
        <x:f>IF(B1174="","",IF(COUNTIFS(Equipment[组合编号],B1174)&lt;&gt;1,"组合编号无效",INDEX(Equipment[PLC组],MATCH(B1174,Equipment[组合编号],0))))</x:f>
        <x:v>欧姆龙</x:v>
      </x:c>
      <x:c r="D1174" s="30" t="str">
        <x:f>IF(B1174="","",IF(COUNTIFS(Equipment[组合编号],B1174)&lt;&gt;1,"组合编号无效",INDEX(Equipment[驱动品牌],MATCH(B1174,Equipment[组合编号],0))))</x:f>
        <x:v>CDHD</x:v>
      </x:c>
      <x:c r="E1174" s="20" t="str">
        <x:v>R07</x:v>
      </x:c>
      <x:c r="F1174" s="20"/>
      <x:c r="G1174" s="20"/>
      <x:c r="H1174" s="20" t="str">
        <x:v>待判定</x:v>
      </x:c>
      <x:c r="I1174" s="20"/>
      <x:c r="J1174" s="20" t="str">
        <x:v>未测试</x:v>
      </x:c>
      <x:c r="K1174" s="20"/>
      <x:c r="L1174" s="20"/>
      <x:c r="M1174" s="20"/>
      <x:c r="N1174" s="20"/>
      <x:c r="O1174" s="31"/>
      <x:c r="P1174" s="20"/>
      <x:c r="Q1174" s="20"/>
      <x:c r="R1174" s="20" t="str">
        <x:v>待展开</x:v>
      </x:c>
      <x:c r="S1174" s="20"/>
      <x:c r="T1174" s="31"/>
      <x:c r="U1174" s="30" t="str">
        <x:f>IF(A1174="","缺记录编号",IF(COUNTIFS(PathRecords[记录编号],A1174)&lt;&gt;1,"记录编号重复",IF(OR(B1174="",E1174=""),"缺组合/功能",IF(COUNTIFS(Equipment[组合编号],B1174)&lt;&gt;1,"组合编号无效",IF(COUNTIFS(FunctionMatrix[编号],E1174)=0,"功能编号无效",IF(H1174="不适用",IF(J1174="已实测","适用性冲突",IF(I1174="","待补不适用依据","不适用（非实测）")),IF(J1174="阻塞",IF(I1174="","待补阻塞原因","阻塞（非实测）"),IF(J1174&lt;&gt;"已实测",IF(F1174="","待展开路径","未实测"),IF(H1174&lt;&gt;"适用","待确认适用性",IF(INDEX(Equipment[登记状态（自动）],MATCH(B1174,Equipment[组合编号],0))&lt;&gt;"已登记","待补设备组合",IF(AND(F1174&lt;&gt;"",G1174&lt;&gt;"",K1174&lt;&gt;"",L1174&lt;&gt;"",M1174&lt;&gt;"",N1174&lt;&gt;"",ISNUMBER(O1174),O1174&gt;0,P1174&lt;&gt;""),"记录齐全","待补实测记录")))))))))))</x:f>
        <x:v>待展开路径</x:v>
      </x:c>
    </x:row>
    <x:row r="1175" ht="43.5" customHeight="1">
      <x:c r="A1175" s="20" t="str">
        <x:v>REC-01166</x:v>
      </x:c>
      <x:c r="B1175" s="20" t="str">
        <x:v>P3-B1-01</x:v>
      </x:c>
      <x:c r="C1175" s="30" t="str">
        <x:f>IF(B1175="","",IF(COUNTIFS(Equipment[组合编号],B1175)&lt;&gt;1,"组合编号无效",INDEX(Equipment[PLC组],MATCH(B1175,Equipment[组合编号],0))))</x:f>
        <x:v>欧姆龙</x:v>
      </x:c>
      <x:c r="D1175" s="30" t="str">
        <x:f>IF(B1175="","",IF(COUNTIFS(Equipment[组合编号],B1175)&lt;&gt;1,"组合编号无效",INDEX(Equipment[驱动品牌],MATCH(B1175,Equipment[组合编号],0))))</x:f>
        <x:v>CDHD</x:v>
      </x:c>
      <x:c r="E1175" s="20" t="str">
        <x:v>R08</x:v>
      </x:c>
      <x:c r="F1175" s="20"/>
      <x:c r="G1175" s="20"/>
      <x:c r="H1175" s="20" t="str">
        <x:v>待判定</x:v>
      </x:c>
      <x:c r="I1175" s="20"/>
      <x:c r="J1175" s="20" t="str">
        <x:v>未测试</x:v>
      </x:c>
      <x:c r="K1175" s="20"/>
      <x:c r="L1175" s="20"/>
      <x:c r="M1175" s="20"/>
      <x:c r="N1175" s="20"/>
      <x:c r="O1175" s="31"/>
      <x:c r="P1175" s="20"/>
      <x:c r="Q1175" s="20"/>
      <x:c r="R1175" s="20" t="str">
        <x:v>待展开</x:v>
      </x:c>
      <x:c r="S1175" s="20"/>
      <x:c r="T1175" s="31"/>
      <x:c r="U1175" s="30" t="str">
        <x:f>IF(A1175="","缺记录编号",IF(COUNTIFS(PathRecords[记录编号],A1175)&lt;&gt;1,"记录编号重复",IF(OR(B1175="",E1175=""),"缺组合/功能",IF(COUNTIFS(Equipment[组合编号],B1175)&lt;&gt;1,"组合编号无效",IF(COUNTIFS(FunctionMatrix[编号],E1175)=0,"功能编号无效",IF(H1175="不适用",IF(J1175="已实测","适用性冲突",IF(I1175="","待补不适用依据","不适用（非实测）")),IF(J1175="阻塞",IF(I1175="","待补阻塞原因","阻塞（非实测）"),IF(J1175&lt;&gt;"已实测",IF(F1175="","待展开路径","未实测"),IF(H1175&lt;&gt;"适用","待确认适用性",IF(INDEX(Equipment[登记状态（自动）],MATCH(B1175,Equipment[组合编号],0))&lt;&gt;"已登记","待补设备组合",IF(AND(F1175&lt;&gt;"",G1175&lt;&gt;"",K1175&lt;&gt;"",L1175&lt;&gt;"",M1175&lt;&gt;"",N1175&lt;&gt;"",ISNUMBER(O1175),O1175&gt;0,P1175&lt;&gt;""),"记录齐全","待补实测记录")))))))))))</x:f>
        <x:v>待展开路径</x:v>
      </x:c>
    </x:row>
    <x:row r="1176" ht="43.5" customHeight="1">
      <x:c r="A1176" s="20" t="str">
        <x:v>REC-01167</x:v>
      </x:c>
      <x:c r="B1176" s="20" t="str">
        <x:v>P3-B2-01</x:v>
      </x:c>
      <x:c r="C1176" s="30" t="str">
        <x:f>IF(B1176="","",IF(COUNTIFS(Equipment[组合编号],B1176)&lt;&gt;1,"组合编号无效",INDEX(Equipment[PLC组],MATCH(B1176,Equipment[组合编号],0))))</x:f>
        <x:v>欧姆龙</x:v>
      </x:c>
      <x:c r="D1176" s="30" t="str">
        <x:f>IF(B1176="","",IF(COUNTIFS(Equipment[组合编号],B1176)&lt;&gt;1,"组合编号无效",INDEX(Equipment[驱动品牌],MATCH(B1176,Equipment[组合编号],0))))</x:f>
        <x:v>台达</x:v>
      </x:c>
      <x:c r="E1176" s="20" t="str">
        <x:v>M01</x:v>
      </x:c>
      <x:c r="F1176" s="20"/>
      <x:c r="G1176" s="20"/>
      <x:c r="H1176" s="20" t="str">
        <x:v>待判定</x:v>
      </x:c>
      <x:c r="I1176" s="20"/>
      <x:c r="J1176" s="20" t="str">
        <x:v>未测试</x:v>
      </x:c>
      <x:c r="K1176" s="20"/>
      <x:c r="L1176" s="20"/>
      <x:c r="M1176" s="20"/>
      <x:c r="N1176" s="20"/>
      <x:c r="O1176" s="31"/>
      <x:c r="P1176" s="20"/>
      <x:c r="Q1176" s="20"/>
      <x:c r="R1176" s="20" t="str">
        <x:v>待展开</x:v>
      </x:c>
      <x:c r="S1176" s="20"/>
      <x:c r="T1176" s="31"/>
      <x:c r="U1176" s="30" t="str">
        <x:f>IF(A1176="","缺记录编号",IF(COUNTIFS(PathRecords[记录编号],A1176)&lt;&gt;1,"记录编号重复",IF(OR(B1176="",E1176=""),"缺组合/功能",IF(COUNTIFS(Equipment[组合编号],B1176)&lt;&gt;1,"组合编号无效",IF(COUNTIFS(FunctionMatrix[编号],E1176)=0,"功能编号无效",IF(H1176="不适用",IF(J1176="已实测","适用性冲突",IF(I1176="","待补不适用依据","不适用（非实测）")),IF(J1176="阻塞",IF(I1176="","待补阻塞原因","阻塞（非实测）"),IF(J1176&lt;&gt;"已实测",IF(F1176="","待展开路径","未实测"),IF(H1176&lt;&gt;"适用","待确认适用性",IF(INDEX(Equipment[登记状态（自动）],MATCH(B1176,Equipment[组合编号],0))&lt;&gt;"已登记","待补设备组合",IF(AND(F1176&lt;&gt;"",G1176&lt;&gt;"",K1176&lt;&gt;"",L1176&lt;&gt;"",M1176&lt;&gt;"",N1176&lt;&gt;"",ISNUMBER(O1176),O1176&gt;0,P1176&lt;&gt;""),"记录齐全","待补实测记录")))))))))))</x:f>
        <x:v>待展开路径</x:v>
      </x:c>
    </x:row>
    <x:row r="1177" ht="43.5" customHeight="1">
      <x:c r="A1177" s="20" t="str">
        <x:v>REC-01168</x:v>
      </x:c>
      <x:c r="B1177" s="20" t="str">
        <x:v>P3-B2-01</x:v>
      </x:c>
      <x:c r="C1177" s="30" t="str">
        <x:f>IF(B1177="","",IF(COUNTIFS(Equipment[组合编号],B1177)&lt;&gt;1,"组合编号无效",INDEX(Equipment[PLC组],MATCH(B1177,Equipment[组合编号],0))))</x:f>
        <x:v>欧姆龙</x:v>
      </x:c>
      <x:c r="D1177" s="30" t="str">
        <x:f>IF(B1177="","",IF(COUNTIFS(Equipment[组合编号],B1177)&lt;&gt;1,"组合编号无效",INDEX(Equipment[驱动品牌],MATCH(B1177,Equipment[组合编号],0))))</x:f>
        <x:v>台达</x:v>
      </x:c>
      <x:c r="E1177" s="20" t="str">
        <x:v>M02</x:v>
      </x:c>
      <x:c r="F1177" s="20"/>
      <x:c r="G1177" s="20"/>
      <x:c r="H1177" s="20" t="str">
        <x:v>待判定</x:v>
      </x:c>
      <x:c r="I1177" s="20"/>
      <x:c r="J1177" s="20" t="str">
        <x:v>未测试</x:v>
      </x:c>
      <x:c r="K1177" s="20"/>
      <x:c r="L1177" s="20"/>
      <x:c r="M1177" s="20"/>
      <x:c r="N1177" s="20"/>
      <x:c r="O1177" s="31"/>
      <x:c r="P1177" s="20"/>
      <x:c r="Q1177" s="20"/>
      <x:c r="R1177" s="20" t="str">
        <x:v>待展开</x:v>
      </x:c>
      <x:c r="S1177" s="20"/>
      <x:c r="T1177" s="31"/>
      <x:c r="U1177" s="30" t="str">
        <x:f>IF(A1177="","缺记录编号",IF(COUNTIFS(PathRecords[记录编号],A1177)&lt;&gt;1,"记录编号重复",IF(OR(B1177="",E1177=""),"缺组合/功能",IF(COUNTIFS(Equipment[组合编号],B1177)&lt;&gt;1,"组合编号无效",IF(COUNTIFS(FunctionMatrix[编号],E1177)=0,"功能编号无效",IF(H1177="不适用",IF(J1177="已实测","适用性冲突",IF(I1177="","待补不适用依据","不适用（非实测）")),IF(J1177="阻塞",IF(I1177="","待补阻塞原因","阻塞（非实测）"),IF(J1177&lt;&gt;"已实测",IF(F1177="","待展开路径","未实测"),IF(H1177&lt;&gt;"适用","待确认适用性",IF(INDEX(Equipment[登记状态（自动）],MATCH(B1177,Equipment[组合编号],0))&lt;&gt;"已登记","待补设备组合",IF(AND(F1177&lt;&gt;"",G1177&lt;&gt;"",K1177&lt;&gt;"",L1177&lt;&gt;"",M1177&lt;&gt;"",N1177&lt;&gt;"",ISNUMBER(O1177),O1177&gt;0,P1177&lt;&gt;""),"记录齐全","待补实测记录")))))))))))</x:f>
        <x:v>待展开路径</x:v>
      </x:c>
    </x:row>
    <x:row r="1178" ht="43.5" customHeight="1">
      <x:c r="A1178" s="20" t="str">
        <x:v>REC-01169</x:v>
      </x:c>
      <x:c r="B1178" s="20" t="str">
        <x:v>P3-B2-01</x:v>
      </x:c>
      <x:c r="C1178" s="30" t="str">
        <x:f>IF(B1178="","",IF(COUNTIFS(Equipment[组合编号],B1178)&lt;&gt;1,"组合编号无效",INDEX(Equipment[PLC组],MATCH(B1178,Equipment[组合编号],0))))</x:f>
        <x:v>欧姆龙</x:v>
      </x:c>
      <x:c r="D1178" s="30" t="str">
        <x:f>IF(B1178="","",IF(COUNTIFS(Equipment[组合编号],B1178)&lt;&gt;1,"组合编号无效",INDEX(Equipment[驱动品牌],MATCH(B1178,Equipment[组合编号],0))))</x:f>
        <x:v>台达</x:v>
      </x:c>
      <x:c r="E1178" s="20" t="str">
        <x:v>M03</x:v>
      </x:c>
      <x:c r="F1178" s="20"/>
      <x:c r="G1178" s="20"/>
      <x:c r="H1178" s="20" t="str">
        <x:v>待判定</x:v>
      </x:c>
      <x:c r="I1178" s="20"/>
      <x:c r="J1178" s="20" t="str">
        <x:v>未测试</x:v>
      </x:c>
      <x:c r="K1178" s="20"/>
      <x:c r="L1178" s="20"/>
      <x:c r="M1178" s="20"/>
      <x:c r="N1178" s="20"/>
      <x:c r="O1178" s="31"/>
      <x:c r="P1178" s="20"/>
      <x:c r="Q1178" s="20"/>
      <x:c r="R1178" s="20" t="str">
        <x:v>待展开</x:v>
      </x:c>
      <x:c r="S1178" s="20"/>
      <x:c r="T1178" s="31"/>
      <x:c r="U1178" s="30" t="str">
        <x:f>IF(A1178="","缺记录编号",IF(COUNTIFS(PathRecords[记录编号],A1178)&lt;&gt;1,"记录编号重复",IF(OR(B1178="",E1178=""),"缺组合/功能",IF(COUNTIFS(Equipment[组合编号],B1178)&lt;&gt;1,"组合编号无效",IF(COUNTIFS(FunctionMatrix[编号],E1178)=0,"功能编号无效",IF(H1178="不适用",IF(J1178="已实测","适用性冲突",IF(I1178="","待补不适用依据","不适用（非实测）")),IF(J1178="阻塞",IF(I1178="","待补阻塞原因","阻塞（非实测）"),IF(J1178&lt;&gt;"已实测",IF(F1178="","待展开路径","未实测"),IF(H1178&lt;&gt;"适用","待确认适用性",IF(INDEX(Equipment[登记状态（自动）],MATCH(B1178,Equipment[组合编号],0))&lt;&gt;"已登记","待补设备组合",IF(AND(F1178&lt;&gt;"",G1178&lt;&gt;"",K1178&lt;&gt;"",L1178&lt;&gt;"",M1178&lt;&gt;"",N1178&lt;&gt;"",ISNUMBER(O1178),O1178&gt;0,P1178&lt;&gt;""),"记录齐全","待补实测记录")))))))))))</x:f>
        <x:v>待展开路径</x:v>
      </x:c>
    </x:row>
    <x:row r="1179" ht="43.5" customHeight="1">
      <x:c r="A1179" s="20" t="str">
        <x:v>REC-01170</x:v>
      </x:c>
      <x:c r="B1179" s="20" t="str">
        <x:v>P3-B2-01</x:v>
      </x:c>
      <x:c r="C1179" s="30" t="str">
        <x:f>IF(B1179="","",IF(COUNTIFS(Equipment[组合编号],B1179)&lt;&gt;1,"组合编号无效",INDEX(Equipment[PLC组],MATCH(B1179,Equipment[组合编号],0))))</x:f>
        <x:v>欧姆龙</x:v>
      </x:c>
      <x:c r="D1179" s="30" t="str">
        <x:f>IF(B1179="","",IF(COUNTIFS(Equipment[组合编号],B1179)&lt;&gt;1,"组合编号无效",INDEX(Equipment[驱动品牌],MATCH(B1179,Equipment[组合编号],0))))</x:f>
        <x:v>台达</x:v>
      </x:c>
      <x:c r="E1179" s="20" t="str">
        <x:v>M04</x:v>
      </x:c>
      <x:c r="F1179" s="20"/>
      <x:c r="G1179" s="20"/>
      <x:c r="H1179" s="20" t="str">
        <x:v>待判定</x:v>
      </x:c>
      <x:c r="I1179" s="20"/>
      <x:c r="J1179" s="20" t="str">
        <x:v>未测试</x:v>
      </x:c>
      <x:c r="K1179" s="20"/>
      <x:c r="L1179" s="20"/>
      <x:c r="M1179" s="20"/>
      <x:c r="N1179" s="20"/>
      <x:c r="O1179" s="31"/>
      <x:c r="P1179" s="20"/>
      <x:c r="Q1179" s="20"/>
      <x:c r="R1179" s="20" t="str">
        <x:v>待展开</x:v>
      </x:c>
      <x:c r="S1179" s="20"/>
      <x:c r="T1179" s="31"/>
      <x:c r="U1179" s="30" t="str">
        <x:f>IF(A1179="","缺记录编号",IF(COUNTIFS(PathRecords[记录编号],A1179)&lt;&gt;1,"记录编号重复",IF(OR(B1179="",E1179=""),"缺组合/功能",IF(COUNTIFS(Equipment[组合编号],B1179)&lt;&gt;1,"组合编号无效",IF(COUNTIFS(FunctionMatrix[编号],E1179)=0,"功能编号无效",IF(H1179="不适用",IF(J1179="已实测","适用性冲突",IF(I1179="","待补不适用依据","不适用（非实测）")),IF(J1179="阻塞",IF(I1179="","待补阻塞原因","阻塞（非实测）"),IF(J1179&lt;&gt;"已实测",IF(F1179="","待展开路径","未实测"),IF(H1179&lt;&gt;"适用","待确认适用性",IF(INDEX(Equipment[登记状态（自动）],MATCH(B1179,Equipment[组合编号],0))&lt;&gt;"已登记","待补设备组合",IF(AND(F1179&lt;&gt;"",G1179&lt;&gt;"",K1179&lt;&gt;"",L1179&lt;&gt;"",M1179&lt;&gt;"",N1179&lt;&gt;"",ISNUMBER(O1179),O1179&gt;0,P1179&lt;&gt;""),"记录齐全","待补实测记录")))))))))))</x:f>
        <x:v>待展开路径</x:v>
      </x:c>
    </x:row>
    <x:row r="1180" ht="43.5" customHeight="1">
      <x:c r="A1180" s="20" t="str">
        <x:v>REC-01171</x:v>
      </x:c>
      <x:c r="B1180" s="20" t="str">
        <x:v>P3-B2-01</x:v>
      </x:c>
      <x:c r="C1180" s="30" t="str">
        <x:f>IF(B1180="","",IF(COUNTIFS(Equipment[组合编号],B1180)&lt;&gt;1,"组合编号无效",INDEX(Equipment[PLC组],MATCH(B1180,Equipment[组合编号],0))))</x:f>
        <x:v>欧姆龙</x:v>
      </x:c>
      <x:c r="D1180" s="30" t="str">
        <x:f>IF(B1180="","",IF(COUNTIFS(Equipment[组合编号],B1180)&lt;&gt;1,"组合编号无效",INDEX(Equipment[驱动品牌],MATCH(B1180,Equipment[组合编号],0))))</x:f>
        <x:v>台达</x:v>
      </x:c>
      <x:c r="E1180" s="20" t="str">
        <x:v>M05</x:v>
      </x:c>
      <x:c r="F1180" s="20"/>
      <x:c r="G1180" s="20"/>
      <x:c r="H1180" s="20" t="str">
        <x:v>待判定</x:v>
      </x:c>
      <x:c r="I1180" s="20"/>
      <x:c r="J1180" s="20" t="str">
        <x:v>未测试</x:v>
      </x:c>
      <x:c r="K1180" s="20"/>
      <x:c r="L1180" s="20"/>
      <x:c r="M1180" s="20"/>
      <x:c r="N1180" s="20"/>
      <x:c r="O1180" s="31"/>
      <x:c r="P1180" s="20"/>
      <x:c r="Q1180" s="20"/>
      <x:c r="R1180" s="20" t="str">
        <x:v>待展开</x:v>
      </x:c>
      <x:c r="S1180" s="20"/>
      <x:c r="T1180" s="31"/>
      <x:c r="U1180" s="30" t="str">
        <x:f>IF(A1180="","缺记录编号",IF(COUNTIFS(PathRecords[记录编号],A1180)&lt;&gt;1,"记录编号重复",IF(OR(B1180="",E1180=""),"缺组合/功能",IF(COUNTIFS(Equipment[组合编号],B1180)&lt;&gt;1,"组合编号无效",IF(COUNTIFS(FunctionMatrix[编号],E1180)=0,"功能编号无效",IF(H1180="不适用",IF(J1180="已实测","适用性冲突",IF(I1180="","待补不适用依据","不适用（非实测）")),IF(J1180="阻塞",IF(I1180="","待补阻塞原因","阻塞（非实测）"),IF(J1180&lt;&gt;"已实测",IF(F1180="","待展开路径","未实测"),IF(H1180&lt;&gt;"适用","待确认适用性",IF(INDEX(Equipment[登记状态（自动）],MATCH(B1180,Equipment[组合编号],0))&lt;&gt;"已登记","待补设备组合",IF(AND(F1180&lt;&gt;"",G1180&lt;&gt;"",K1180&lt;&gt;"",L1180&lt;&gt;"",M1180&lt;&gt;"",N1180&lt;&gt;"",ISNUMBER(O1180),O1180&gt;0,P1180&lt;&gt;""),"记录齐全","待补实测记录")))))))))))</x:f>
        <x:v>待展开路径</x:v>
      </x:c>
    </x:row>
    <x:row r="1181" ht="43.5" customHeight="1">
      <x:c r="A1181" s="20" t="str">
        <x:v>REC-01172</x:v>
      </x:c>
      <x:c r="B1181" s="20" t="str">
        <x:v>P3-B2-01</x:v>
      </x:c>
      <x:c r="C1181" s="30" t="str">
        <x:f>IF(B1181="","",IF(COUNTIFS(Equipment[组合编号],B1181)&lt;&gt;1,"组合编号无效",INDEX(Equipment[PLC组],MATCH(B1181,Equipment[组合编号],0))))</x:f>
        <x:v>欧姆龙</x:v>
      </x:c>
      <x:c r="D1181" s="30" t="str">
        <x:f>IF(B1181="","",IF(COUNTIFS(Equipment[组合编号],B1181)&lt;&gt;1,"组合编号无效",INDEX(Equipment[驱动品牌],MATCH(B1181,Equipment[组合编号],0))))</x:f>
        <x:v>台达</x:v>
      </x:c>
      <x:c r="E1181" s="20" t="str">
        <x:v>M06</x:v>
      </x:c>
      <x:c r="F1181" s="20"/>
      <x:c r="G1181" s="20"/>
      <x:c r="H1181" s="20" t="str">
        <x:v>待判定</x:v>
      </x:c>
      <x:c r="I1181" s="20"/>
      <x:c r="J1181" s="20" t="str">
        <x:v>未测试</x:v>
      </x:c>
      <x:c r="K1181" s="20"/>
      <x:c r="L1181" s="20"/>
      <x:c r="M1181" s="20"/>
      <x:c r="N1181" s="20"/>
      <x:c r="O1181" s="31"/>
      <x:c r="P1181" s="20"/>
      <x:c r="Q1181" s="20"/>
      <x:c r="R1181" s="20" t="str">
        <x:v>待展开</x:v>
      </x:c>
      <x:c r="S1181" s="20"/>
      <x:c r="T1181" s="31"/>
      <x:c r="U1181" s="30" t="str">
        <x:f>IF(A1181="","缺记录编号",IF(COUNTIFS(PathRecords[记录编号],A1181)&lt;&gt;1,"记录编号重复",IF(OR(B1181="",E1181=""),"缺组合/功能",IF(COUNTIFS(Equipment[组合编号],B1181)&lt;&gt;1,"组合编号无效",IF(COUNTIFS(FunctionMatrix[编号],E1181)=0,"功能编号无效",IF(H1181="不适用",IF(J1181="已实测","适用性冲突",IF(I1181="","待补不适用依据","不适用（非实测）")),IF(J1181="阻塞",IF(I1181="","待补阻塞原因","阻塞（非实测）"),IF(J1181&lt;&gt;"已实测",IF(F1181="","待展开路径","未实测"),IF(H1181&lt;&gt;"适用","待确认适用性",IF(INDEX(Equipment[登记状态（自动）],MATCH(B1181,Equipment[组合编号],0))&lt;&gt;"已登记","待补设备组合",IF(AND(F1181&lt;&gt;"",G1181&lt;&gt;"",K1181&lt;&gt;"",L1181&lt;&gt;"",M1181&lt;&gt;"",N1181&lt;&gt;"",ISNUMBER(O1181),O1181&gt;0,P1181&lt;&gt;""),"记录齐全","待补实测记录")))))))))))</x:f>
        <x:v>待展开路径</x:v>
      </x:c>
    </x:row>
    <x:row r="1182" ht="43.5" customHeight="1">
      <x:c r="A1182" s="20" t="str">
        <x:v>REC-01173</x:v>
      </x:c>
      <x:c r="B1182" s="20" t="str">
        <x:v>P3-B2-01</x:v>
      </x:c>
      <x:c r="C1182" s="30" t="str">
        <x:f>IF(B1182="","",IF(COUNTIFS(Equipment[组合编号],B1182)&lt;&gt;1,"组合编号无效",INDEX(Equipment[PLC组],MATCH(B1182,Equipment[组合编号],0))))</x:f>
        <x:v>欧姆龙</x:v>
      </x:c>
      <x:c r="D1182" s="30" t="str">
        <x:f>IF(B1182="","",IF(COUNTIFS(Equipment[组合编号],B1182)&lt;&gt;1,"组合编号无效",INDEX(Equipment[驱动品牌],MATCH(B1182,Equipment[组合编号],0))))</x:f>
        <x:v>台达</x:v>
      </x:c>
      <x:c r="E1182" s="20" t="str">
        <x:v>M07</x:v>
      </x:c>
      <x:c r="F1182" s="20"/>
      <x:c r="G1182" s="20"/>
      <x:c r="H1182" s="20" t="str">
        <x:v>待判定</x:v>
      </x:c>
      <x:c r="I1182" s="20"/>
      <x:c r="J1182" s="20" t="str">
        <x:v>未测试</x:v>
      </x:c>
      <x:c r="K1182" s="20"/>
      <x:c r="L1182" s="20"/>
      <x:c r="M1182" s="20"/>
      <x:c r="N1182" s="20"/>
      <x:c r="O1182" s="31"/>
      <x:c r="P1182" s="20"/>
      <x:c r="Q1182" s="20"/>
      <x:c r="R1182" s="20" t="str">
        <x:v>待展开</x:v>
      </x:c>
      <x:c r="S1182" s="20"/>
      <x:c r="T1182" s="31"/>
      <x:c r="U1182" s="30" t="str">
        <x:f>IF(A1182="","缺记录编号",IF(COUNTIFS(PathRecords[记录编号],A1182)&lt;&gt;1,"记录编号重复",IF(OR(B1182="",E1182=""),"缺组合/功能",IF(COUNTIFS(Equipment[组合编号],B1182)&lt;&gt;1,"组合编号无效",IF(COUNTIFS(FunctionMatrix[编号],E1182)=0,"功能编号无效",IF(H1182="不适用",IF(J1182="已实测","适用性冲突",IF(I1182="","待补不适用依据","不适用（非实测）")),IF(J1182="阻塞",IF(I1182="","待补阻塞原因","阻塞（非实测）"),IF(J1182&lt;&gt;"已实测",IF(F1182="","待展开路径","未实测"),IF(H1182&lt;&gt;"适用","待确认适用性",IF(INDEX(Equipment[登记状态（自动）],MATCH(B1182,Equipment[组合编号],0))&lt;&gt;"已登记","待补设备组合",IF(AND(F1182&lt;&gt;"",G1182&lt;&gt;"",K1182&lt;&gt;"",L1182&lt;&gt;"",M1182&lt;&gt;"",N1182&lt;&gt;"",ISNUMBER(O1182),O1182&gt;0,P1182&lt;&gt;""),"记录齐全","待补实测记录")))))))))))</x:f>
        <x:v>待展开路径</x:v>
      </x:c>
    </x:row>
    <x:row r="1183" ht="43.5" customHeight="1">
      <x:c r="A1183" s="20" t="str">
        <x:v>REC-01174</x:v>
      </x:c>
      <x:c r="B1183" s="20" t="str">
        <x:v>P3-B2-01</x:v>
      </x:c>
      <x:c r="C1183" s="30" t="str">
        <x:f>IF(B1183="","",IF(COUNTIFS(Equipment[组合编号],B1183)&lt;&gt;1,"组合编号无效",INDEX(Equipment[PLC组],MATCH(B1183,Equipment[组合编号],0))))</x:f>
        <x:v>欧姆龙</x:v>
      </x:c>
      <x:c r="D1183" s="30" t="str">
        <x:f>IF(B1183="","",IF(COUNTIFS(Equipment[组合编号],B1183)&lt;&gt;1,"组合编号无效",INDEX(Equipment[驱动品牌],MATCH(B1183,Equipment[组合编号],0))))</x:f>
        <x:v>台达</x:v>
      </x:c>
      <x:c r="E1183" s="20" t="str">
        <x:v>M09</x:v>
      </x:c>
      <x:c r="F1183" s="20"/>
      <x:c r="G1183" s="20"/>
      <x:c r="H1183" s="20" t="str">
        <x:v>待判定</x:v>
      </x:c>
      <x:c r="I1183" s="20"/>
      <x:c r="J1183" s="20" t="str">
        <x:v>未测试</x:v>
      </x:c>
      <x:c r="K1183" s="20"/>
      <x:c r="L1183" s="20"/>
      <x:c r="M1183" s="20"/>
      <x:c r="N1183" s="20"/>
      <x:c r="O1183" s="31"/>
      <x:c r="P1183" s="20"/>
      <x:c r="Q1183" s="20"/>
      <x:c r="R1183" s="20" t="str">
        <x:v>待展开</x:v>
      </x:c>
      <x:c r="S1183" s="20"/>
      <x:c r="T1183" s="31"/>
      <x:c r="U1183" s="30" t="str">
        <x:f>IF(A1183="","缺记录编号",IF(COUNTIFS(PathRecords[记录编号],A1183)&lt;&gt;1,"记录编号重复",IF(OR(B1183="",E1183=""),"缺组合/功能",IF(COUNTIFS(Equipment[组合编号],B1183)&lt;&gt;1,"组合编号无效",IF(COUNTIFS(FunctionMatrix[编号],E1183)=0,"功能编号无效",IF(H1183="不适用",IF(J1183="已实测","适用性冲突",IF(I1183="","待补不适用依据","不适用（非实测）")),IF(J1183="阻塞",IF(I1183="","待补阻塞原因","阻塞（非实测）"),IF(J1183&lt;&gt;"已实测",IF(F1183="","待展开路径","未实测"),IF(H1183&lt;&gt;"适用","待确认适用性",IF(INDEX(Equipment[登记状态（自动）],MATCH(B1183,Equipment[组合编号],0))&lt;&gt;"已登记","待补设备组合",IF(AND(F1183&lt;&gt;"",G1183&lt;&gt;"",K1183&lt;&gt;"",L1183&lt;&gt;"",M1183&lt;&gt;"",N1183&lt;&gt;"",ISNUMBER(O1183),O1183&gt;0,P1183&lt;&gt;""),"记录齐全","待补实测记录")))))))))))</x:f>
        <x:v>待展开路径</x:v>
      </x:c>
    </x:row>
    <x:row r="1184" ht="43.5" customHeight="1">
      <x:c r="A1184" s="20" t="str">
        <x:v>REC-01175</x:v>
      </x:c>
      <x:c r="B1184" s="20" t="str">
        <x:v>P3-B2-01</x:v>
      </x:c>
      <x:c r="C1184" s="30" t="str">
        <x:f>IF(B1184="","",IF(COUNTIFS(Equipment[组合编号],B1184)&lt;&gt;1,"组合编号无效",INDEX(Equipment[PLC组],MATCH(B1184,Equipment[组合编号],0))))</x:f>
        <x:v>欧姆龙</x:v>
      </x:c>
      <x:c r="D1184" s="30" t="str">
        <x:f>IF(B1184="","",IF(COUNTIFS(Equipment[组合编号],B1184)&lt;&gt;1,"组合编号无效",INDEX(Equipment[驱动品牌],MATCH(B1184,Equipment[组合编号],0))))</x:f>
        <x:v>台达</x:v>
      </x:c>
      <x:c r="E1184" s="20" t="str">
        <x:v>M10</x:v>
      </x:c>
      <x:c r="F1184" s="20"/>
      <x:c r="G1184" s="20"/>
      <x:c r="H1184" s="20" t="str">
        <x:v>待判定</x:v>
      </x:c>
      <x:c r="I1184" s="20"/>
      <x:c r="J1184" s="20" t="str">
        <x:v>未测试</x:v>
      </x:c>
      <x:c r="K1184" s="20"/>
      <x:c r="L1184" s="20"/>
      <x:c r="M1184" s="20"/>
      <x:c r="N1184" s="20"/>
      <x:c r="O1184" s="31"/>
      <x:c r="P1184" s="20"/>
      <x:c r="Q1184" s="20"/>
      <x:c r="R1184" s="20" t="str">
        <x:v>待展开</x:v>
      </x:c>
      <x:c r="S1184" s="20"/>
      <x:c r="T1184" s="31"/>
      <x:c r="U1184" s="30" t="str">
        <x:f>IF(A1184="","缺记录编号",IF(COUNTIFS(PathRecords[记录编号],A1184)&lt;&gt;1,"记录编号重复",IF(OR(B1184="",E1184=""),"缺组合/功能",IF(COUNTIFS(Equipment[组合编号],B1184)&lt;&gt;1,"组合编号无效",IF(COUNTIFS(FunctionMatrix[编号],E1184)=0,"功能编号无效",IF(H1184="不适用",IF(J1184="已实测","适用性冲突",IF(I1184="","待补不适用依据","不适用（非实测）")),IF(J1184="阻塞",IF(I1184="","待补阻塞原因","阻塞（非实测）"),IF(J1184&lt;&gt;"已实测",IF(F1184="","待展开路径","未实测"),IF(H1184&lt;&gt;"适用","待确认适用性",IF(INDEX(Equipment[登记状态（自动）],MATCH(B1184,Equipment[组合编号],0))&lt;&gt;"已登记","待补设备组合",IF(AND(F1184&lt;&gt;"",G1184&lt;&gt;"",K1184&lt;&gt;"",L1184&lt;&gt;"",M1184&lt;&gt;"",N1184&lt;&gt;"",ISNUMBER(O1184),O1184&gt;0,P1184&lt;&gt;""),"记录齐全","待补实测记录")))))))))))</x:f>
        <x:v>待展开路径</x:v>
      </x:c>
    </x:row>
    <x:row r="1185" ht="43.5" customHeight="1">
      <x:c r="A1185" s="20" t="str">
        <x:v>REC-01176</x:v>
      </x:c>
      <x:c r="B1185" s="20" t="str">
        <x:v>P3-B2-01</x:v>
      </x:c>
      <x:c r="C1185" s="30" t="str">
        <x:f>IF(B1185="","",IF(COUNTIFS(Equipment[组合编号],B1185)&lt;&gt;1,"组合编号无效",INDEX(Equipment[PLC组],MATCH(B1185,Equipment[组合编号],0))))</x:f>
        <x:v>欧姆龙</x:v>
      </x:c>
      <x:c r="D1185" s="30" t="str">
        <x:f>IF(B1185="","",IF(COUNTIFS(Equipment[组合编号],B1185)&lt;&gt;1,"组合编号无效",INDEX(Equipment[驱动品牌],MATCH(B1185,Equipment[组合编号],0))))</x:f>
        <x:v>台达</x:v>
      </x:c>
      <x:c r="E1185" s="20" t="str">
        <x:v>D01</x:v>
      </x:c>
      <x:c r="F1185" s="20"/>
      <x:c r="G1185" s="20"/>
      <x:c r="H1185" s="20" t="str">
        <x:v>待判定</x:v>
      </x:c>
      <x:c r="I1185" s="20"/>
      <x:c r="J1185" s="20" t="str">
        <x:v>未测试</x:v>
      </x:c>
      <x:c r="K1185" s="20"/>
      <x:c r="L1185" s="20"/>
      <x:c r="M1185" s="20"/>
      <x:c r="N1185" s="20"/>
      <x:c r="O1185" s="31"/>
      <x:c r="P1185" s="20"/>
      <x:c r="Q1185" s="20"/>
      <x:c r="R1185" s="20" t="str">
        <x:v>待展开</x:v>
      </x:c>
      <x:c r="S1185" s="20"/>
      <x:c r="T1185" s="31"/>
      <x:c r="U1185" s="30" t="str">
        <x:f>IF(A1185="","缺记录编号",IF(COUNTIFS(PathRecords[记录编号],A1185)&lt;&gt;1,"记录编号重复",IF(OR(B1185="",E1185=""),"缺组合/功能",IF(COUNTIFS(Equipment[组合编号],B1185)&lt;&gt;1,"组合编号无效",IF(COUNTIFS(FunctionMatrix[编号],E1185)=0,"功能编号无效",IF(H1185="不适用",IF(J1185="已实测","适用性冲突",IF(I1185="","待补不适用依据","不适用（非实测）")),IF(J1185="阻塞",IF(I1185="","待补阻塞原因","阻塞（非实测）"),IF(J1185&lt;&gt;"已实测",IF(F1185="","待展开路径","未实测"),IF(H1185&lt;&gt;"适用","待确认适用性",IF(INDEX(Equipment[登记状态（自动）],MATCH(B1185,Equipment[组合编号],0))&lt;&gt;"已登记","待补设备组合",IF(AND(F1185&lt;&gt;"",G1185&lt;&gt;"",K1185&lt;&gt;"",L1185&lt;&gt;"",M1185&lt;&gt;"",N1185&lt;&gt;"",ISNUMBER(O1185),O1185&gt;0,P1185&lt;&gt;""),"记录齐全","待补实测记录")))))))))))</x:f>
        <x:v>待展开路径</x:v>
      </x:c>
    </x:row>
    <x:row r="1186" ht="43.5" customHeight="1">
      <x:c r="A1186" s="20" t="str">
        <x:v>REC-01177</x:v>
      </x:c>
      <x:c r="B1186" s="20" t="str">
        <x:v>P3-B2-01</x:v>
      </x:c>
      <x:c r="C1186" s="30" t="str">
        <x:f>IF(B1186="","",IF(COUNTIFS(Equipment[组合编号],B1186)&lt;&gt;1,"组合编号无效",INDEX(Equipment[PLC组],MATCH(B1186,Equipment[组合编号],0))))</x:f>
        <x:v>欧姆龙</x:v>
      </x:c>
      <x:c r="D1186" s="30" t="str">
        <x:f>IF(B1186="","",IF(COUNTIFS(Equipment[组合编号],B1186)&lt;&gt;1,"组合编号无效",INDEX(Equipment[驱动品牌],MATCH(B1186,Equipment[组合编号],0))))</x:f>
        <x:v>台达</x:v>
      </x:c>
      <x:c r="E1186" s="20" t="str">
        <x:v>D02</x:v>
      </x:c>
      <x:c r="F1186" s="20"/>
      <x:c r="G1186" s="20"/>
      <x:c r="H1186" s="20" t="str">
        <x:v>待判定</x:v>
      </x:c>
      <x:c r="I1186" s="20"/>
      <x:c r="J1186" s="20" t="str">
        <x:v>未测试</x:v>
      </x:c>
      <x:c r="K1186" s="20"/>
      <x:c r="L1186" s="20"/>
      <x:c r="M1186" s="20"/>
      <x:c r="N1186" s="20"/>
      <x:c r="O1186" s="31"/>
      <x:c r="P1186" s="20"/>
      <x:c r="Q1186" s="20"/>
      <x:c r="R1186" s="20" t="str">
        <x:v>待展开</x:v>
      </x:c>
      <x:c r="S1186" s="20"/>
      <x:c r="T1186" s="31"/>
      <x:c r="U1186" s="30" t="str">
        <x:f>IF(A1186="","缺记录编号",IF(COUNTIFS(PathRecords[记录编号],A1186)&lt;&gt;1,"记录编号重复",IF(OR(B1186="",E1186=""),"缺组合/功能",IF(COUNTIFS(Equipment[组合编号],B1186)&lt;&gt;1,"组合编号无效",IF(COUNTIFS(FunctionMatrix[编号],E1186)=0,"功能编号无效",IF(H1186="不适用",IF(J1186="已实测","适用性冲突",IF(I1186="","待补不适用依据","不适用（非实测）")),IF(J1186="阻塞",IF(I1186="","待补阻塞原因","阻塞（非实测）"),IF(J1186&lt;&gt;"已实测",IF(F1186="","待展开路径","未实测"),IF(H1186&lt;&gt;"适用","待确认适用性",IF(INDEX(Equipment[登记状态（自动）],MATCH(B1186,Equipment[组合编号],0))&lt;&gt;"已登记","待补设备组合",IF(AND(F1186&lt;&gt;"",G1186&lt;&gt;"",K1186&lt;&gt;"",L1186&lt;&gt;"",M1186&lt;&gt;"",N1186&lt;&gt;"",ISNUMBER(O1186),O1186&gt;0,P1186&lt;&gt;""),"记录齐全","待补实测记录")))))))))))</x:f>
        <x:v>待展开路径</x:v>
      </x:c>
    </x:row>
    <x:row r="1187" ht="43.5" customHeight="1">
      <x:c r="A1187" s="20" t="str">
        <x:v>REC-01178</x:v>
      </x:c>
      <x:c r="B1187" s="20" t="str">
        <x:v>P3-B2-01</x:v>
      </x:c>
      <x:c r="C1187" s="30" t="str">
        <x:f>IF(B1187="","",IF(COUNTIFS(Equipment[组合编号],B1187)&lt;&gt;1,"组合编号无效",INDEX(Equipment[PLC组],MATCH(B1187,Equipment[组合编号],0))))</x:f>
        <x:v>欧姆龙</x:v>
      </x:c>
      <x:c r="D1187" s="30" t="str">
        <x:f>IF(B1187="","",IF(COUNTIFS(Equipment[组合编号],B1187)&lt;&gt;1,"组合编号无效",INDEX(Equipment[驱动品牌],MATCH(B1187,Equipment[组合编号],0))))</x:f>
        <x:v>台达</x:v>
      </x:c>
      <x:c r="E1187" s="20" t="str">
        <x:v>D03</x:v>
      </x:c>
      <x:c r="F1187" s="20"/>
      <x:c r="G1187" s="20"/>
      <x:c r="H1187" s="20" t="str">
        <x:v>待判定</x:v>
      </x:c>
      <x:c r="I1187" s="20"/>
      <x:c r="J1187" s="20" t="str">
        <x:v>未测试</x:v>
      </x:c>
      <x:c r="K1187" s="20"/>
      <x:c r="L1187" s="20"/>
      <x:c r="M1187" s="20"/>
      <x:c r="N1187" s="20"/>
      <x:c r="O1187" s="31"/>
      <x:c r="P1187" s="20"/>
      <x:c r="Q1187" s="20"/>
      <x:c r="R1187" s="20" t="str">
        <x:v>待展开</x:v>
      </x:c>
      <x:c r="S1187" s="20"/>
      <x:c r="T1187" s="31"/>
      <x:c r="U1187" s="30" t="str">
        <x:f>IF(A1187="","缺记录编号",IF(COUNTIFS(PathRecords[记录编号],A1187)&lt;&gt;1,"记录编号重复",IF(OR(B1187="",E1187=""),"缺组合/功能",IF(COUNTIFS(Equipment[组合编号],B1187)&lt;&gt;1,"组合编号无效",IF(COUNTIFS(FunctionMatrix[编号],E1187)=0,"功能编号无效",IF(H1187="不适用",IF(J1187="已实测","适用性冲突",IF(I1187="","待补不适用依据","不适用（非实测）")),IF(J1187="阻塞",IF(I1187="","待补阻塞原因","阻塞（非实测）"),IF(J1187&lt;&gt;"已实测",IF(F1187="","待展开路径","未实测"),IF(H1187&lt;&gt;"适用","待确认适用性",IF(INDEX(Equipment[登记状态（自动）],MATCH(B1187,Equipment[组合编号],0))&lt;&gt;"已登记","待补设备组合",IF(AND(F1187&lt;&gt;"",G1187&lt;&gt;"",K1187&lt;&gt;"",L1187&lt;&gt;"",M1187&lt;&gt;"",N1187&lt;&gt;"",ISNUMBER(O1187),O1187&gt;0,P1187&lt;&gt;""),"记录齐全","待补实测记录")))))))))))</x:f>
        <x:v>待展开路径</x:v>
      </x:c>
    </x:row>
    <x:row r="1188" ht="43.5" customHeight="1">
      <x:c r="A1188" s="20" t="str">
        <x:v>REC-01179</x:v>
      </x:c>
      <x:c r="B1188" s="20" t="str">
        <x:v>P3-B2-01</x:v>
      </x:c>
      <x:c r="C1188" s="30" t="str">
        <x:f>IF(B1188="","",IF(COUNTIFS(Equipment[组合编号],B1188)&lt;&gt;1,"组合编号无效",INDEX(Equipment[PLC组],MATCH(B1188,Equipment[组合编号],0))))</x:f>
        <x:v>欧姆龙</x:v>
      </x:c>
      <x:c r="D1188" s="30" t="str">
        <x:f>IF(B1188="","",IF(COUNTIFS(Equipment[组合编号],B1188)&lt;&gt;1,"组合编号无效",INDEX(Equipment[驱动品牌],MATCH(B1188,Equipment[组合编号],0))))</x:f>
        <x:v>台达</x:v>
      </x:c>
      <x:c r="E1188" s="20" t="str">
        <x:v>D04</x:v>
      </x:c>
      <x:c r="F1188" s="20"/>
      <x:c r="G1188" s="20"/>
      <x:c r="H1188" s="20" t="str">
        <x:v>待判定</x:v>
      </x:c>
      <x:c r="I1188" s="20"/>
      <x:c r="J1188" s="20" t="str">
        <x:v>未测试</x:v>
      </x:c>
      <x:c r="K1188" s="20"/>
      <x:c r="L1188" s="20"/>
      <x:c r="M1188" s="20"/>
      <x:c r="N1188" s="20"/>
      <x:c r="O1188" s="31"/>
      <x:c r="P1188" s="20"/>
      <x:c r="Q1188" s="20"/>
      <x:c r="R1188" s="20" t="str">
        <x:v>待展开</x:v>
      </x:c>
      <x:c r="S1188" s="20"/>
      <x:c r="T1188" s="31"/>
      <x:c r="U1188" s="30" t="str">
        <x:f>IF(A1188="","缺记录编号",IF(COUNTIFS(PathRecords[记录编号],A1188)&lt;&gt;1,"记录编号重复",IF(OR(B1188="",E1188=""),"缺组合/功能",IF(COUNTIFS(Equipment[组合编号],B1188)&lt;&gt;1,"组合编号无效",IF(COUNTIFS(FunctionMatrix[编号],E1188)=0,"功能编号无效",IF(H1188="不适用",IF(J1188="已实测","适用性冲突",IF(I1188="","待补不适用依据","不适用（非实测）")),IF(J1188="阻塞",IF(I1188="","待补阻塞原因","阻塞（非实测）"),IF(J1188&lt;&gt;"已实测",IF(F1188="","待展开路径","未实测"),IF(H1188&lt;&gt;"适用","待确认适用性",IF(INDEX(Equipment[登记状态（自动）],MATCH(B1188,Equipment[组合编号],0))&lt;&gt;"已登记","待补设备组合",IF(AND(F1188&lt;&gt;"",G1188&lt;&gt;"",K1188&lt;&gt;"",L1188&lt;&gt;"",M1188&lt;&gt;"",N1188&lt;&gt;"",ISNUMBER(O1188),O1188&gt;0,P1188&lt;&gt;""),"记录齐全","待补实测记录")))))))))))</x:f>
        <x:v>待展开路径</x:v>
      </x:c>
    </x:row>
    <x:row r="1189" ht="43.5" customHeight="1">
      <x:c r="A1189" s="20" t="str">
        <x:v>REC-01180</x:v>
      </x:c>
      <x:c r="B1189" s="20" t="str">
        <x:v>P3-B2-01</x:v>
      </x:c>
      <x:c r="C1189" s="30" t="str">
        <x:f>IF(B1189="","",IF(COUNTIFS(Equipment[组合编号],B1189)&lt;&gt;1,"组合编号无效",INDEX(Equipment[PLC组],MATCH(B1189,Equipment[组合编号],0))))</x:f>
        <x:v>欧姆龙</x:v>
      </x:c>
      <x:c r="D1189" s="30" t="str">
        <x:f>IF(B1189="","",IF(COUNTIFS(Equipment[组合编号],B1189)&lt;&gt;1,"组合编号无效",INDEX(Equipment[驱动品牌],MATCH(B1189,Equipment[组合编号],0))))</x:f>
        <x:v>台达</x:v>
      </x:c>
      <x:c r="E1189" s="20" t="str">
        <x:v>D05</x:v>
      </x:c>
      <x:c r="F1189" s="20"/>
      <x:c r="G1189" s="20"/>
      <x:c r="H1189" s="20" t="str">
        <x:v>待判定</x:v>
      </x:c>
      <x:c r="I1189" s="20"/>
      <x:c r="J1189" s="20" t="str">
        <x:v>未测试</x:v>
      </x:c>
      <x:c r="K1189" s="20"/>
      <x:c r="L1189" s="20"/>
      <x:c r="M1189" s="20"/>
      <x:c r="N1189" s="20"/>
      <x:c r="O1189" s="31"/>
      <x:c r="P1189" s="20"/>
      <x:c r="Q1189" s="20"/>
      <x:c r="R1189" s="20" t="str">
        <x:v>待展开</x:v>
      </x:c>
      <x:c r="S1189" s="20"/>
      <x:c r="T1189" s="31"/>
      <x:c r="U1189" s="30" t="str">
        <x:f>IF(A1189="","缺记录编号",IF(COUNTIFS(PathRecords[记录编号],A1189)&lt;&gt;1,"记录编号重复",IF(OR(B1189="",E1189=""),"缺组合/功能",IF(COUNTIFS(Equipment[组合编号],B1189)&lt;&gt;1,"组合编号无效",IF(COUNTIFS(FunctionMatrix[编号],E1189)=0,"功能编号无效",IF(H1189="不适用",IF(J1189="已实测","适用性冲突",IF(I1189="","待补不适用依据","不适用（非实测）")),IF(J1189="阻塞",IF(I1189="","待补阻塞原因","阻塞（非实测）"),IF(J1189&lt;&gt;"已实测",IF(F1189="","待展开路径","未实测"),IF(H1189&lt;&gt;"适用","待确认适用性",IF(INDEX(Equipment[登记状态（自动）],MATCH(B1189,Equipment[组合编号],0))&lt;&gt;"已登记","待补设备组合",IF(AND(F1189&lt;&gt;"",G1189&lt;&gt;"",K1189&lt;&gt;"",L1189&lt;&gt;"",M1189&lt;&gt;"",N1189&lt;&gt;"",ISNUMBER(O1189),O1189&gt;0,P1189&lt;&gt;""),"记录齐全","待补实测记录")))))))))))</x:f>
        <x:v>待展开路径</x:v>
      </x:c>
    </x:row>
    <x:row r="1190" ht="43.5" customHeight="1">
      <x:c r="A1190" s="20" t="str">
        <x:v>REC-01181</x:v>
      </x:c>
      <x:c r="B1190" s="20" t="str">
        <x:v>P3-B2-01</x:v>
      </x:c>
      <x:c r="C1190" s="30" t="str">
        <x:f>IF(B1190="","",IF(COUNTIFS(Equipment[组合编号],B1190)&lt;&gt;1,"组合编号无效",INDEX(Equipment[PLC组],MATCH(B1190,Equipment[组合编号],0))))</x:f>
        <x:v>欧姆龙</x:v>
      </x:c>
      <x:c r="D1190" s="30" t="str">
        <x:f>IF(B1190="","",IF(COUNTIFS(Equipment[组合编号],B1190)&lt;&gt;1,"组合编号无效",INDEX(Equipment[驱动品牌],MATCH(B1190,Equipment[组合编号],0))))</x:f>
        <x:v>台达</x:v>
      </x:c>
      <x:c r="E1190" s="20" t="str">
        <x:v>D06</x:v>
      </x:c>
      <x:c r="F1190" s="20"/>
      <x:c r="G1190" s="20"/>
      <x:c r="H1190" s="20" t="str">
        <x:v>待判定</x:v>
      </x:c>
      <x:c r="I1190" s="20"/>
      <x:c r="J1190" s="20" t="str">
        <x:v>未测试</x:v>
      </x:c>
      <x:c r="K1190" s="20"/>
      <x:c r="L1190" s="20"/>
      <x:c r="M1190" s="20"/>
      <x:c r="N1190" s="20"/>
      <x:c r="O1190" s="31"/>
      <x:c r="P1190" s="20"/>
      <x:c r="Q1190" s="20"/>
      <x:c r="R1190" s="20" t="str">
        <x:v>待展开</x:v>
      </x:c>
      <x:c r="S1190" s="20"/>
      <x:c r="T1190" s="31"/>
      <x:c r="U1190" s="30" t="str">
        <x:f>IF(A1190="","缺记录编号",IF(COUNTIFS(PathRecords[记录编号],A1190)&lt;&gt;1,"记录编号重复",IF(OR(B1190="",E1190=""),"缺组合/功能",IF(COUNTIFS(Equipment[组合编号],B1190)&lt;&gt;1,"组合编号无效",IF(COUNTIFS(FunctionMatrix[编号],E1190)=0,"功能编号无效",IF(H1190="不适用",IF(J1190="已实测","适用性冲突",IF(I1190="","待补不适用依据","不适用（非实测）")),IF(J1190="阻塞",IF(I1190="","待补阻塞原因","阻塞（非实测）"),IF(J1190&lt;&gt;"已实测",IF(F1190="","待展开路径","未实测"),IF(H1190&lt;&gt;"适用","待确认适用性",IF(INDEX(Equipment[登记状态（自动）],MATCH(B1190,Equipment[组合编号],0))&lt;&gt;"已登记","待补设备组合",IF(AND(F1190&lt;&gt;"",G1190&lt;&gt;"",K1190&lt;&gt;"",L1190&lt;&gt;"",M1190&lt;&gt;"",N1190&lt;&gt;"",ISNUMBER(O1190),O1190&gt;0,P1190&lt;&gt;""),"记录齐全","待补实测记录")))))))))))</x:f>
        <x:v>待展开路径</x:v>
      </x:c>
    </x:row>
    <x:row r="1191" ht="43.5" customHeight="1">
      <x:c r="A1191" s="20" t="str">
        <x:v>REC-01182</x:v>
      </x:c>
      <x:c r="B1191" s="20" t="str">
        <x:v>P3-B2-01</x:v>
      </x:c>
      <x:c r="C1191" s="30" t="str">
        <x:f>IF(B1191="","",IF(COUNTIFS(Equipment[组合编号],B1191)&lt;&gt;1,"组合编号无效",INDEX(Equipment[PLC组],MATCH(B1191,Equipment[组合编号],0))))</x:f>
        <x:v>欧姆龙</x:v>
      </x:c>
      <x:c r="D1191" s="30" t="str">
        <x:f>IF(B1191="","",IF(COUNTIFS(Equipment[组合编号],B1191)&lt;&gt;1,"组合编号无效",INDEX(Equipment[驱动品牌],MATCH(B1191,Equipment[组合编号],0))))</x:f>
        <x:v>台达</x:v>
      </x:c>
      <x:c r="E1191" s="20" t="str">
        <x:v>D07</x:v>
      </x:c>
      <x:c r="F1191" s="20"/>
      <x:c r="G1191" s="20"/>
      <x:c r="H1191" s="20" t="str">
        <x:v>待判定</x:v>
      </x:c>
      <x:c r="I1191" s="20"/>
      <x:c r="J1191" s="20" t="str">
        <x:v>未测试</x:v>
      </x:c>
      <x:c r="K1191" s="20"/>
      <x:c r="L1191" s="20"/>
      <x:c r="M1191" s="20"/>
      <x:c r="N1191" s="20"/>
      <x:c r="O1191" s="31"/>
      <x:c r="P1191" s="20"/>
      <x:c r="Q1191" s="20"/>
      <x:c r="R1191" s="20" t="str">
        <x:v>待展开</x:v>
      </x:c>
      <x:c r="S1191" s="20"/>
      <x:c r="T1191" s="31"/>
      <x:c r="U1191" s="30" t="str">
        <x:f>IF(A1191="","缺记录编号",IF(COUNTIFS(PathRecords[记录编号],A1191)&lt;&gt;1,"记录编号重复",IF(OR(B1191="",E1191=""),"缺组合/功能",IF(COUNTIFS(Equipment[组合编号],B1191)&lt;&gt;1,"组合编号无效",IF(COUNTIFS(FunctionMatrix[编号],E1191)=0,"功能编号无效",IF(H1191="不适用",IF(J1191="已实测","适用性冲突",IF(I1191="","待补不适用依据","不适用（非实测）")),IF(J1191="阻塞",IF(I1191="","待补阻塞原因","阻塞（非实测）"),IF(J1191&lt;&gt;"已实测",IF(F1191="","待展开路径","未实测"),IF(H1191&lt;&gt;"适用","待确认适用性",IF(INDEX(Equipment[登记状态（自动）],MATCH(B1191,Equipment[组合编号],0))&lt;&gt;"已登记","待补设备组合",IF(AND(F1191&lt;&gt;"",G1191&lt;&gt;"",K1191&lt;&gt;"",L1191&lt;&gt;"",M1191&lt;&gt;"",N1191&lt;&gt;"",ISNUMBER(O1191),O1191&gt;0,P1191&lt;&gt;""),"记录齐全","待补实测记录")))))))))))</x:f>
        <x:v>待展开路径</x:v>
      </x:c>
    </x:row>
    <x:row r="1192" ht="43.5" customHeight="1">
      <x:c r="A1192" s="20" t="str">
        <x:v>REC-01183</x:v>
      </x:c>
      <x:c r="B1192" s="20" t="str">
        <x:v>P3-B2-01</x:v>
      </x:c>
      <x:c r="C1192" s="30" t="str">
        <x:f>IF(B1192="","",IF(COUNTIFS(Equipment[组合编号],B1192)&lt;&gt;1,"组合编号无效",INDEX(Equipment[PLC组],MATCH(B1192,Equipment[组合编号],0))))</x:f>
        <x:v>欧姆龙</x:v>
      </x:c>
      <x:c r="D1192" s="30" t="str">
        <x:f>IF(B1192="","",IF(COUNTIFS(Equipment[组合编号],B1192)&lt;&gt;1,"组合编号无效",INDEX(Equipment[驱动品牌],MATCH(B1192,Equipment[组合编号],0))))</x:f>
        <x:v>台达</x:v>
      </x:c>
      <x:c r="E1192" s="20" t="str">
        <x:v>D08</x:v>
      </x:c>
      <x:c r="F1192" s="20"/>
      <x:c r="G1192" s="20"/>
      <x:c r="H1192" s="20" t="str">
        <x:v>待判定</x:v>
      </x:c>
      <x:c r="I1192" s="20"/>
      <x:c r="J1192" s="20" t="str">
        <x:v>未测试</x:v>
      </x:c>
      <x:c r="K1192" s="20"/>
      <x:c r="L1192" s="20"/>
      <x:c r="M1192" s="20"/>
      <x:c r="N1192" s="20"/>
      <x:c r="O1192" s="31"/>
      <x:c r="P1192" s="20"/>
      <x:c r="Q1192" s="20"/>
      <x:c r="R1192" s="20" t="str">
        <x:v>待展开</x:v>
      </x:c>
      <x:c r="S1192" s="20"/>
      <x:c r="T1192" s="31"/>
      <x:c r="U1192" s="30" t="str">
        <x:f>IF(A1192="","缺记录编号",IF(COUNTIFS(PathRecords[记录编号],A1192)&lt;&gt;1,"记录编号重复",IF(OR(B1192="",E1192=""),"缺组合/功能",IF(COUNTIFS(Equipment[组合编号],B1192)&lt;&gt;1,"组合编号无效",IF(COUNTIFS(FunctionMatrix[编号],E1192)=0,"功能编号无效",IF(H1192="不适用",IF(J1192="已实测","适用性冲突",IF(I1192="","待补不适用依据","不适用（非实测）")),IF(J1192="阻塞",IF(I1192="","待补阻塞原因","阻塞（非实测）"),IF(J1192&lt;&gt;"已实测",IF(F1192="","待展开路径","未实测"),IF(H1192&lt;&gt;"适用","待确认适用性",IF(INDEX(Equipment[登记状态（自动）],MATCH(B1192,Equipment[组合编号],0))&lt;&gt;"已登记","待补设备组合",IF(AND(F1192&lt;&gt;"",G1192&lt;&gt;"",K1192&lt;&gt;"",L1192&lt;&gt;"",M1192&lt;&gt;"",N1192&lt;&gt;"",ISNUMBER(O1192),O1192&gt;0,P1192&lt;&gt;""),"记录齐全","待补实测记录")))))))))))</x:f>
        <x:v>待展开路径</x:v>
      </x:c>
    </x:row>
    <x:row r="1193" ht="43.5" customHeight="1">
      <x:c r="A1193" s="20" t="str">
        <x:v>REC-01184</x:v>
      </x:c>
      <x:c r="B1193" s="20" t="str">
        <x:v>P3-B2-01</x:v>
      </x:c>
      <x:c r="C1193" s="30" t="str">
        <x:f>IF(B1193="","",IF(COUNTIFS(Equipment[组合编号],B1193)&lt;&gt;1,"组合编号无效",INDEX(Equipment[PLC组],MATCH(B1193,Equipment[组合编号],0))))</x:f>
        <x:v>欧姆龙</x:v>
      </x:c>
      <x:c r="D1193" s="30" t="str">
        <x:f>IF(B1193="","",IF(COUNTIFS(Equipment[组合编号],B1193)&lt;&gt;1,"组合编号无效",INDEX(Equipment[驱动品牌],MATCH(B1193,Equipment[组合编号],0))))</x:f>
        <x:v>台达</x:v>
      </x:c>
      <x:c r="E1193" s="20" t="str">
        <x:v>D09</x:v>
      </x:c>
      <x:c r="F1193" s="20"/>
      <x:c r="G1193" s="20"/>
      <x:c r="H1193" s="20" t="str">
        <x:v>待判定</x:v>
      </x:c>
      <x:c r="I1193" s="20"/>
      <x:c r="J1193" s="20" t="str">
        <x:v>未测试</x:v>
      </x:c>
      <x:c r="K1193" s="20"/>
      <x:c r="L1193" s="20"/>
      <x:c r="M1193" s="20"/>
      <x:c r="N1193" s="20"/>
      <x:c r="O1193" s="31"/>
      <x:c r="P1193" s="20"/>
      <x:c r="Q1193" s="20"/>
      <x:c r="R1193" s="20" t="str">
        <x:v>待展开</x:v>
      </x:c>
      <x:c r="S1193" s="20"/>
      <x:c r="T1193" s="31"/>
      <x:c r="U1193" s="30" t="str">
        <x:f>IF(A1193="","缺记录编号",IF(COUNTIFS(PathRecords[记录编号],A1193)&lt;&gt;1,"记录编号重复",IF(OR(B1193="",E1193=""),"缺组合/功能",IF(COUNTIFS(Equipment[组合编号],B1193)&lt;&gt;1,"组合编号无效",IF(COUNTIFS(FunctionMatrix[编号],E1193)=0,"功能编号无效",IF(H1193="不适用",IF(J1193="已实测","适用性冲突",IF(I1193="","待补不适用依据","不适用（非实测）")),IF(J1193="阻塞",IF(I1193="","待补阻塞原因","阻塞（非实测）"),IF(J1193&lt;&gt;"已实测",IF(F1193="","待展开路径","未实测"),IF(H1193&lt;&gt;"适用","待确认适用性",IF(INDEX(Equipment[登记状态（自动）],MATCH(B1193,Equipment[组合编号],0))&lt;&gt;"已登记","待补设备组合",IF(AND(F1193&lt;&gt;"",G1193&lt;&gt;"",K1193&lt;&gt;"",L1193&lt;&gt;"",M1193&lt;&gt;"",N1193&lt;&gt;"",ISNUMBER(O1193),O1193&gt;0,P1193&lt;&gt;""),"记录齐全","待补实测记录")))))))))))</x:f>
        <x:v>待展开路径</x:v>
      </x:c>
    </x:row>
    <x:row r="1194" ht="43.5" customHeight="1">
      <x:c r="A1194" s="20" t="str">
        <x:v>REC-01185</x:v>
      </x:c>
      <x:c r="B1194" s="20" t="str">
        <x:v>P3-B2-01</x:v>
      </x:c>
      <x:c r="C1194" s="30" t="str">
        <x:f>IF(B1194="","",IF(COUNTIFS(Equipment[组合编号],B1194)&lt;&gt;1,"组合编号无效",INDEX(Equipment[PLC组],MATCH(B1194,Equipment[组合编号],0))))</x:f>
        <x:v>欧姆龙</x:v>
      </x:c>
      <x:c r="D1194" s="30" t="str">
        <x:f>IF(B1194="","",IF(COUNTIFS(Equipment[组合编号],B1194)&lt;&gt;1,"组合编号无效",INDEX(Equipment[驱动品牌],MATCH(B1194,Equipment[组合编号],0))))</x:f>
        <x:v>台达</x:v>
      </x:c>
      <x:c r="E1194" s="20" t="str">
        <x:v>S01</x:v>
      </x:c>
      <x:c r="F1194" s="20"/>
      <x:c r="G1194" s="20"/>
      <x:c r="H1194" s="20" t="str">
        <x:v>待判定</x:v>
      </x:c>
      <x:c r="I1194" s="20"/>
      <x:c r="J1194" s="20" t="str">
        <x:v>未测试</x:v>
      </x:c>
      <x:c r="K1194" s="20"/>
      <x:c r="L1194" s="20"/>
      <x:c r="M1194" s="20"/>
      <x:c r="N1194" s="20"/>
      <x:c r="O1194" s="31"/>
      <x:c r="P1194" s="20"/>
      <x:c r="Q1194" s="20"/>
      <x:c r="R1194" s="20" t="str">
        <x:v>待展开</x:v>
      </x:c>
      <x:c r="S1194" s="20"/>
      <x:c r="T1194" s="31"/>
      <x:c r="U1194" s="30" t="str">
        <x:f>IF(A1194="","缺记录编号",IF(COUNTIFS(PathRecords[记录编号],A1194)&lt;&gt;1,"记录编号重复",IF(OR(B1194="",E1194=""),"缺组合/功能",IF(COUNTIFS(Equipment[组合编号],B1194)&lt;&gt;1,"组合编号无效",IF(COUNTIFS(FunctionMatrix[编号],E1194)=0,"功能编号无效",IF(H1194="不适用",IF(J1194="已实测","适用性冲突",IF(I1194="","待补不适用依据","不适用（非实测）")),IF(J1194="阻塞",IF(I1194="","待补阻塞原因","阻塞（非实测）"),IF(J1194&lt;&gt;"已实测",IF(F1194="","待展开路径","未实测"),IF(H1194&lt;&gt;"适用","待确认适用性",IF(INDEX(Equipment[登记状态（自动）],MATCH(B1194,Equipment[组合编号],0))&lt;&gt;"已登记","待补设备组合",IF(AND(F1194&lt;&gt;"",G1194&lt;&gt;"",K1194&lt;&gt;"",L1194&lt;&gt;"",M1194&lt;&gt;"",N1194&lt;&gt;"",ISNUMBER(O1194),O1194&gt;0,P1194&lt;&gt;""),"记录齐全","待补实测记录")))))))))))</x:f>
        <x:v>待展开路径</x:v>
      </x:c>
    </x:row>
    <x:row r="1195" ht="43.5" customHeight="1">
      <x:c r="A1195" s="20" t="str">
        <x:v>REC-01186</x:v>
      </x:c>
      <x:c r="B1195" s="20" t="str">
        <x:v>P3-B2-01</x:v>
      </x:c>
      <x:c r="C1195" s="30" t="str">
        <x:f>IF(B1195="","",IF(COUNTIFS(Equipment[组合编号],B1195)&lt;&gt;1,"组合编号无效",INDEX(Equipment[PLC组],MATCH(B1195,Equipment[组合编号],0))))</x:f>
        <x:v>欧姆龙</x:v>
      </x:c>
      <x:c r="D1195" s="30" t="str">
        <x:f>IF(B1195="","",IF(COUNTIFS(Equipment[组合编号],B1195)&lt;&gt;1,"组合编号无效",INDEX(Equipment[驱动品牌],MATCH(B1195,Equipment[组合编号],0))))</x:f>
        <x:v>台达</x:v>
      </x:c>
      <x:c r="E1195" s="20" t="str">
        <x:v>S02</x:v>
      </x:c>
      <x:c r="F1195" s="20"/>
      <x:c r="G1195" s="20"/>
      <x:c r="H1195" s="20" t="str">
        <x:v>待判定</x:v>
      </x:c>
      <x:c r="I1195" s="20"/>
      <x:c r="J1195" s="20" t="str">
        <x:v>未测试</x:v>
      </x:c>
      <x:c r="K1195" s="20"/>
      <x:c r="L1195" s="20"/>
      <x:c r="M1195" s="20"/>
      <x:c r="N1195" s="20"/>
      <x:c r="O1195" s="31"/>
      <x:c r="P1195" s="20"/>
      <x:c r="Q1195" s="20"/>
      <x:c r="R1195" s="20" t="str">
        <x:v>待展开</x:v>
      </x:c>
      <x:c r="S1195" s="20"/>
      <x:c r="T1195" s="31"/>
      <x:c r="U1195" s="30" t="str">
        <x:f>IF(A1195="","缺记录编号",IF(COUNTIFS(PathRecords[记录编号],A1195)&lt;&gt;1,"记录编号重复",IF(OR(B1195="",E1195=""),"缺组合/功能",IF(COUNTIFS(Equipment[组合编号],B1195)&lt;&gt;1,"组合编号无效",IF(COUNTIFS(FunctionMatrix[编号],E1195)=0,"功能编号无效",IF(H1195="不适用",IF(J1195="已实测","适用性冲突",IF(I1195="","待补不适用依据","不适用（非实测）")),IF(J1195="阻塞",IF(I1195="","待补阻塞原因","阻塞（非实测）"),IF(J1195&lt;&gt;"已实测",IF(F1195="","待展开路径","未实测"),IF(H1195&lt;&gt;"适用","待确认适用性",IF(INDEX(Equipment[登记状态（自动）],MATCH(B1195,Equipment[组合编号],0))&lt;&gt;"已登记","待补设备组合",IF(AND(F1195&lt;&gt;"",G1195&lt;&gt;"",K1195&lt;&gt;"",L1195&lt;&gt;"",M1195&lt;&gt;"",N1195&lt;&gt;"",ISNUMBER(O1195),O1195&gt;0,P1195&lt;&gt;""),"记录齐全","待补实测记录")))))))))))</x:f>
        <x:v>待展开路径</x:v>
      </x:c>
    </x:row>
    <x:row r="1196" ht="43.5" customHeight="1">
      <x:c r="A1196" s="20" t="str">
        <x:v>REC-01187</x:v>
      </x:c>
      <x:c r="B1196" s="20" t="str">
        <x:v>P3-B2-01</x:v>
      </x:c>
      <x:c r="C1196" s="30" t="str">
        <x:f>IF(B1196="","",IF(COUNTIFS(Equipment[组合编号],B1196)&lt;&gt;1,"组合编号无效",INDEX(Equipment[PLC组],MATCH(B1196,Equipment[组合编号],0))))</x:f>
        <x:v>欧姆龙</x:v>
      </x:c>
      <x:c r="D1196" s="30" t="str">
        <x:f>IF(B1196="","",IF(COUNTIFS(Equipment[组合编号],B1196)&lt;&gt;1,"组合编号无效",INDEX(Equipment[驱动品牌],MATCH(B1196,Equipment[组合编号],0))))</x:f>
        <x:v>台达</x:v>
      </x:c>
      <x:c r="E1196" s="20" t="str">
        <x:v>S03</x:v>
      </x:c>
      <x:c r="F1196" s="20"/>
      <x:c r="G1196" s="20"/>
      <x:c r="H1196" s="20" t="str">
        <x:v>待判定</x:v>
      </x:c>
      <x:c r="I1196" s="20"/>
      <x:c r="J1196" s="20" t="str">
        <x:v>未测试</x:v>
      </x:c>
      <x:c r="K1196" s="20"/>
      <x:c r="L1196" s="20"/>
      <x:c r="M1196" s="20"/>
      <x:c r="N1196" s="20"/>
      <x:c r="O1196" s="31"/>
      <x:c r="P1196" s="20"/>
      <x:c r="Q1196" s="20"/>
      <x:c r="R1196" s="20" t="str">
        <x:v>待展开</x:v>
      </x:c>
      <x:c r="S1196" s="20"/>
      <x:c r="T1196" s="31"/>
      <x:c r="U1196" s="30" t="str">
        <x:f>IF(A1196="","缺记录编号",IF(COUNTIFS(PathRecords[记录编号],A1196)&lt;&gt;1,"记录编号重复",IF(OR(B1196="",E1196=""),"缺组合/功能",IF(COUNTIFS(Equipment[组合编号],B1196)&lt;&gt;1,"组合编号无效",IF(COUNTIFS(FunctionMatrix[编号],E1196)=0,"功能编号无效",IF(H1196="不适用",IF(J1196="已实测","适用性冲突",IF(I1196="","待补不适用依据","不适用（非实测）")),IF(J1196="阻塞",IF(I1196="","待补阻塞原因","阻塞（非实测）"),IF(J1196&lt;&gt;"已实测",IF(F1196="","待展开路径","未实测"),IF(H1196&lt;&gt;"适用","待确认适用性",IF(INDEX(Equipment[登记状态（自动）],MATCH(B1196,Equipment[组合编号],0))&lt;&gt;"已登记","待补设备组合",IF(AND(F1196&lt;&gt;"",G1196&lt;&gt;"",K1196&lt;&gt;"",L1196&lt;&gt;"",M1196&lt;&gt;"",N1196&lt;&gt;"",ISNUMBER(O1196),O1196&gt;0,P1196&lt;&gt;""),"记录齐全","待补实测记录")))))))))))</x:f>
        <x:v>待展开路径</x:v>
      </x:c>
    </x:row>
    <x:row r="1197" ht="43.5" customHeight="1">
      <x:c r="A1197" s="20" t="str">
        <x:v>REC-01188</x:v>
      </x:c>
      <x:c r="B1197" s="20" t="str">
        <x:v>P3-B2-01</x:v>
      </x:c>
      <x:c r="C1197" s="30" t="str">
        <x:f>IF(B1197="","",IF(COUNTIFS(Equipment[组合编号],B1197)&lt;&gt;1,"组合编号无效",INDEX(Equipment[PLC组],MATCH(B1197,Equipment[组合编号],0))))</x:f>
        <x:v>欧姆龙</x:v>
      </x:c>
      <x:c r="D1197" s="30" t="str">
        <x:f>IF(B1197="","",IF(COUNTIFS(Equipment[组合编号],B1197)&lt;&gt;1,"组合编号无效",INDEX(Equipment[驱动品牌],MATCH(B1197,Equipment[组合编号],0))))</x:f>
        <x:v>台达</x:v>
      </x:c>
      <x:c r="E1197" s="20" t="str">
        <x:v>S04</x:v>
      </x:c>
      <x:c r="F1197" s="20"/>
      <x:c r="G1197" s="20"/>
      <x:c r="H1197" s="20" t="str">
        <x:v>待判定</x:v>
      </x:c>
      <x:c r="I1197" s="20"/>
      <x:c r="J1197" s="20" t="str">
        <x:v>未测试</x:v>
      </x:c>
      <x:c r="K1197" s="20"/>
      <x:c r="L1197" s="20"/>
      <x:c r="M1197" s="20"/>
      <x:c r="N1197" s="20"/>
      <x:c r="O1197" s="31"/>
      <x:c r="P1197" s="20"/>
      <x:c r="Q1197" s="20"/>
      <x:c r="R1197" s="20" t="str">
        <x:v>待展开</x:v>
      </x:c>
      <x:c r="S1197" s="20"/>
      <x:c r="T1197" s="31"/>
      <x:c r="U1197" s="30" t="str">
        <x:f>IF(A1197="","缺记录编号",IF(COUNTIFS(PathRecords[记录编号],A1197)&lt;&gt;1,"记录编号重复",IF(OR(B1197="",E1197=""),"缺组合/功能",IF(COUNTIFS(Equipment[组合编号],B1197)&lt;&gt;1,"组合编号无效",IF(COUNTIFS(FunctionMatrix[编号],E1197)=0,"功能编号无效",IF(H1197="不适用",IF(J1197="已实测","适用性冲突",IF(I1197="","待补不适用依据","不适用（非实测）")),IF(J1197="阻塞",IF(I1197="","待补阻塞原因","阻塞（非实测）"),IF(J1197&lt;&gt;"已实测",IF(F1197="","待展开路径","未实测"),IF(H1197&lt;&gt;"适用","待确认适用性",IF(INDEX(Equipment[登记状态（自动）],MATCH(B1197,Equipment[组合编号],0))&lt;&gt;"已登记","待补设备组合",IF(AND(F1197&lt;&gt;"",G1197&lt;&gt;"",K1197&lt;&gt;"",L1197&lt;&gt;"",M1197&lt;&gt;"",N1197&lt;&gt;"",ISNUMBER(O1197),O1197&gt;0,P1197&lt;&gt;""),"记录齐全","待补实测记录")))))))))))</x:f>
        <x:v>待展开路径</x:v>
      </x:c>
    </x:row>
    <x:row r="1198" ht="43.5" customHeight="1">
      <x:c r="A1198" s="20" t="str">
        <x:v>REC-01189</x:v>
      </x:c>
      <x:c r="B1198" s="20" t="str">
        <x:v>P3-B2-01</x:v>
      </x:c>
      <x:c r="C1198" s="30" t="str">
        <x:f>IF(B1198="","",IF(COUNTIFS(Equipment[组合编号],B1198)&lt;&gt;1,"组合编号无效",INDEX(Equipment[PLC组],MATCH(B1198,Equipment[组合编号],0))))</x:f>
        <x:v>欧姆龙</x:v>
      </x:c>
      <x:c r="D1198" s="30" t="str">
        <x:f>IF(B1198="","",IF(COUNTIFS(Equipment[组合编号],B1198)&lt;&gt;1,"组合编号无效",INDEX(Equipment[驱动品牌],MATCH(B1198,Equipment[组合编号],0))))</x:f>
        <x:v>台达</x:v>
      </x:c>
      <x:c r="E1198" s="20" t="str">
        <x:v>S05</x:v>
      </x:c>
      <x:c r="F1198" s="20"/>
      <x:c r="G1198" s="20"/>
      <x:c r="H1198" s="20" t="str">
        <x:v>待判定</x:v>
      </x:c>
      <x:c r="I1198" s="20"/>
      <x:c r="J1198" s="20" t="str">
        <x:v>未测试</x:v>
      </x:c>
      <x:c r="K1198" s="20"/>
      <x:c r="L1198" s="20"/>
      <x:c r="M1198" s="20"/>
      <x:c r="N1198" s="20"/>
      <x:c r="O1198" s="31"/>
      <x:c r="P1198" s="20"/>
      <x:c r="Q1198" s="20"/>
      <x:c r="R1198" s="20" t="str">
        <x:v>待展开</x:v>
      </x:c>
      <x:c r="S1198" s="20"/>
      <x:c r="T1198" s="31"/>
      <x:c r="U1198" s="30" t="str">
        <x:f>IF(A1198="","缺记录编号",IF(COUNTIFS(PathRecords[记录编号],A1198)&lt;&gt;1,"记录编号重复",IF(OR(B1198="",E1198=""),"缺组合/功能",IF(COUNTIFS(Equipment[组合编号],B1198)&lt;&gt;1,"组合编号无效",IF(COUNTIFS(FunctionMatrix[编号],E1198)=0,"功能编号无效",IF(H1198="不适用",IF(J1198="已实测","适用性冲突",IF(I1198="","待补不适用依据","不适用（非实测）")),IF(J1198="阻塞",IF(I1198="","待补阻塞原因","阻塞（非实测）"),IF(J1198&lt;&gt;"已实测",IF(F1198="","待展开路径","未实测"),IF(H1198&lt;&gt;"适用","待确认适用性",IF(INDEX(Equipment[登记状态（自动）],MATCH(B1198,Equipment[组合编号],0))&lt;&gt;"已登记","待补设备组合",IF(AND(F1198&lt;&gt;"",G1198&lt;&gt;"",K1198&lt;&gt;"",L1198&lt;&gt;"",M1198&lt;&gt;"",N1198&lt;&gt;"",ISNUMBER(O1198),O1198&gt;0,P1198&lt;&gt;""),"记录齐全","待补实测记录")))))))))))</x:f>
        <x:v>待展开路径</x:v>
      </x:c>
    </x:row>
    <x:row r="1199" ht="43.5" customHeight="1">
      <x:c r="A1199" s="20" t="str">
        <x:v>REC-01190</x:v>
      </x:c>
      <x:c r="B1199" s="20" t="str">
        <x:v>P3-B2-01</x:v>
      </x:c>
      <x:c r="C1199" s="30" t="str">
        <x:f>IF(B1199="","",IF(COUNTIFS(Equipment[组合编号],B1199)&lt;&gt;1,"组合编号无效",INDEX(Equipment[PLC组],MATCH(B1199,Equipment[组合编号],0))))</x:f>
        <x:v>欧姆龙</x:v>
      </x:c>
      <x:c r="D1199" s="30" t="str">
        <x:f>IF(B1199="","",IF(COUNTIFS(Equipment[组合编号],B1199)&lt;&gt;1,"组合编号无效",INDEX(Equipment[驱动品牌],MATCH(B1199,Equipment[组合编号],0))))</x:f>
        <x:v>台达</x:v>
      </x:c>
      <x:c r="E1199" s="20" t="str">
        <x:v>S06</x:v>
      </x:c>
      <x:c r="F1199" s="20"/>
      <x:c r="G1199" s="20"/>
      <x:c r="H1199" s="20" t="str">
        <x:v>待判定</x:v>
      </x:c>
      <x:c r="I1199" s="20"/>
      <x:c r="J1199" s="20" t="str">
        <x:v>未测试</x:v>
      </x:c>
      <x:c r="K1199" s="20"/>
      <x:c r="L1199" s="20"/>
      <x:c r="M1199" s="20"/>
      <x:c r="N1199" s="20"/>
      <x:c r="O1199" s="31"/>
      <x:c r="P1199" s="20"/>
      <x:c r="Q1199" s="20"/>
      <x:c r="R1199" s="20" t="str">
        <x:v>待展开</x:v>
      </x:c>
      <x:c r="S1199" s="20"/>
      <x:c r="T1199" s="31"/>
      <x:c r="U1199" s="30" t="str">
        <x:f>IF(A1199="","缺记录编号",IF(COUNTIFS(PathRecords[记录编号],A1199)&lt;&gt;1,"记录编号重复",IF(OR(B1199="",E1199=""),"缺组合/功能",IF(COUNTIFS(Equipment[组合编号],B1199)&lt;&gt;1,"组合编号无效",IF(COUNTIFS(FunctionMatrix[编号],E1199)=0,"功能编号无效",IF(H1199="不适用",IF(J1199="已实测","适用性冲突",IF(I1199="","待补不适用依据","不适用（非实测）")),IF(J1199="阻塞",IF(I1199="","待补阻塞原因","阻塞（非实测）"),IF(J1199&lt;&gt;"已实测",IF(F1199="","待展开路径","未实测"),IF(H1199&lt;&gt;"适用","待确认适用性",IF(INDEX(Equipment[登记状态（自动）],MATCH(B1199,Equipment[组合编号],0))&lt;&gt;"已登记","待补设备组合",IF(AND(F1199&lt;&gt;"",G1199&lt;&gt;"",K1199&lt;&gt;"",L1199&lt;&gt;"",M1199&lt;&gt;"",N1199&lt;&gt;"",ISNUMBER(O1199),O1199&gt;0,P1199&lt;&gt;""),"记录齐全","待补实测记录")))))))))))</x:f>
        <x:v>待展开路径</x:v>
      </x:c>
    </x:row>
    <x:row r="1200" ht="43.5" customHeight="1">
      <x:c r="A1200" s="20" t="str">
        <x:v>REC-01191</x:v>
      </x:c>
      <x:c r="B1200" s="20" t="str">
        <x:v>P3-B2-01</x:v>
      </x:c>
      <x:c r="C1200" s="30" t="str">
        <x:f>IF(B1200="","",IF(COUNTIFS(Equipment[组合编号],B1200)&lt;&gt;1,"组合编号无效",INDEX(Equipment[PLC组],MATCH(B1200,Equipment[组合编号],0))))</x:f>
        <x:v>欧姆龙</x:v>
      </x:c>
      <x:c r="D1200" s="30" t="str">
        <x:f>IF(B1200="","",IF(COUNTIFS(Equipment[组合编号],B1200)&lt;&gt;1,"组合编号无效",INDEX(Equipment[驱动品牌],MATCH(B1200,Equipment[组合编号],0))))</x:f>
        <x:v>台达</x:v>
      </x:c>
      <x:c r="E1200" s="20" t="str">
        <x:v>S07</x:v>
      </x:c>
      <x:c r="F1200" s="20"/>
      <x:c r="G1200" s="20"/>
      <x:c r="H1200" s="20" t="str">
        <x:v>待判定</x:v>
      </x:c>
      <x:c r="I1200" s="20"/>
      <x:c r="J1200" s="20" t="str">
        <x:v>未测试</x:v>
      </x:c>
      <x:c r="K1200" s="20"/>
      <x:c r="L1200" s="20"/>
      <x:c r="M1200" s="20"/>
      <x:c r="N1200" s="20"/>
      <x:c r="O1200" s="31"/>
      <x:c r="P1200" s="20"/>
      <x:c r="Q1200" s="20"/>
      <x:c r="R1200" s="20" t="str">
        <x:v>待展开</x:v>
      </x:c>
      <x:c r="S1200" s="20"/>
      <x:c r="T1200" s="31"/>
      <x:c r="U1200" s="30" t="str">
        <x:f>IF(A1200="","缺记录编号",IF(COUNTIFS(PathRecords[记录编号],A1200)&lt;&gt;1,"记录编号重复",IF(OR(B1200="",E1200=""),"缺组合/功能",IF(COUNTIFS(Equipment[组合编号],B1200)&lt;&gt;1,"组合编号无效",IF(COUNTIFS(FunctionMatrix[编号],E1200)=0,"功能编号无效",IF(H1200="不适用",IF(J1200="已实测","适用性冲突",IF(I1200="","待补不适用依据","不适用（非实测）")),IF(J1200="阻塞",IF(I1200="","待补阻塞原因","阻塞（非实测）"),IF(J1200&lt;&gt;"已实测",IF(F1200="","待展开路径","未实测"),IF(H1200&lt;&gt;"适用","待确认适用性",IF(INDEX(Equipment[登记状态（自动）],MATCH(B1200,Equipment[组合编号],0))&lt;&gt;"已登记","待补设备组合",IF(AND(F1200&lt;&gt;"",G1200&lt;&gt;"",K1200&lt;&gt;"",L1200&lt;&gt;"",M1200&lt;&gt;"",N1200&lt;&gt;"",ISNUMBER(O1200),O1200&gt;0,P1200&lt;&gt;""),"记录齐全","待补实测记录")))))))))))</x:f>
        <x:v>待展开路径</x:v>
      </x:c>
    </x:row>
    <x:row r="1201" ht="43.5" customHeight="1">
      <x:c r="A1201" s="20" t="str">
        <x:v>REC-01192</x:v>
      </x:c>
      <x:c r="B1201" s="20" t="str">
        <x:v>P3-B2-01</x:v>
      </x:c>
      <x:c r="C1201" s="30" t="str">
        <x:f>IF(B1201="","",IF(COUNTIFS(Equipment[组合编号],B1201)&lt;&gt;1,"组合编号无效",INDEX(Equipment[PLC组],MATCH(B1201,Equipment[组合编号],0))))</x:f>
        <x:v>欧姆龙</x:v>
      </x:c>
      <x:c r="D1201" s="30" t="str">
        <x:f>IF(B1201="","",IF(COUNTIFS(Equipment[组合编号],B1201)&lt;&gt;1,"组合编号无效",INDEX(Equipment[驱动品牌],MATCH(B1201,Equipment[组合编号],0))))</x:f>
        <x:v>台达</x:v>
      </x:c>
      <x:c r="E1201" s="20" t="str">
        <x:v>S08</x:v>
      </x:c>
      <x:c r="F1201" s="20"/>
      <x:c r="G1201" s="20"/>
      <x:c r="H1201" s="20" t="str">
        <x:v>待判定</x:v>
      </x:c>
      <x:c r="I1201" s="20"/>
      <x:c r="J1201" s="20" t="str">
        <x:v>未测试</x:v>
      </x:c>
      <x:c r="K1201" s="20"/>
      <x:c r="L1201" s="20"/>
      <x:c r="M1201" s="20"/>
      <x:c r="N1201" s="20"/>
      <x:c r="O1201" s="31"/>
      <x:c r="P1201" s="20"/>
      <x:c r="Q1201" s="20"/>
      <x:c r="R1201" s="20" t="str">
        <x:v>待展开</x:v>
      </x:c>
      <x:c r="S1201" s="20"/>
      <x:c r="T1201" s="31"/>
      <x:c r="U1201" s="30" t="str">
        <x:f>IF(A1201="","缺记录编号",IF(COUNTIFS(PathRecords[记录编号],A1201)&lt;&gt;1,"记录编号重复",IF(OR(B1201="",E1201=""),"缺组合/功能",IF(COUNTIFS(Equipment[组合编号],B1201)&lt;&gt;1,"组合编号无效",IF(COUNTIFS(FunctionMatrix[编号],E1201)=0,"功能编号无效",IF(H1201="不适用",IF(J1201="已实测","适用性冲突",IF(I1201="","待补不适用依据","不适用（非实测）")),IF(J1201="阻塞",IF(I1201="","待补阻塞原因","阻塞（非实测）"),IF(J1201&lt;&gt;"已实测",IF(F1201="","待展开路径","未实测"),IF(H1201&lt;&gt;"适用","待确认适用性",IF(INDEX(Equipment[登记状态（自动）],MATCH(B1201,Equipment[组合编号],0))&lt;&gt;"已登记","待补设备组合",IF(AND(F1201&lt;&gt;"",G1201&lt;&gt;"",K1201&lt;&gt;"",L1201&lt;&gt;"",M1201&lt;&gt;"",N1201&lt;&gt;"",ISNUMBER(O1201),O1201&gt;0,P1201&lt;&gt;""),"记录齐全","待补实测记录")))))))))))</x:f>
        <x:v>待展开路径</x:v>
      </x:c>
    </x:row>
    <x:row r="1202" ht="43.5" customHeight="1">
      <x:c r="A1202" s="20" t="str">
        <x:v>REC-01193</x:v>
      </x:c>
      <x:c r="B1202" s="20" t="str">
        <x:v>P3-B2-01</x:v>
      </x:c>
      <x:c r="C1202" s="30" t="str">
        <x:f>IF(B1202="","",IF(COUNTIFS(Equipment[组合编号],B1202)&lt;&gt;1,"组合编号无效",INDEX(Equipment[PLC组],MATCH(B1202,Equipment[组合编号],0))))</x:f>
        <x:v>欧姆龙</x:v>
      </x:c>
      <x:c r="D1202" s="30" t="str">
        <x:f>IF(B1202="","",IF(COUNTIFS(Equipment[组合编号],B1202)&lt;&gt;1,"组合编号无效",INDEX(Equipment[驱动品牌],MATCH(B1202,Equipment[组合编号],0))))</x:f>
        <x:v>台达</x:v>
      </x:c>
      <x:c r="E1202" s="20" t="str">
        <x:v>S09</x:v>
      </x:c>
      <x:c r="F1202" s="20"/>
      <x:c r="G1202" s="20"/>
      <x:c r="H1202" s="20" t="str">
        <x:v>待判定</x:v>
      </x:c>
      <x:c r="I1202" s="20"/>
      <x:c r="J1202" s="20" t="str">
        <x:v>未测试</x:v>
      </x:c>
      <x:c r="K1202" s="20"/>
      <x:c r="L1202" s="20"/>
      <x:c r="M1202" s="20"/>
      <x:c r="N1202" s="20"/>
      <x:c r="O1202" s="31"/>
      <x:c r="P1202" s="20"/>
      <x:c r="Q1202" s="20"/>
      <x:c r="R1202" s="20" t="str">
        <x:v>待展开</x:v>
      </x:c>
      <x:c r="S1202" s="20"/>
      <x:c r="T1202" s="31"/>
      <x:c r="U1202" s="30" t="str">
        <x:f>IF(A1202="","缺记录编号",IF(COUNTIFS(PathRecords[记录编号],A1202)&lt;&gt;1,"记录编号重复",IF(OR(B1202="",E1202=""),"缺组合/功能",IF(COUNTIFS(Equipment[组合编号],B1202)&lt;&gt;1,"组合编号无效",IF(COUNTIFS(FunctionMatrix[编号],E1202)=0,"功能编号无效",IF(H1202="不适用",IF(J1202="已实测","适用性冲突",IF(I1202="","待补不适用依据","不适用（非实测）")),IF(J1202="阻塞",IF(I1202="","待补阻塞原因","阻塞（非实测）"),IF(J1202&lt;&gt;"已实测",IF(F1202="","待展开路径","未实测"),IF(H1202&lt;&gt;"适用","待确认适用性",IF(INDEX(Equipment[登记状态（自动）],MATCH(B1202,Equipment[组合编号],0))&lt;&gt;"已登记","待补设备组合",IF(AND(F1202&lt;&gt;"",G1202&lt;&gt;"",K1202&lt;&gt;"",L1202&lt;&gt;"",M1202&lt;&gt;"",N1202&lt;&gt;"",ISNUMBER(O1202),O1202&gt;0,P1202&lt;&gt;""),"记录齐全","待补实测记录")))))))))))</x:f>
        <x:v>待展开路径</x:v>
      </x:c>
    </x:row>
    <x:row r="1203" ht="43.5" customHeight="1">
      <x:c r="A1203" s="20" t="str">
        <x:v>REC-01194</x:v>
      </x:c>
      <x:c r="B1203" s="20" t="str">
        <x:v>P3-B2-01</x:v>
      </x:c>
      <x:c r="C1203" s="30" t="str">
        <x:f>IF(B1203="","",IF(COUNTIFS(Equipment[组合编号],B1203)&lt;&gt;1,"组合编号无效",INDEX(Equipment[PLC组],MATCH(B1203,Equipment[组合编号],0))))</x:f>
        <x:v>欧姆龙</x:v>
      </x:c>
      <x:c r="D1203" s="30" t="str">
        <x:f>IF(B1203="","",IF(COUNTIFS(Equipment[组合编号],B1203)&lt;&gt;1,"组合编号无效",INDEX(Equipment[驱动品牌],MATCH(B1203,Equipment[组合编号],0))))</x:f>
        <x:v>台达</x:v>
      </x:c>
      <x:c r="E1203" s="20" t="str">
        <x:v>U01</x:v>
      </x:c>
      <x:c r="F1203" s="20"/>
      <x:c r="G1203" s="20"/>
      <x:c r="H1203" s="20" t="str">
        <x:v>待判定</x:v>
      </x:c>
      <x:c r="I1203" s="20"/>
      <x:c r="J1203" s="20" t="str">
        <x:v>未测试</x:v>
      </x:c>
      <x:c r="K1203" s="20"/>
      <x:c r="L1203" s="20"/>
      <x:c r="M1203" s="20"/>
      <x:c r="N1203" s="20"/>
      <x:c r="O1203" s="31"/>
      <x:c r="P1203" s="20"/>
      <x:c r="Q1203" s="20"/>
      <x:c r="R1203" s="20" t="str">
        <x:v>待展开</x:v>
      </x:c>
      <x:c r="S1203" s="20"/>
      <x:c r="T1203" s="31"/>
      <x:c r="U1203" s="30" t="str">
        <x:f>IF(A1203="","缺记录编号",IF(COUNTIFS(PathRecords[记录编号],A1203)&lt;&gt;1,"记录编号重复",IF(OR(B1203="",E1203=""),"缺组合/功能",IF(COUNTIFS(Equipment[组合编号],B1203)&lt;&gt;1,"组合编号无效",IF(COUNTIFS(FunctionMatrix[编号],E1203)=0,"功能编号无效",IF(H1203="不适用",IF(J1203="已实测","适用性冲突",IF(I1203="","待补不适用依据","不适用（非实测）")),IF(J1203="阻塞",IF(I1203="","待补阻塞原因","阻塞（非实测）"),IF(J1203&lt;&gt;"已实测",IF(F1203="","待展开路径","未实测"),IF(H1203&lt;&gt;"适用","待确认适用性",IF(INDEX(Equipment[登记状态（自动）],MATCH(B1203,Equipment[组合编号],0))&lt;&gt;"已登记","待补设备组合",IF(AND(F1203&lt;&gt;"",G1203&lt;&gt;"",K1203&lt;&gt;"",L1203&lt;&gt;"",M1203&lt;&gt;"",N1203&lt;&gt;"",ISNUMBER(O1203),O1203&gt;0,P1203&lt;&gt;""),"记录齐全","待补实测记录")))))))))))</x:f>
        <x:v>待展开路径</x:v>
      </x:c>
    </x:row>
    <x:row r="1204" ht="43.5" customHeight="1">
      <x:c r="A1204" s="20" t="str">
        <x:v>REC-01195</x:v>
      </x:c>
      <x:c r="B1204" s="20" t="str">
        <x:v>P3-B2-01</x:v>
      </x:c>
      <x:c r="C1204" s="30" t="str">
        <x:f>IF(B1204="","",IF(COUNTIFS(Equipment[组合编号],B1204)&lt;&gt;1,"组合编号无效",INDEX(Equipment[PLC组],MATCH(B1204,Equipment[组合编号],0))))</x:f>
        <x:v>欧姆龙</x:v>
      </x:c>
      <x:c r="D1204" s="30" t="str">
        <x:f>IF(B1204="","",IF(COUNTIFS(Equipment[组合编号],B1204)&lt;&gt;1,"组合编号无效",INDEX(Equipment[驱动品牌],MATCH(B1204,Equipment[组合编号],0))))</x:f>
        <x:v>台达</x:v>
      </x:c>
      <x:c r="E1204" s="20" t="str">
        <x:v>U02</x:v>
      </x:c>
      <x:c r="F1204" s="20"/>
      <x:c r="G1204" s="20"/>
      <x:c r="H1204" s="20" t="str">
        <x:v>待判定</x:v>
      </x:c>
      <x:c r="I1204" s="20"/>
      <x:c r="J1204" s="20" t="str">
        <x:v>未测试</x:v>
      </x:c>
      <x:c r="K1204" s="20"/>
      <x:c r="L1204" s="20"/>
      <x:c r="M1204" s="20"/>
      <x:c r="N1204" s="20"/>
      <x:c r="O1204" s="31"/>
      <x:c r="P1204" s="20"/>
      <x:c r="Q1204" s="20"/>
      <x:c r="R1204" s="20" t="str">
        <x:v>待展开</x:v>
      </x:c>
      <x:c r="S1204" s="20"/>
      <x:c r="T1204" s="31"/>
      <x:c r="U1204" s="30" t="str">
        <x:f>IF(A1204="","缺记录编号",IF(COUNTIFS(PathRecords[记录编号],A1204)&lt;&gt;1,"记录编号重复",IF(OR(B1204="",E1204=""),"缺组合/功能",IF(COUNTIFS(Equipment[组合编号],B1204)&lt;&gt;1,"组合编号无效",IF(COUNTIFS(FunctionMatrix[编号],E1204)=0,"功能编号无效",IF(H1204="不适用",IF(J1204="已实测","适用性冲突",IF(I1204="","待补不适用依据","不适用（非实测）")),IF(J1204="阻塞",IF(I1204="","待补阻塞原因","阻塞（非实测）"),IF(J1204&lt;&gt;"已实测",IF(F1204="","待展开路径","未实测"),IF(H1204&lt;&gt;"适用","待确认适用性",IF(INDEX(Equipment[登记状态（自动）],MATCH(B1204,Equipment[组合编号],0))&lt;&gt;"已登记","待补设备组合",IF(AND(F1204&lt;&gt;"",G1204&lt;&gt;"",K1204&lt;&gt;"",L1204&lt;&gt;"",M1204&lt;&gt;"",N1204&lt;&gt;"",ISNUMBER(O1204),O1204&gt;0,P1204&lt;&gt;""),"记录齐全","待补实测记录")))))))))))</x:f>
        <x:v>待展开路径</x:v>
      </x:c>
    </x:row>
    <x:row r="1205" ht="43.5" customHeight="1">
      <x:c r="A1205" s="20" t="str">
        <x:v>REC-01196</x:v>
      </x:c>
      <x:c r="B1205" s="20" t="str">
        <x:v>P3-B2-01</x:v>
      </x:c>
      <x:c r="C1205" s="30" t="str">
        <x:f>IF(B1205="","",IF(COUNTIFS(Equipment[组合编号],B1205)&lt;&gt;1,"组合编号无效",INDEX(Equipment[PLC组],MATCH(B1205,Equipment[组合编号],0))))</x:f>
        <x:v>欧姆龙</x:v>
      </x:c>
      <x:c r="D1205" s="30" t="str">
        <x:f>IF(B1205="","",IF(COUNTIFS(Equipment[组合编号],B1205)&lt;&gt;1,"组合编号无效",INDEX(Equipment[驱动品牌],MATCH(B1205,Equipment[组合编号],0))))</x:f>
        <x:v>台达</x:v>
      </x:c>
      <x:c r="E1205" s="20" t="str">
        <x:v>U03</x:v>
      </x:c>
      <x:c r="F1205" s="20"/>
      <x:c r="G1205" s="20"/>
      <x:c r="H1205" s="20" t="str">
        <x:v>待判定</x:v>
      </x:c>
      <x:c r="I1205" s="20"/>
      <x:c r="J1205" s="20" t="str">
        <x:v>未测试</x:v>
      </x:c>
      <x:c r="K1205" s="20"/>
      <x:c r="L1205" s="20"/>
      <x:c r="M1205" s="20"/>
      <x:c r="N1205" s="20"/>
      <x:c r="O1205" s="31"/>
      <x:c r="P1205" s="20"/>
      <x:c r="Q1205" s="20"/>
      <x:c r="R1205" s="20" t="str">
        <x:v>待展开</x:v>
      </x:c>
      <x:c r="S1205" s="20"/>
      <x:c r="T1205" s="31"/>
      <x:c r="U1205" s="30" t="str">
        <x:f>IF(A1205="","缺记录编号",IF(COUNTIFS(PathRecords[记录编号],A1205)&lt;&gt;1,"记录编号重复",IF(OR(B1205="",E1205=""),"缺组合/功能",IF(COUNTIFS(Equipment[组合编号],B1205)&lt;&gt;1,"组合编号无效",IF(COUNTIFS(FunctionMatrix[编号],E1205)=0,"功能编号无效",IF(H1205="不适用",IF(J1205="已实测","适用性冲突",IF(I1205="","待补不适用依据","不适用（非实测）")),IF(J1205="阻塞",IF(I1205="","待补阻塞原因","阻塞（非实测）"),IF(J1205&lt;&gt;"已实测",IF(F1205="","待展开路径","未实测"),IF(H1205&lt;&gt;"适用","待确认适用性",IF(INDEX(Equipment[登记状态（自动）],MATCH(B1205,Equipment[组合编号],0))&lt;&gt;"已登记","待补设备组合",IF(AND(F1205&lt;&gt;"",G1205&lt;&gt;"",K1205&lt;&gt;"",L1205&lt;&gt;"",M1205&lt;&gt;"",N1205&lt;&gt;"",ISNUMBER(O1205),O1205&gt;0,P1205&lt;&gt;""),"记录齐全","待补实测记录")))))))))))</x:f>
        <x:v>待展开路径</x:v>
      </x:c>
    </x:row>
    <x:row r="1206" ht="43.5" customHeight="1">
      <x:c r="A1206" s="20" t="str">
        <x:v>REC-01197</x:v>
      </x:c>
      <x:c r="B1206" s="20" t="str">
        <x:v>P3-B2-01</x:v>
      </x:c>
      <x:c r="C1206" s="30" t="str">
        <x:f>IF(B1206="","",IF(COUNTIFS(Equipment[组合编号],B1206)&lt;&gt;1,"组合编号无效",INDEX(Equipment[PLC组],MATCH(B1206,Equipment[组合编号],0))))</x:f>
        <x:v>欧姆龙</x:v>
      </x:c>
      <x:c r="D1206" s="30" t="str">
        <x:f>IF(B1206="","",IF(COUNTIFS(Equipment[组合编号],B1206)&lt;&gt;1,"组合编号无效",INDEX(Equipment[驱动品牌],MATCH(B1206,Equipment[组合编号],0))))</x:f>
        <x:v>台达</x:v>
      </x:c>
      <x:c r="E1206" s="20" t="str">
        <x:v>U04</x:v>
      </x:c>
      <x:c r="F1206" s="20"/>
      <x:c r="G1206" s="20"/>
      <x:c r="H1206" s="20" t="str">
        <x:v>待判定</x:v>
      </x:c>
      <x:c r="I1206" s="20"/>
      <x:c r="J1206" s="20" t="str">
        <x:v>未测试</x:v>
      </x:c>
      <x:c r="K1206" s="20"/>
      <x:c r="L1206" s="20"/>
      <x:c r="M1206" s="20"/>
      <x:c r="N1206" s="20"/>
      <x:c r="O1206" s="31"/>
      <x:c r="P1206" s="20"/>
      <x:c r="Q1206" s="20"/>
      <x:c r="R1206" s="20" t="str">
        <x:v>待展开</x:v>
      </x:c>
      <x:c r="S1206" s="20"/>
      <x:c r="T1206" s="31"/>
      <x:c r="U1206" s="30" t="str">
        <x:f>IF(A1206="","缺记录编号",IF(COUNTIFS(PathRecords[记录编号],A1206)&lt;&gt;1,"记录编号重复",IF(OR(B1206="",E1206=""),"缺组合/功能",IF(COUNTIFS(Equipment[组合编号],B1206)&lt;&gt;1,"组合编号无效",IF(COUNTIFS(FunctionMatrix[编号],E1206)=0,"功能编号无效",IF(H1206="不适用",IF(J1206="已实测","适用性冲突",IF(I1206="","待补不适用依据","不适用（非实测）")),IF(J1206="阻塞",IF(I1206="","待补阻塞原因","阻塞（非实测）"),IF(J1206&lt;&gt;"已实测",IF(F1206="","待展开路径","未实测"),IF(H1206&lt;&gt;"适用","待确认适用性",IF(INDEX(Equipment[登记状态（自动）],MATCH(B1206,Equipment[组合编号],0))&lt;&gt;"已登记","待补设备组合",IF(AND(F1206&lt;&gt;"",G1206&lt;&gt;"",K1206&lt;&gt;"",L1206&lt;&gt;"",M1206&lt;&gt;"",N1206&lt;&gt;"",ISNUMBER(O1206),O1206&gt;0,P1206&lt;&gt;""),"记录齐全","待补实测记录")))))))))))</x:f>
        <x:v>待展开路径</x:v>
      </x:c>
    </x:row>
    <x:row r="1207" ht="43.5" customHeight="1">
      <x:c r="A1207" s="20" t="str">
        <x:v>REC-01198</x:v>
      </x:c>
      <x:c r="B1207" s="20" t="str">
        <x:v>P3-B2-01</x:v>
      </x:c>
      <x:c r="C1207" s="30" t="str">
        <x:f>IF(B1207="","",IF(COUNTIFS(Equipment[组合编号],B1207)&lt;&gt;1,"组合编号无效",INDEX(Equipment[PLC组],MATCH(B1207,Equipment[组合编号],0))))</x:f>
        <x:v>欧姆龙</x:v>
      </x:c>
      <x:c r="D1207" s="30" t="str">
        <x:f>IF(B1207="","",IF(COUNTIFS(Equipment[组合编号],B1207)&lt;&gt;1,"组合编号无效",INDEX(Equipment[驱动品牌],MATCH(B1207,Equipment[组合编号],0))))</x:f>
        <x:v>台达</x:v>
      </x:c>
      <x:c r="E1207" s="20" t="str">
        <x:v>U05</x:v>
      </x:c>
      <x:c r="F1207" s="20"/>
      <x:c r="G1207" s="20"/>
      <x:c r="H1207" s="20" t="str">
        <x:v>待判定</x:v>
      </x:c>
      <x:c r="I1207" s="20"/>
      <x:c r="J1207" s="20" t="str">
        <x:v>未测试</x:v>
      </x:c>
      <x:c r="K1207" s="20"/>
      <x:c r="L1207" s="20"/>
      <x:c r="M1207" s="20"/>
      <x:c r="N1207" s="20"/>
      <x:c r="O1207" s="31"/>
      <x:c r="P1207" s="20"/>
      <x:c r="Q1207" s="20"/>
      <x:c r="R1207" s="20" t="str">
        <x:v>待展开</x:v>
      </x:c>
      <x:c r="S1207" s="20"/>
      <x:c r="T1207" s="31"/>
      <x:c r="U1207" s="30" t="str">
        <x:f>IF(A1207="","缺记录编号",IF(COUNTIFS(PathRecords[记录编号],A1207)&lt;&gt;1,"记录编号重复",IF(OR(B1207="",E1207=""),"缺组合/功能",IF(COUNTIFS(Equipment[组合编号],B1207)&lt;&gt;1,"组合编号无效",IF(COUNTIFS(FunctionMatrix[编号],E1207)=0,"功能编号无效",IF(H1207="不适用",IF(J1207="已实测","适用性冲突",IF(I1207="","待补不适用依据","不适用（非实测）")),IF(J1207="阻塞",IF(I1207="","待补阻塞原因","阻塞（非实测）"),IF(J1207&lt;&gt;"已实测",IF(F1207="","待展开路径","未实测"),IF(H1207&lt;&gt;"适用","待确认适用性",IF(INDEX(Equipment[登记状态（自动）],MATCH(B1207,Equipment[组合编号],0))&lt;&gt;"已登记","待补设备组合",IF(AND(F1207&lt;&gt;"",G1207&lt;&gt;"",K1207&lt;&gt;"",L1207&lt;&gt;"",M1207&lt;&gt;"",N1207&lt;&gt;"",ISNUMBER(O1207),O1207&gt;0,P1207&lt;&gt;""),"记录齐全","待补实测记录")))))))))))</x:f>
        <x:v>待展开路径</x:v>
      </x:c>
    </x:row>
    <x:row r="1208" ht="43.5" customHeight="1">
      <x:c r="A1208" s="20" t="str">
        <x:v>REC-01199</x:v>
      </x:c>
      <x:c r="B1208" s="20" t="str">
        <x:v>P3-B2-01</x:v>
      </x:c>
      <x:c r="C1208" s="30" t="str">
        <x:f>IF(B1208="","",IF(COUNTIFS(Equipment[组合编号],B1208)&lt;&gt;1,"组合编号无效",INDEX(Equipment[PLC组],MATCH(B1208,Equipment[组合编号],0))))</x:f>
        <x:v>欧姆龙</x:v>
      </x:c>
      <x:c r="D1208" s="30" t="str">
        <x:f>IF(B1208="","",IF(COUNTIFS(Equipment[组合编号],B1208)&lt;&gt;1,"组合编号无效",INDEX(Equipment[驱动品牌],MATCH(B1208,Equipment[组合编号],0))))</x:f>
        <x:v>台达</x:v>
      </x:c>
      <x:c r="E1208" s="20" t="str">
        <x:v>U06</x:v>
      </x:c>
      <x:c r="F1208" s="20"/>
      <x:c r="G1208" s="20"/>
      <x:c r="H1208" s="20" t="str">
        <x:v>待判定</x:v>
      </x:c>
      <x:c r="I1208" s="20"/>
      <x:c r="J1208" s="20" t="str">
        <x:v>未测试</x:v>
      </x:c>
      <x:c r="K1208" s="20"/>
      <x:c r="L1208" s="20"/>
      <x:c r="M1208" s="20"/>
      <x:c r="N1208" s="20"/>
      <x:c r="O1208" s="31"/>
      <x:c r="P1208" s="20"/>
      <x:c r="Q1208" s="20"/>
      <x:c r="R1208" s="20" t="str">
        <x:v>待展开</x:v>
      </x:c>
      <x:c r="S1208" s="20"/>
      <x:c r="T1208" s="31"/>
      <x:c r="U1208" s="30" t="str">
        <x:f>IF(A1208="","缺记录编号",IF(COUNTIFS(PathRecords[记录编号],A1208)&lt;&gt;1,"记录编号重复",IF(OR(B1208="",E1208=""),"缺组合/功能",IF(COUNTIFS(Equipment[组合编号],B1208)&lt;&gt;1,"组合编号无效",IF(COUNTIFS(FunctionMatrix[编号],E1208)=0,"功能编号无效",IF(H1208="不适用",IF(J1208="已实测","适用性冲突",IF(I1208="","待补不适用依据","不适用（非实测）")),IF(J1208="阻塞",IF(I1208="","待补阻塞原因","阻塞（非实测）"),IF(J1208&lt;&gt;"已实测",IF(F1208="","待展开路径","未实测"),IF(H1208&lt;&gt;"适用","待确认适用性",IF(INDEX(Equipment[登记状态（自动）],MATCH(B1208,Equipment[组合编号],0))&lt;&gt;"已登记","待补设备组合",IF(AND(F1208&lt;&gt;"",G1208&lt;&gt;"",K1208&lt;&gt;"",L1208&lt;&gt;"",M1208&lt;&gt;"",N1208&lt;&gt;"",ISNUMBER(O1208),O1208&gt;0,P1208&lt;&gt;""),"记录齐全","待补实测记录")))))))))))</x:f>
        <x:v>待展开路径</x:v>
      </x:c>
    </x:row>
    <x:row r="1209" ht="43.5" customHeight="1">
      <x:c r="A1209" s="20" t="str">
        <x:v>REC-01200</x:v>
      </x:c>
      <x:c r="B1209" s="20" t="str">
        <x:v>P3-B2-01</x:v>
      </x:c>
      <x:c r="C1209" s="30" t="str">
        <x:f>IF(B1209="","",IF(COUNTIFS(Equipment[组合编号],B1209)&lt;&gt;1,"组合编号无效",INDEX(Equipment[PLC组],MATCH(B1209,Equipment[组合编号],0))))</x:f>
        <x:v>欧姆龙</x:v>
      </x:c>
      <x:c r="D1209" s="30" t="str">
        <x:f>IF(B1209="","",IF(COUNTIFS(Equipment[组合编号],B1209)&lt;&gt;1,"组合编号无效",INDEX(Equipment[驱动品牌],MATCH(B1209,Equipment[组合编号],0))))</x:f>
        <x:v>台达</x:v>
      </x:c>
      <x:c r="E1209" s="20" t="str">
        <x:v>U07</x:v>
      </x:c>
      <x:c r="F1209" s="20"/>
      <x:c r="G1209" s="20"/>
      <x:c r="H1209" s="20" t="str">
        <x:v>待判定</x:v>
      </x:c>
      <x:c r="I1209" s="20"/>
      <x:c r="J1209" s="20" t="str">
        <x:v>未测试</x:v>
      </x:c>
      <x:c r="K1209" s="20"/>
      <x:c r="L1209" s="20"/>
      <x:c r="M1209" s="20"/>
      <x:c r="N1209" s="20"/>
      <x:c r="O1209" s="31"/>
      <x:c r="P1209" s="20"/>
      <x:c r="Q1209" s="20"/>
      <x:c r="R1209" s="20" t="str">
        <x:v>待展开</x:v>
      </x:c>
      <x:c r="S1209" s="20"/>
      <x:c r="T1209" s="31"/>
      <x:c r="U1209" s="30" t="str">
        <x:f>IF(A1209="","缺记录编号",IF(COUNTIFS(PathRecords[记录编号],A1209)&lt;&gt;1,"记录编号重复",IF(OR(B1209="",E1209=""),"缺组合/功能",IF(COUNTIFS(Equipment[组合编号],B1209)&lt;&gt;1,"组合编号无效",IF(COUNTIFS(FunctionMatrix[编号],E1209)=0,"功能编号无效",IF(H1209="不适用",IF(J1209="已实测","适用性冲突",IF(I1209="","待补不适用依据","不适用（非实测）")),IF(J1209="阻塞",IF(I1209="","待补阻塞原因","阻塞（非实测）"),IF(J1209&lt;&gt;"已实测",IF(F1209="","待展开路径","未实测"),IF(H1209&lt;&gt;"适用","待确认适用性",IF(INDEX(Equipment[登记状态（自动）],MATCH(B1209,Equipment[组合编号],0))&lt;&gt;"已登记","待补设备组合",IF(AND(F1209&lt;&gt;"",G1209&lt;&gt;"",K1209&lt;&gt;"",L1209&lt;&gt;"",M1209&lt;&gt;"",N1209&lt;&gt;"",ISNUMBER(O1209),O1209&gt;0,P1209&lt;&gt;""),"记录齐全","待补实测记录")))))))))))</x:f>
        <x:v>待展开路径</x:v>
      </x:c>
    </x:row>
    <x:row r="1210" ht="43.5" customHeight="1">
      <x:c r="A1210" s="20" t="str">
        <x:v>REC-01201</x:v>
      </x:c>
      <x:c r="B1210" s="20" t="str">
        <x:v>P3-B2-01</x:v>
      </x:c>
      <x:c r="C1210" s="30" t="str">
        <x:f>IF(B1210="","",IF(COUNTIFS(Equipment[组合编号],B1210)&lt;&gt;1,"组合编号无效",INDEX(Equipment[PLC组],MATCH(B1210,Equipment[组合编号],0))))</x:f>
        <x:v>欧姆龙</x:v>
      </x:c>
      <x:c r="D1210" s="30" t="str">
        <x:f>IF(B1210="","",IF(COUNTIFS(Equipment[组合编号],B1210)&lt;&gt;1,"组合编号无效",INDEX(Equipment[驱动品牌],MATCH(B1210,Equipment[组合编号],0))))</x:f>
        <x:v>台达</x:v>
      </x:c>
      <x:c r="E1210" s="20" t="str">
        <x:v>U08</x:v>
      </x:c>
      <x:c r="F1210" s="20"/>
      <x:c r="G1210" s="20"/>
      <x:c r="H1210" s="20" t="str">
        <x:v>待判定</x:v>
      </x:c>
      <x:c r="I1210" s="20"/>
      <x:c r="J1210" s="20" t="str">
        <x:v>未测试</x:v>
      </x:c>
      <x:c r="K1210" s="20"/>
      <x:c r="L1210" s="20"/>
      <x:c r="M1210" s="20"/>
      <x:c r="N1210" s="20"/>
      <x:c r="O1210" s="31"/>
      <x:c r="P1210" s="20"/>
      <x:c r="Q1210" s="20"/>
      <x:c r="R1210" s="20" t="str">
        <x:v>待展开</x:v>
      </x:c>
      <x:c r="S1210" s="20"/>
      <x:c r="T1210" s="31"/>
      <x:c r="U1210" s="30" t="str">
        <x:f>IF(A1210="","缺记录编号",IF(COUNTIFS(PathRecords[记录编号],A1210)&lt;&gt;1,"记录编号重复",IF(OR(B1210="",E1210=""),"缺组合/功能",IF(COUNTIFS(Equipment[组合编号],B1210)&lt;&gt;1,"组合编号无效",IF(COUNTIFS(FunctionMatrix[编号],E1210)=0,"功能编号无效",IF(H1210="不适用",IF(J1210="已实测","适用性冲突",IF(I1210="","待补不适用依据","不适用（非实测）")),IF(J1210="阻塞",IF(I1210="","待补阻塞原因","阻塞（非实测）"),IF(J1210&lt;&gt;"已实测",IF(F1210="","待展开路径","未实测"),IF(H1210&lt;&gt;"适用","待确认适用性",IF(INDEX(Equipment[登记状态（自动）],MATCH(B1210,Equipment[组合编号],0))&lt;&gt;"已登记","待补设备组合",IF(AND(F1210&lt;&gt;"",G1210&lt;&gt;"",K1210&lt;&gt;"",L1210&lt;&gt;"",M1210&lt;&gt;"",N1210&lt;&gt;"",ISNUMBER(O1210),O1210&gt;0,P1210&lt;&gt;""),"记录齐全","待补实测记录")))))))))))</x:f>
        <x:v>待展开路径</x:v>
      </x:c>
    </x:row>
    <x:row r="1211" ht="43.5" customHeight="1">
      <x:c r="A1211" s="20" t="str">
        <x:v>REC-01202</x:v>
      </x:c>
      <x:c r="B1211" s="20" t="str">
        <x:v>P3-B2-01</x:v>
      </x:c>
      <x:c r="C1211" s="30" t="str">
        <x:f>IF(B1211="","",IF(COUNTIFS(Equipment[组合编号],B1211)&lt;&gt;1,"组合编号无效",INDEX(Equipment[PLC组],MATCH(B1211,Equipment[组合编号],0))))</x:f>
        <x:v>欧姆龙</x:v>
      </x:c>
      <x:c r="D1211" s="30" t="str">
        <x:f>IF(B1211="","",IF(COUNTIFS(Equipment[组合编号],B1211)&lt;&gt;1,"组合编号无效",INDEX(Equipment[驱动品牌],MATCH(B1211,Equipment[组合编号],0))))</x:f>
        <x:v>台达</x:v>
      </x:c>
      <x:c r="E1211" s="20" t="str">
        <x:v>U09</x:v>
      </x:c>
      <x:c r="F1211" s="20"/>
      <x:c r="G1211" s="20"/>
      <x:c r="H1211" s="20" t="str">
        <x:v>待判定</x:v>
      </x:c>
      <x:c r="I1211" s="20"/>
      <x:c r="J1211" s="20" t="str">
        <x:v>未测试</x:v>
      </x:c>
      <x:c r="K1211" s="20"/>
      <x:c r="L1211" s="20"/>
      <x:c r="M1211" s="20"/>
      <x:c r="N1211" s="20"/>
      <x:c r="O1211" s="31"/>
      <x:c r="P1211" s="20"/>
      <x:c r="Q1211" s="20"/>
      <x:c r="R1211" s="20" t="str">
        <x:v>待展开</x:v>
      </x:c>
      <x:c r="S1211" s="20"/>
      <x:c r="T1211" s="31"/>
      <x:c r="U1211" s="30" t="str">
        <x:f>IF(A1211="","缺记录编号",IF(COUNTIFS(PathRecords[记录编号],A1211)&lt;&gt;1,"记录编号重复",IF(OR(B1211="",E1211=""),"缺组合/功能",IF(COUNTIFS(Equipment[组合编号],B1211)&lt;&gt;1,"组合编号无效",IF(COUNTIFS(FunctionMatrix[编号],E1211)=0,"功能编号无效",IF(H1211="不适用",IF(J1211="已实测","适用性冲突",IF(I1211="","待补不适用依据","不适用（非实测）")),IF(J1211="阻塞",IF(I1211="","待补阻塞原因","阻塞（非实测）"),IF(J1211&lt;&gt;"已实测",IF(F1211="","待展开路径","未实测"),IF(H1211&lt;&gt;"适用","待确认适用性",IF(INDEX(Equipment[登记状态（自动）],MATCH(B1211,Equipment[组合编号],0))&lt;&gt;"已登记","待补设备组合",IF(AND(F1211&lt;&gt;"",G1211&lt;&gt;"",K1211&lt;&gt;"",L1211&lt;&gt;"",M1211&lt;&gt;"",N1211&lt;&gt;"",ISNUMBER(O1211),O1211&gt;0,P1211&lt;&gt;""),"记录齐全","待补实测记录")))))))))))</x:f>
        <x:v>待展开路径</x:v>
      </x:c>
    </x:row>
    <x:row r="1212" ht="43.5" customHeight="1">
      <x:c r="A1212" s="20" t="str">
        <x:v>REC-01203</x:v>
      </x:c>
      <x:c r="B1212" s="20" t="str">
        <x:v>P3-B2-01</x:v>
      </x:c>
      <x:c r="C1212" s="30" t="str">
        <x:f>IF(B1212="","",IF(COUNTIFS(Equipment[组合编号],B1212)&lt;&gt;1,"组合编号无效",INDEX(Equipment[PLC组],MATCH(B1212,Equipment[组合编号],0))))</x:f>
        <x:v>欧姆龙</x:v>
      </x:c>
      <x:c r="D1212" s="30" t="str">
        <x:f>IF(B1212="","",IF(COUNTIFS(Equipment[组合编号],B1212)&lt;&gt;1,"组合编号无效",INDEX(Equipment[驱动品牌],MATCH(B1212,Equipment[组合编号],0))))</x:f>
        <x:v>台达</x:v>
      </x:c>
      <x:c r="E1212" s="20" t="str">
        <x:v>U10</x:v>
      </x:c>
      <x:c r="F1212" s="20"/>
      <x:c r="G1212" s="20"/>
      <x:c r="H1212" s="20" t="str">
        <x:v>待判定</x:v>
      </x:c>
      <x:c r="I1212" s="20"/>
      <x:c r="J1212" s="20" t="str">
        <x:v>未测试</x:v>
      </x:c>
      <x:c r="K1212" s="20"/>
      <x:c r="L1212" s="20"/>
      <x:c r="M1212" s="20"/>
      <x:c r="N1212" s="20"/>
      <x:c r="O1212" s="31"/>
      <x:c r="P1212" s="20"/>
      <x:c r="Q1212" s="20"/>
      <x:c r="R1212" s="20" t="str">
        <x:v>待展开</x:v>
      </x:c>
      <x:c r="S1212" s="20"/>
      <x:c r="T1212" s="31"/>
      <x:c r="U1212" s="30" t="str">
        <x:f>IF(A1212="","缺记录编号",IF(COUNTIFS(PathRecords[记录编号],A1212)&lt;&gt;1,"记录编号重复",IF(OR(B1212="",E1212=""),"缺组合/功能",IF(COUNTIFS(Equipment[组合编号],B1212)&lt;&gt;1,"组合编号无效",IF(COUNTIFS(FunctionMatrix[编号],E1212)=0,"功能编号无效",IF(H1212="不适用",IF(J1212="已实测","适用性冲突",IF(I1212="","待补不适用依据","不适用（非实测）")),IF(J1212="阻塞",IF(I1212="","待补阻塞原因","阻塞（非实测）"),IF(J1212&lt;&gt;"已实测",IF(F1212="","待展开路径","未实测"),IF(H1212&lt;&gt;"适用","待确认适用性",IF(INDEX(Equipment[登记状态（自动）],MATCH(B1212,Equipment[组合编号],0))&lt;&gt;"已登记","待补设备组合",IF(AND(F1212&lt;&gt;"",G1212&lt;&gt;"",K1212&lt;&gt;"",L1212&lt;&gt;"",M1212&lt;&gt;"",N1212&lt;&gt;"",ISNUMBER(O1212),O1212&gt;0,P1212&lt;&gt;""),"记录齐全","待补实测记录")))))))))))</x:f>
        <x:v>待展开路径</x:v>
      </x:c>
    </x:row>
    <x:row r="1213" ht="43.5" customHeight="1">
      <x:c r="A1213" s="20" t="str">
        <x:v>REC-01204</x:v>
      </x:c>
      <x:c r="B1213" s="20" t="str">
        <x:v>P3-B2-01</x:v>
      </x:c>
      <x:c r="C1213" s="30" t="str">
        <x:f>IF(B1213="","",IF(COUNTIFS(Equipment[组合编号],B1213)&lt;&gt;1,"组合编号无效",INDEX(Equipment[PLC组],MATCH(B1213,Equipment[组合编号],0))))</x:f>
        <x:v>欧姆龙</x:v>
      </x:c>
      <x:c r="D1213" s="30" t="str">
        <x:f>IF(B1213="","",IF(COUNTIFS(Equipment[组合编号],B1213)&lt;&gt;1,"组合编号无效",INDEX(Equipment[驱动品牌],MATCH(B1213,Equipment[组合编号],0))))</x:f>
        <x:v>台达</x:v>
      </x:c>
      <x:c r="E1213" s="20" t="str">
        <x:v>H01</x:v>
      </x:c>
      <x:c r="F1213" s="20"/>
      <x:c r="G1213" s="20"/>
      <x:c r="H1213" s="20" t="str">
        <x:v>待判定</x:v>
      </x:c>
      <x:c r="I1213" s="20"/>
      <x:c r="J1213" s="20" t="str">
        <x:v>未测试</x:v>
      </x:c>
      <x:c r="K1213" s="20"/>
      <x:c r="L1213" s="20"/>
      <x:c r="M1213" s="20"/>
      <x:c r="N1213" s="20"/>
      <x:c r="O1213" s="31"/>
      <x:c r="P1213" s="20"/>
      <x:c r="Q1213" s="20"/>
      <x:c r="R1213" s="20" t="str">
        <x:v>待展开</x:v>
      </x:c>
      <x:c r="S1213" s="20"/>
      <x:c r="T1213" s="31"/>
      <x:c r="U1213" s="30" t="str">
        <x:f>IF(A1213="","缺记录编号",IF(COUNTIFS(PathRecords[记录编号],A1213)&lt;&gt;1,"记录编号重复",IF(OR(B1213="",E1213=""),"缺组合/功能",IF(COUNTIFS(Equipment[组合编号],B1213)&lt;&gt;1,"组合编号无效",IF(COUNTIFS(FunctionMatrix[编号],E1213)=0,"功能编号无效",IF(H1213="不适用",IF(J1213="已实测","适用性冲突",IF(I1213="","待补不适用依据","不适用（非实测）")),IF(J1213="阻塞",IF(I1213="","待补阻塞原因","阻塞（非实测）"),IF(J1213&lt;&gt;"已实测",IF(F1213="","待展开路径","未实测"),IF(H1213&lt;&gt;"适用","待确认适用性",IF(INDEX(Equipment[登记状态（自动）],MATCH(B1213,Equipment[组合编号],0))&lt;&gt;"已登记","待补设备组合",IF(AND(F1213&lt;&gt;"",G1213&lt;&gt;"",K1213&lt;&gt;"",L1213&lt;&gt;"",M1213&lt;&gt;"",N1213&lt;&gt;"",ISNUMBER(O1213),O1213&gt;0,P1213&lt;&gt;""),"记录齐全","待补实测记录")))))))))))</x:f>
        <x:v>待展开路径</x:v>
      </x:c>
    </x:row>
    <x:row r="1214" ht="43.5" customHeight="1">
      <x:c r="A1214" s="20" t="str">
        <x:v>REC-01205</x:v>
      </x:c>
      <x:c r="B1214" s="20" t="str">
        <x:v>P3-B2-01</x:v>
      </x:c>
      <x:c r="C1214" s="30" t="str">
        <x:f>IF(B1214="","",IF(COUNTIFS(Equipment[组合编号],B1214)&lt;&gt;1,"组合编号无效",INDEX(Equipment[PLC组],MATCH(B1214,Equipment[组合编号],0))))</x:f>
        <x:v>欧姆龙</x:v>
      </x:c>
      <x:c r="D1214" s="30" t="str">
        <x:f>IF(B1214="","",IF(COUNTIFS(Equipment[组合编号],B1214)&lt;&gt;1,"组合编号无效",INDEX(Equipment[驱动品牌],MATCH(B1214,Equipment[组合编号],0))))</x:f>
        <x:v>台达</x:v>
      </x:c>
      <x:c r="E1214" s="20" t="str">
        <x:v>H02</x:v>
      </x:c>
      <x:c r="F1214" s="20"/>
      <x:c r="G1214" s="20"/>
      <x:c r="H1214" s="20" t="str">
        <x:v>待判定</x:v>
      </x:c>
      <x:c r="I1214" s="20"/>
      <x:c r="J1214" s="20" t="str">
        <x:v>未测试</x:v>
      </x:c>
      <x:c r="K1214" s="20"/>
      <x:c r="L1214" s="20"/>
      <x:c r="M1214" s="20"/>
      <x:c r="N1214" s="20"/>
      <x:c r="O1214" s="31"/>
      <x:c r="P1214" s="20"/>
      <x:c r="Q1214" s="20"/>
      <x:c r="R1214" s="20" t="str">
        <x:v>待展开</x:v>
      </x:c>
      <x:c r="S1214" s="20"/>
      <x:c r="T1214" s="31"/>
      <x:c r="U1214" s="30" t="str">
        <x:f>IF(A1214="","缺记录编号",IF(COUNTIFS(PathRecords[记录编号],A1214)&lt;&gt;1,"记录编号重复",IF(OR(B1214="",E1214=""),"缺组合/功能",IF(COUNTIFS(Equipment[组合编号],B1214)&lt;&gt;1,"组合编号无效",IF(COUNTIFS(FunctionMatrix[编号],E1214)=0,"功能编号无效",IF(H1214="不适用",IF(J1214="已实测","适用性冲突",IF(I1214="","待补不适用依据","不适用（非实测）")),IF(J1214="阻塞",IF(I1214="","待补阻塞原因","阻塞（非实测）"),IF(J1214&lt;&gt;"已实测",IF(F1214="","待展开路径","未实测"),IF(H1214&lt;&gt;"适用","待确认适用性",IF(INDEX(Equipment[登记状态（自动）],MATCH(B1214,Equipment[组合编号],0))&lt;&gt;"已登记","待补设备组合",IF(AND(F1214&lt;&gt;"",G1214&lt;&gt;"",K1214&lt;&gt;"",L1214&lt;&gt;"",M1214&lt;&gt;"",N1214&lt;&gt;"",ISNUMBER(O1214),O1214&gt;0,P1214&lt;&gt;""),"记录齐全","待补实测记录")))))))))))</x:f>
        <x:v>待展开路径</x:v>
      </x:c>
    </x:row>
    <x:row r="1215" ht="43.5" customHeight="1">
      <x:c r="A1215" s="20" t="str">
        <x:v>REC-01206</x:v>
      </x:c>
      <x:c r="B1215" s="20" t="str">
        <x:v>P3-B2-01</x:v>
      </x:c>
      <x:c r="C1215" s="30" t="str">
        <x:f>IF(B1215="","",IF(COUNTIFS(Equipment[组合编号],B1215)&lt;&gt;1,"组合编号无效",INDEX(Equipment[PLC组],MATCH(B1215,Equipment[组合编号],0))))</x:f>
        <x:v>欧姆龙</x:v>
      </x:c>
      <x:c r="D1215" s="30" t="str">
        <x:f>IF(B1215="","",IF(COUNTIFS(Equipment[组合编号],B1215)&lt;&gt;1,"组合编号无效",INDEX(Equipment[驱动品牌],MATCH(B1215,Equipment[组合编号],0))))</x:f>
        <x:v>台达</x:v>
      </x:c>
      <x:c r="E1215" s="20" t="str">
        <x:v>H03</x:v>
      </x:c>
      <x:c r="F1215" s="20"/>
      <x:c r="G1215" s="20"/>
      <x:c r="H1215" s="20" t="str">
        <x:v>待判定</x:v>
      </x:c>
      <x:c r="I1215" s="20"/>
      <x:c r="J1215" s="20" t="str">
        <x:v>未测试</x:v>
      </x:c>
      <x:c r="K1215" s="20"/>
      <x:c r="L1215" s="20"/>
      <x:c r="M1215" s="20"/>
      <x:c r="N1215" s="20"/>
      <x:c r="O1215" s="31"/>
      <x:c r="P1215" s="20"/>
      <x:c r="Q1215" s="20"/>
      <x:c r="R1215" s="20" t="str">
        <x:v>待展开</x:v>
      </x:c>
      <x:c r="S1215" s="20"/>
      <x:c r="T1215" s="31"/>
      <x:c r="U1215" s="30" t="str">
        <x:f>IF(A1215="","缺记录编号",IF(COUNTIFS(PathRecords[记录编号],A1215)&lt;&gt;1,"记录编号重复",IF(OR(B1215="",E1215=""),"缺组合/功能",IF(COUNTIFS(Equipment[组合编号],B1215)&lt;&gt;1,"组合编号无效",IF(COUNTIFS(FunctionMatrix[编号],E1215)=0,"功能编号无效",IF(H1215="不适用",IF(J1215="已实测","适用性冲突",IF(I1215="","待补不适用依据","不适用（非实测）")),IF(J1215="阻塞",IF(I1215="","待补阻塞原因","阻塞（非实测）"),IF(J1215&lt;&gt;"已实测",IF(F1215="","待展开路径","未实测"),IF(H1215&lt;&gt;"适用","待确认适用性",IF(INDEX(Equipment[登记状态（自动）],MATCH(B1215,Equipment[组合编号],0))&lt;&gt;"已登记","待补设备组合",IF(AND(F1215&lt;&gt;"",G1215&lt;&gt;"",K1215&lt;&gt;"",L1215&lt;&gt;"",M1215&lt;&gt;"",N1215&lt;&gt;"",ISNUMBER(O1215),O1215&gt;0,P1215&lt;&gt;""),"记录齐全","待补实测记录")))))))))))</x:f>
        <x:v>待展开路径</x:v>
      </x:c>
    </x:row>
    <x:row r="1216" ht="43.5" customHeight="1">
      <x:c r="A1216" s="20" t="str">
        <x:v>REC-01207</x:v>
      </x:c>
      <x:c r="B1216" s="20" t="str">
        <x:v>P3-B2-01</x:v>
      </x:c>
      <x:c r="C1216" s="30" t="str">
        <x:f>IF(B1216="","",IF(COUNTIFS(Equipment[组合编号],B1216)&lt;&gt;1,"组合编号无效",INDEX(Equipment[PLC组],MATCH(B1216,Equipment[组合编号],0))))</x:f>
        <x:v>欧姆龙</x:v>
      </x:c>
      <x:c r="D1216" s="30" t="str">
        <x:f>IF(B1216="","",IF(COUNTIFS(Equipment[组合编号],B1216)&lt;&gt;1,"组合编号无效",INDEX(Equipment[驱动品牌],MATCH(B1216,Equipment[组合编号],0))))</x:f>
        <x:v>台达</x:v>
      </x:c>
      <x:c r="E1216" s="20" t="str">
        <x:v>H04</x:v>
      </x:c>
      <x:c r="F1216" s="20"/>
      <x:c r="G1216" s="20"/>
      <x:c r="H1216" s="20" t="str">
        <x:v>待判定</x:v>
      </x:c>
      <x:c r="I1216" s="20"/>
      <x:c r="J1216" s="20" t="str">
        <x:v>未测试</x:v>
      </x:c>
      <x:c r="K1216" s="20"/>
      <x:c r="L1216" s="20"/>
      <x:c r="M1216" s="20"/>
      <x:c r="N1216" s="20"/>
      <x:c r="O1216" s="31"/>
      <x:c r="P1216" s="20"/>
      <x:c r="Q1216" s="20"/>
      <x:c r="R1216" s="20" t="str">
        <x:v>待展开</x:v>
      </x:c>
      <x:c r="S1216" s="20"/>
      <x:c r="T1216" s="31"/>
      <x:c r="U1216" s="30" t="str">
        <x:f>IF(A1216="","缺记录编号",IF(COUNTIFS(PathRecords[记录编号],A1216)&lt;&gt;1,"记录编号重复",IF(OR(B1216="",E1216=""),"缺组合/功能",IF(COUNTIFS(Equipment[组合编号],B1216)&lt;&gt;1,"组合编号无效",IF(COUNTIFS(FunctionMatrix[编号],E1216)=0,"功能编号无效",IF(H1216="不适用",IF(J1216="已实测","适用性冲突",IF(I1216="","待补不适用依据","不适用（非实测）")),IF(J1216="阻塞",IF(I1216="","待补阻塞原因","阻塞（非实测）"),IF(J1216&lt;&gt;"已实测",IF(F1216="","待展开路径","未实测"),IF(H1216&lt;&gt;"适用","待确认适用性",IF(INDEX(Equipment[登记状态（自动）],MATCH(B1216,Equipment[组合编号],0))&lt;&gt;"已登记","待补设备组合",IF(AND(F1216&lt;&gt;"",G1216&lt;&gt;"",K1216&lt;&gt;"",L1216&lt;&gt;"",M1216&lt;&gt;"",N1216&lt;&gt;"",ISNUMBER(O1216),O1216&gt;0,P1216&lt;&gt;""),"记录齐全","待补实测记录")))))))))))</x:f>
        <x:v>待展开路径</x:v>
      </x:c>
    </x:row>
    <x:row r="1217" ht="43.5" customHeight="1">
      <x:c r="A1217" s="20" t="str">
        <x:v>REC-01208</x:v>
      </x:c>
      <x:c r="B1217" s="20" t="str">
        <x:v>P3-B2-01</x:v>
      </x:c>
      <x:c r="C1217" s="30" t="str">
        <x:f>IF(B1217="","",IF(COUNTIFS(Equipment[组合编号],B1217)&lt;&gt;1,"组合编号无效",INDEX(Equipment[PLC组],MATCH(B1217,Equipment[组合编号],0))))</x:f>
        <x:v>欧姆龙</x:v>
      </x:c>
      <x:c r="D1217" s="30" t="str">
        <x:f>IF(B1217="","",IF(COUNTIFS(Equipment[组合编号],B1217)&lt;&gt;1,"组合编号无效",INDEX(Equipment[驱动品牌],MATCH(B1217,Equipment[组合编号],0))))</x:f>
        <x:v>台达</x:v>
      </x:c>
      <x:c r="E1217" s="20" t="str">
        <x:v>H05</x:v>
      </x:c>
      <x:c r="F1217" s="20"/>
      <x:c r="G1217" s="20"/>
      <x:c r="H1217" s="20" t="str">
        <x:v>待判定</x:v>
      </x:c>
      <x:c r="I1217" s="20"/>
      <x:c r="J1217" s="20" t="str">
        <x:v>未测试</x:v>
      </x:c>
      <x:c r="K1217" s="20"/>
      <x:c r="L1217" s="20"/>
      <x:c r="M1217" s="20"/>
      <x:c r="N1217" s="20"/>
      <x:c r="O1217" s="31"/>
      <x:c r="P1217" s="20"/>
      <x:c r="Q1217" s="20"/>
      <x:c r="R1217" s="20" t="str">
        <x:v>待展开</x:v>
      </x:c>
      <x:c r="S1217" s="20"/>
      <x:c r="T1217" s="31"/>
      <x:c r="U1217" s="30" t="str">
        <x:f>IF(A1217="","缺记录编号",IF(COUNTIFS(PathRecords[记录编号],A1217)&lt;&gt;1,"记录编号重复",IF(OR(B1217="",E1217=""),"缺组合/功能",IF(COUNTIFS(Equipment[组合编号],B1217)&lt;&gt;1,"组合编号无效",IF(COUNTIFS(FunctionMatrix[编号],E1217)=0,"功能编号无效",IF(H1217="不适用",IF(J1217="已实测","适用性冲突",IF(I1217="","待补不适用依据","不适用（非实测）")),IF(J1217="阻塞",IF(I1217="","待补阻塞原因","阻塞（非实测）"),IF(J1217&lt;&gt;"已实测",IF(F1217="","待展开路径","未实测"),IF(H1217&lt;&gt;"适用","待确认适用性",IF(INDEX(Equipment[登记状态（自动）],MATCH(B1217,Equipment[组合编号],0))&lt;&gt;"已登记","待补设备组合",IF(AND(F1217&lt;&gt;"",G1217&lt;&gt;"",K1217&lt;&gt;"",L1217&lt;&gt;"",M1217&lt;&gt;"",N1217&lt;&gt;"",ISNUMBER(O1217),O1217&gt;0,P1217&lt;&gt;""),"记录齐全","待补实测记录")))))))))))</x:f>
        <x:v>待展开路径</x:v>
      </x:c>
    </x:row>
    <x:row r="1218" ht="43.5" customHeight="1">
      <x:c r="A1218" s="20" t="str">
        <x:v>REC-01209</x:v>
      </x:c>
      <x:c r="B1218" s="20" t="str">
        <x:v>P3-B2-01</x:v>
      </x:c>
      <x:c r="C1218" s="30" t="str">
        <x:f>IF(B1218="","",IF(COUNTIFS(Equipment[组合编号],B1218)&lt;&gt;1,"组合编号无效",INDEX(Equipment[PLC组],MATCH(B1218,Equipment[组合编号],0))))</x:f>
        <x:v>欧姆龙</x:v>
      </x:c>
      <x:c r="D1218" s="30" t="str">
        <x:f>IF(B1218="","",IF(COUNTIFS(Equipment[组合编号],B1218)&lt;&gt;1,"组合编号无效",INDEX(Equipment[驱动品牌],MATCH(B1218,Equipment[组合编号],0))))</x:f>
        <x:v>台达</x:v>
      </x:c>
      <x:c r="E1218" s="20" t="str">
        <x:v>H06</x:v>
      </x:c>
      <x:c r="F1218" s="20"/>
      <x:c r="G1218" s="20"/>
      <x:c r="H1218" s="20" t="str">
        <x:v>待判定</x:v>
      </x:c>
      <x:c r="I1218" s="20"/>
      <x:c r="J1218" s="20" t="str">
        <x:v>未测试</x:v>
      </x:c>
      <x:c r="K1218" s="20"/>
      <x:c r="L1218" s="20"/>
      <x:c r="M1218" s="20"/>
      <x:c r="N1218" s="20"/>
      <x:c r="O1218" s="31"/>
      <x:c r="P1218" s="20"/>
      <x:c r="Q1218" s="20"/>
      <x:c r="R1218" s="20" t="str">
        <x:v>待展开</x:v>
      </x:c>
      <x:c r="S1218" s="20"/>
      <x:c r="T1218" s="31"/>
      <x:c r="U1218" s="30" t="str">
        <x:f>IF(A1218="","缺记录编号",IF(COUNTIFS(PathRecords[记录编号],A1218)&lt;&gt;1,"记录编号重复",IF(OR(B1218="",E1218=""),"缺组合/功能",IF(COUNTIFS(Equipment[组合编号],B1218)&lt;&gt;1,"组合编号无效",IF(COUNTIFS(FunctionMatrix[编号],E1218)=0,"功能编号无效",IF(H1218="不适用",IF(J1218="已实测","适用性冲突",IF(I1218="","待补不适用依据","不适用（非实测）")),IF(J1218="阻塞",IF(I1218="","待补阻塞原因","阻塞（非实测）"),IF(J1218&lt;&gt;"已实测",IF(F1218="","待展开路径","未实测"),IF(H1218&lt;&gt;"适用","待确认适用性",IF(INDEX(Equipment[登记状态（自动）],MATCH(B1218,Equipment[组合编号],0))&lt;&gt;"已登记","待补设备组合",IF(AND(F1218&lt;&gt;"",G1218&lt;&gt;"",K1218&lt;&gt;"",L1218&lt;&gt;"",M1218&lt;&gt;"",N1218&lt;&gt;"",ISNUMBER(O1218),O1218&gt;0,P1218&lt;&gt;""),"记录齐全","待补实测记录")))))))))))</x:f>
        <x:v>待展开路径</x:v>
      </x:c>
    </x:row>
    <x:row r="1219" ht="43.5" customHeight="1">
      <x:c r="A1219" s="20" t="str">
        <x:v>REC-01210</x:v>
      </x:c>
      <x:c r="B1219" s="20" t="str">
        <x:v>P3-B2-01</x:v>
      </x:c>
      <x:c r="C1219" s="30" t="str">
        <x:f>IF(B1219="","",IF(COUNTIFS(Equipment[组合编号],B1219)&lt;&gt;1,"组合编号无效",INDEX(Equipment[PLC组],MATCH(B1219,Equipment[组合编号],0))))</x:f>
        <x:v>欧姆龙</x:v>
      </x:c>
      <x:c r="D1219" s="30" t="str">
        <x:f>IF(B1219="","",IF(COUNTIFS(Equipment[组合编号],B1219)&lt;&gt;1,"组合编号无效",INDEX(Equipment[驱动品牌],MATCH(B1219,Equipment[组合编号],0))))</x:f>
        <x:v>台达</x:v>
      </x:c>
      <x:c r="E1219" s="20" t="str">
        <x:v>H07</x:v>
      </x:c>
      <x:c r="F1219" s="20"/>
      <x:c r="G1219" s="20"/>
      <x:c r="H1219" s="20" t="str">
        <x:v>待判定</x:v>
      </x:c>
      <x:c r="I1219" s="20"/>
      <x:c r="J1219" s="20" t="str">
        <x:v>未测试</x:v>
      </x:c>
      <x:c r="K1219" s="20"/>
      <x:c r="L1219" s="20"/>
      <x:c r="M1219" s="20"/>
      <x:c r="N1219" s="20"/>
      <x:c r="O1219" s="31"/>
      <x:c r="P1219" s="20"/>
      <x:c r="Q1219" s="20"/>
      <x:c r="R1219" s="20" t="str">
        <x:v>待展开</x:v>
      </x:c>
      <x:c r="S1219" s="20"/>
      <x:c r="T1219" s="31"/>
      <x:c r="U1219" s="30" t="str">
        <x:f>IF(A1219="","缺记录编号",IF(COUNTIFS(PathRecords[记录编号],A1219)&lt;&gt;1,"记录编号重复",IF(OR(B1219="",E1219=""),"缺组合/功能",IF(COUNTIFS(Equipment[组合编号],B1219)&lt;&gt;1,"组合编号无效",IF(COUNTIFS(FunctionMatrix[编号],E1219)=0,"功能编号无效",IF(H1219="不适用",IF(J1219="已实测","适用性冲突",IF(I1219="","待补不适用依据","不适用（非实测）")),IF(J1219="阻塞",IF(I1219="","待补阻塞原因","阻塞（非实测）"),IF(J1219&lt;&gt;"已实测",IF(F1219="","待展开路径","未实测"),IF(H1219&lt;&gt;"适用","待确认适用性",IF(INDEX(Equipment[登记状态（自动）],MATCH(B1219,Equipment[组合编号],0))&lt;&gt;"已登记","待补设备组合",IF(AND(F1219&lt;&gt;"",G1219&lt;&gt;"",K1219&lt;&gt;"",L1219&lt;&gt;"",M1219&lt;&gt;"",N1219&lt;&gt;"",ISNUMBER(O1219),O1219&gt;0,P1219&lt;&gt;""),"记录齐全","待补实测记录")))))))))))</x:f>
        <x:v>待展开路径</x:v>
      </x:c>
    </x:row>
    <x:row r="1220" ht="43.5" customHeight="1">
      <x:c r="A1220" s="20" t="str">
        <x:v>REC-01211</x:v>
      </x:c>
      <x:c r="B1220" s="20" t="str">
        <x:v>P3-B2-01</x:v>
      </x:c>
      <x:c r="C1220" s="30" t="str">
        <x:f>IF(B1220="","",IF(COUNTIFS(Equipment[组合编号],B1220)&lt;&gt;1,"组合编号无效",INDEX(Equipment[PLC组],MATCH(B1220,Equipment[组合编号],0))))</x:f>
        <x:v>欧姆龙</x:v>
      </x:c>
      <x:c r="D1220" s="30" t="str">
        <x:f>IF(B1220="","",IF(COUNTIFS(Equipment[组合编号],B1220)&lt;&gt;1,"组合编号无效",INDEX(Equipment[驱动品牌],MATCH(B1220,Equipment[组合编号],0))))</x:f>
        <x:v>台达</x:v>
      </x:c>
      <x:c r="E1220" s="20" t="str">
        <x:v>H08</x:v>
      </x:c>
      <x:c r="F1220" s="20"/>
      <x:c r="G1220" s="20"/>
      <x:c r="H1220" s="20" t="str">
        <x:v>待判定</x:v>
      </x:c>
      <x:c r="I1220" s="20"/>
      <x:c r="J1220" s="20" t="str">
        <x:v>未测试</x:v>
      </x:c>
      <x:c r="K1220" s="20"/>
      <x:c r="L1220" s="20"/>
      <x:c r="M1220" s="20"/>
      <x:c r="N1220" s="20"/>
      <x:c r="O1220" s="31"/>
      <x:c r="P1220" s="20"/>
      <x:c r="Q1220" s="20"/>
      <x:c r="R1220" s="20" t="str">
        <x:v>待展开</x:v>
      </x:c>
      <x:c r="S1220" s="20"/>
      <x:c r="T1220" s="31"/>
      <x:c r="U1220" s="30" t="str">
        <x:f>IF(A1220="","缺记录编号",IF(COUNTIFS(PathRecords[记录编号],A1220)&lt;&gt;1,"记录编号重复",IF(OR(B1220="",E1220=""),"缺组合/功能",IF(COUNTIFS(Equipment[组合编号],B1220)&lt;&gt;1,"组合编号无效",IF(COUNTIFS(FunctionMatrix[编号],E1220)=0,"功能编号无效",IF(H1220="不适用",IF(J1220="已实测","适用性冲突",IF(I1220="","待补不适用依据","不适用（非实测）")),IF(J1220="阻塞",IF(I1220="","待补阻塞原因","阻塞（非实测）"),IF(J1220&lt;&gt;"已实测",IF(F1220="","待展开路径","未实测"),IF(H1220&lt;&gt;"适用","待确认适用性",IF(INDEX(Equipment[登记状态（自动）],MATCH(B1220,Equipment[组合编号],0))&lt;&gt;"已登记","待补设备组合",IF(AND(F1220&lt;&gt;"",G1220&lt;&gt;"",K1220&lt;&gt;"",L1220&lt;&gt;"",M1220&lt;&gt;"",N1220&lt;&gt;"",ISNUMBER(O1220),O1220&gt;0,P1220&lt;&gt;""),"记录齐全","待补实测记录")))))))))))</x:f>
        <x:v>待展开路径</x:v>
      </x:c>
    </x:row>
    <x:row r="1221" ht="43.5" customHeight="1">
      <x:c r="A1221" s="20" t="str">
        <x:v>REC-01212</x:v>
      </x:c>
      <x:c r="B1221" s="20" t="str">
        <x:v>P3-B2-01</x:v>
      </x:c>
      <x:c r="C1221" s="30" t="str">
        <x:f>IF(B1221="","",IF(COUNTIFS(Equipment[组合编号],B1221)&lt;&gt;1,"组合编号无效",INDEX(Equipment[PLC组],MATCH(B1221,Equipment[组合编号],0))))</x:f>
        <x:v>欧姆龙</x:v>
      </x:c>
      <x:c r="D1221" s="30" t="str">
        <x:f>IF(B1221="","",IF(COUNTIFS(Equipment[组合编号],B1221)&lt;&gt;1,"组合编号无效",INDEX(Equipment[驱动品牌],MATCH(B1221,Equipment[组合编号],0))))</x:f>
        <x:v>台达</x:v>
      </x:c>
      <x:c r="E1221" s="20" t="str">
        <x:v>H09</x:v>
      </x:c>
      <x:c r="F1221" s="20"/>
      <x:c r="G1221" s="20"/>
      <x:c r="H1221" s="20" t="str">
        <x:v>待判定</x:v>
      </x:c>
      <x:c r="I1221" s="20"/>
      <x:c r="J1221" s="20" t="str">
        <x:v>未测试</x:v>
      </x:c>
      <x:c r="K1221" s="20"/>
      <x:c r="L1221" s="20"/>
      <x:c r="M1221" s="20"/>
      <x:c r="N1221" s="20"/>
      <x:c r="O1221" s="31"/>
      <x:c r="P1221" s="20"/>
      <x:c r="Q1221" s="20"/>
      <x:c r="R1221" s="20" t="str">
        <x:v>待展开</x:v>
      </x:c>
      <x:c r="S1221" s="20"/>
      <x:c r="T1221" s="31"/>
      <x:c r="U1221" s="30" t="str">
        <x:f>IF(A1221="","缺记录编号",IF(COUNTIFS(PathRecords[记录编号],A1221)&lt;&gt;1,"记录编号重复",IF(OR(B1221="",E1221=""),"缺组合/功能",IF(COUNTIFS(Equipment[组合编号],B1221)&lt;&gt;1,"组合编号无效",IF(COUNTIFS(FunctionMatrix[编号],E1221)=0,"功能编号无效",IF(H1221="不适用",IF(J1221="已实测","适用性冲突",IF(I1221="","待补不适用依据","不适用（非实测）")),IF(J1221="阻塞",IF(I1221="","待补阻塞原因","阻塞（非实测）"),IF(J1221&lt;&gt;"已实测",IF(F1221="","待展开路径","未实测"),IF(H1221&lt;&gt;"适用","待确认适用性",IF(INDEX(Equipment[登记状态（自动）],MATCH(B1221,Equipment[组合编号],0))&lt;&gt;"已登记","待补设备组合",IF(AND(F1221&lt;&gt;"",G1221&lt;&gt;"",K1221&lt;&gt;"",L1221&lt;&gt;"",M1221&lt;&gt;"",N1221&lt;&gt;"",ISNUMBER(O1221),O1221&gt;0,P1221&lt;&gt;""),"记录齐全","待补实测记录")))))))))))</x:f>
        <x:v>待展开路径</x:v>
      </x:c>
    </x:row>
    <x:row r="1222" ht="43.5" customHeight="1">
      <x:c r="A1222" s="20" t="str">
        <x:v>REC-01213</x:v>
      </x:c>
      <x:c r="B1222" s="20" t="str">
        <x:v>P3-B2-01</x:v>
      </x:c>
      <x:c r="C1222" s="30" t="str">
        <x:f>IF(B1222="","",IF(COUNTIFS(Equipment[组合编号],B1222)&lt;&gt;1,"组合编号无效",INDEX(Equipment[PLC组],MATCH(B1222,Equipment[组合编号],0))))</x:f>
        <x:v>欧姆龙</x:v>
      </x:c>
      <x:c r="D1222" s="30" t="str">
        <x:f>IF(B1222="","",IF(COUNTIFS(Equipment[组合编号],B1222)&lt;&gt;1,"组合编号无效",INDEX(Equipment[驱动品牌],MATCH(B1222,Equipment[组合编号],0))))</x:f>
        <x:v>台达</x:v>
      </x:c>
      <x:c r="E1222" s="20" t="str">
        <x:v>H10</x:v>
      </x:c>
      <x:c r="F1222" s="20"/>
      <x:c r="G1222" s="20"/>
      <x:c r="H1222" s="20" t="str">
        <x:v>待判定</x:v>
      </x:c>
      <x:c r="I1222" s="20"/>
      <x:c r="J1222" s="20" t="str">
        <x:v>未测试</x:v>
      </x:c>
      <x:c r="K1222" s="20"/>
      <x:c r="L1222" s="20"/>
      <x:c r="M1222" s="20"/>
      <x:c r="N1222" s="20"/>
      <x:c r="O1222" s="31"/>
      <x:c r="P1222" s="20"/>
      <x:c r="Q1222" s="20"/>
      <x:c r="R1222" s="20" t="str">
        <x:v>待展开</x:v>
      </x:c>
      <x:c r="S1222" s="20"/>
      <x:c r="T1222" s="31"/>
      <x:c r="U1222" s="30" t="str">
        <x:f>IF(A1222="","缺记录编号",IF(COUNTIFS(PathRecords[记录编号],A1222)&lt;&gt;1,"记录编号重复",IF(OR(B1222="",E1222=""),"缺组合/功能",IF(COUNTIFS(Equipment[组合编号],B1222)&lt;&gt;1,"组合编号无效",IF(COUNTIFS(FunctionMatrix[编号],E1222)=0,"功能编号无效",IF(H1222="不适用",IF(J1222="已实测","适用性冲突",IF(I1222="","待补不适用依据","不适用（非实测）")),IF(J1222="阻塞",IF(I1222="","待补阻塞原因","阻塞（非实测）"),IF(J1222&lt;&gt;"已实测",IF(F1222="","待展开路径","未实测"),IF(H1222&lt;&gt;"适用","待确认适用性",IF(INDEX(Equipment[登记状态（自动）],MATCH(B1222,Equipment[组合编号],0))&lt;&gt;"已登记","待补设备组合",IF(AND(F1222&lt;&gt;"",G1222&lt;&gt;"",K1222&lt;&gt;"",L1222&lt;&gt;"",M1222&lt;&gt;"",N1222&lt;&gt;"",ISNUMBER(O1222),O1222&gt;0,P1222&lt;&gt;""),"记录齐全","待补实测记录")))))))))))</x:f>
        <x:v>待展开路径</x:v>
      </x:c>
    </x:row>
    <x:row r="1223" ht="43.5" customHeight="1">
      <x:c r="A1223" s="20" t="str">
        <x:v>REC-01214</x:v>
      </x:c>
      <x:c r="B1223" s="20" t="str">
        <x:v>P3-B2-01</x:v>
      </x:c>
      <x:c r="C1223" s="30" t="str">
        <x:f>IF(B1223="","",IF(COUNTIFS(Equipment[组合编号],B1223)&lt;&gt;1,"组合编号无效",INDEX(Equipment[PLC组],MATCH(B1223,Equipment[组合编号],0))))</x:f>
        <x:v>欧姆龙</x:v>
      </x:c>
      <x:c r="D1223" s="30" t="str">
        <x:f>IF(B1223="","",IF(COUNTIFS(Equipment[组合编号],B1223)&lt;&gt;1,"组合编号无效",INDEX(Equipment[驱动品牌],MATCH(B1223,Equipment[组合编号],0))))</x:f>
        <x:v>台达</x:v>
      </x:c>
      <x:c r="E1223" s="20" t="str">
        <x:v>H11</x:v>
      </x:c>
      <x:c r="F1223" s="20"/>
      <x:c r="G1223" s="20"/>
      <x:c r="H1223" s="20" t="str">
        <x:v>待判定</x:v>
      </x:c>
      <x:c r="I1223" s="20"/>
      <x:c r="J1223" s="20" t="str">
        <x:v>未测试</x:v>
      </x:c>
      <x:c r="K1223" s="20"/>
      <x:c r="L1223" s="20"/>
      <x:c r="M1223" s="20"/>
      <x:c r="N1223" s="20"/>
      <x:c r="O1223" s="31"/>
      <x:c r="P1223" s="20"/>
      <x:c r="Q1223" s="20"/>
      <x:c r="R1223" s="20" t="str">
        <x:v>待展开</x:v>
      </x:c>
      <x:c r="S1223" s="20"/>
      <x:c r="T1223" s="31"/>
      <x:c r="U1223" s="30" t="str">
        <x:f>IF(A1223="","缺记录编号",IF(COUNTIFS(PathRecords[记录编号],A1223)&lt;&gt;1,"记录编号重复",IF(OR(B1223="",E1223=""),"缺组合/功能",IF(COUNTIFS(Equipment[组合编号],B1223)&lt;&gt;1,"组合编号无效",IF(COUNTIFS(FunctionMatrix[编号],E1223)=0,"功能编号无效",IF(H1223="不适用",IF(J1223="已实测","适用性冲突",IF(I1223="","待补不适用依据","不适用（非实测）")),IF(J1223="阻塞",IF(I1223="","待补阻塞原因","阻塞（非实测）"),IF(J1223&lt;&gt;"已实测",IF(F1223="","待展开路径","未实测"),IF(H1223&lt;&gt;"适用","待确认适用性",IF(INDEX(Equipment[登记状态（自动）],MATCH(B1223,Equipment[组合编号],0))&lt;&gt;"已登记","待补设备组合",IF(AND(F1223&lt;&gt;"",G1223&lt;&gt;"",K1223&lt;&gt;"",L1223&lt;&gt;"",M1223&lt;&gt;"",N1223&lt;&gt;"",ISNUMBER(O1223),O1223&gt;0,P1223&lt;&gt;""),"记录齐全","待补实测记录")))))))))))</x:f>
        <x:v>待展开路径</x:v>
      </x:c>
    </x:row>
    <x:row r="1224" ht="43.5" customHeight="1">
      <x:c r="A1224" s="20" t="str">
        <x:v>REC-01215</x:v>
      </x:c>
      <x:c r="B1224" s="20" t="str">
        <x:v>P3-B2-01</x:v>
      </x:c>
      <x:c r="C1224" s="30" t="str">
        <x:f>IF(B1224="","",IF(COUNTIFS(Equipment[组合编号],B1224)&lt;&gt;1,"组合编号无效",INDEX(Equipment[PLC组],MATCH(B1224,Equipment[组合编号],0))))</x:f>
        <x:v>欧姆龙</x:v>
      </x:c>
      <x:c r="D1224" s="30" t="str">
        <x:f>IF(B1224="","",IF(COUNTIFS(Equipment[组合编号],B1224)&lt;&gt;1,"组合编号无效",INDEX(Equipment[驱动品牌],MATCH(B1224,Equipment[组合编号],0))))</x:f>
        <x:v>台达</x:v>
      </x:c>
      <x:c r="E1224" s="20" t="str">
        <x:v>N01</x:v>
      </x:c>
      <x:c r="F1224" s="20"/>
      <x:c r="G1224" s="20"/>
      <x:c r="H1224" s="20" t="str">
        <x:v>待判定</x:v>
      </x:c>
      <x:c r="I1224" s="20"/>
      <x:c r="J1224" s="20" t="str">
        <x:v>未测试</x:v>
      </x:c>
      <x:c r="K1224" s="20"/>
      <x:c r="L1224" s="20"/>
      <x:c r="M1224" s="20"/>
      <x:c r="N1224" s="20"/>
      <x:c r="O1224" s="31"/>
      <x:c r="P1224" s="20"/>
      <x:c r="Q1224" s="20"/>
      <x:c r="R1224" s="20" t="str">
        <x:v>待展开</x:v>
      </x:c>
      <x:c r="S1224" s="20"/>
      <x:c r="T1224" s="31"/>
      <x:c r="U1224" s="30" t="str">
        <x:f>IF(A1224="","缺记录编号",IF(COUNTIFS(PathRecords[记录编号],A1224)&lt;&gt;1,"记录编号重复",IF(OR(B1224="",E1224=""),"缺组合/功能",IF(COUNTIFS(Equipment[组合编号],B1224)&lt;&gt;1,"组合编号无效",IF(COUNTIFS(FunctionMatrix[编号],E1224)=0,"功能编号无效",IF(H1224="不适用",IF(J1224="已实测","适用性冲突",IF(I1224="","待补不适用依据","不适用（非实测）")),IF(J1224="阻塞",IF(I1224="","待补阻塞原因","阻塞（非实测）"),IF(J1224&lt;&gt;"已实测",IF(F1224="","待展开路径","未实测"),IF(H1224&lt;&gt;"适用","待确认适用性",IF(INDEX(Equipment[登记状态（自动）],MATCH(B1224,Equipment[组合编号],0))&lt;&gt;"已登记","待补设备组合",IF(AND(F1224&lt;&gt;"",G1224&lt;&gt;"",K1224&lt;&gt;"",L1224&lt;&gt;"",M1224&lt;&gt;"",N1224&lt;&gt;"",ISNUMBER(O1224),O1224&gt;0,P1224&lt;&gt;""),"记录齐全","待补实测记录")))))))))))</x:f>
        <x:v>待展开路径</x:v>
      </x:c>
    </x:row>
    <x:row r="1225" ht="43.5" customHeight="1">
      <x:c r="A1225" s="20" t="str">
        <x:v>REC-01216</x:v>
      </x:c>
      <x:c r="B1225" s="20" t="str">
        <x:v>P3-B2-01</x:v>
      </x:c>
      <x:c r="C1225" s="30" t="str">
        <x:f>IF(B1225="","",IF(COUNTIFS(Equipment[组合编号],B1225)&lt;&gt;1,"组合编号无效",INDEX(Equipment[PLC组],MATCH(B1225,Equipment[组合编号],0))))</x:f>
        <x:v>欧姆龙</x:v>
      </x:c>
      <x:c r="D1225" s="30" t="str">
        <x:f>IF(B1225="","",IF(COUNTIFS(Equipment[组合编号],B1225)&lt;&gt;1,"组合编号无效",INDEX(Equipment[驱动品牌],MATCH(B1225,Equipment[组合编号],0))))</x:f>
        <x:v>台达</x:v>
      </x:c>
      <x:c r="E1225" s="20" t="str">
        <x:v>N02</x:v>
      </x:c>
      <x:c r="F1225" s="20"/>
      <x:c r="G1225" s="20"/>
      <x:c r="H1225" s="20" t="str">
        <x:v>待判定</x:v>
      </x:c>
      <x:c r="I1225" s="20"/>
      <x:c r="J1225" s="20" t="str">
        <x:v>未测试</x:v>
      </x:c>
      <x:c r="K1225" s="20"/>
      <x:c r="L1225" s="20"/>
      <x:c r="M1225" s="20"/>
      <x:c r="N1225" s="20"/>
      <x:c r="O1225" s="31"/>
      <x:c r="P1225" s="20"/>
      <x:c r="Q1225" s="20"/>
      <x:c r="R1225" s="20" t="str">
        <x:v>待展开</x:v>
      </x:c>
      <x:c r="S1225" s="20"/>
      <x:c r="T1225" s="31"/>
      <x:c r="U1225" s="30" t="str">
        <x:f>IF(A1225="","缺记录编号",IF(COUNTIFS(PathRecords[记录编号],A1225)&lt;&gt;1,"记录编号重复",IF(OR(B1225="",E1225=""),"缺组合/功能",IF(COUNTIFS(Equipment[组合编号],B1225)&lt;&gt;1,"组合编号无效",IF(COUNTIFS(FunctionMatrix[编号],E1225)=0,"功能编号无效",IF(H1225="不适用",IF(J1225="已实测","适用性冲突",IF(I1225="","待补不适用依据","不适用（非实测）")),IF(J1225="阻塞",IF(I1225="","待补阻塞原因","阻塞（非实测）"),IF(J1225&lt;&gt;"已实测",IF(F1225="","待展开路径","未实测"),IF(H1225&lt;&gt;"适用","待确认适用性",IF(INDEX(Equipment[登记状态（自动）],MATCH(B1225,Equipment[组合编号],0))&lt;&gt;"已登记","待补设备组合",IF(AND(F1225&lt;&gt;"",G1225&lt;&gt;"",K1225&lt;&gt;"",L1225&lt;&gt;"",M1225&lt;&gt;"",N1225&lt;&gt;"",ISNUMBER(O1225),O1225&gt;0,P1225&lt;&gt;""),"记录齐全","待补实测记录")))))))))))</x:f>
        <x:v>待展开路径</x:v>
      </x:c>
    </x:row>
    <x:row r="1226" ht="43.5" customHeight="1">
      <x:c r="A1226" s="20" t="str">
        <x:v>REC-01217</x:v>
      </x:c>
      <x:c r="B1226" s="20" t="str">
        <x:v>P3-B2-01</x:v>
      </x:c>
      <x:c r="C1226" s="30" t="str">
        <x:f>IF(B1226="","",IF(COUNTIFS(Equipment[组合编号],B1226)&lt;&gt;1,"组合编号无效",INDEX(Equipment[PLC组],MATCH(B1226,Equipment[组合编号],0))))</x:f>
        <x:v>欧姆龙</x:v>
      </x:c>
      <x:c r="D1226" s="30" t="str">
        <x:f>IF(B1226="","",IF(COUNTIFS(Equipment[组合编号],B1226)&lt;&gt;1,"组合编号无效",INDEX(Equipment[驱动品牌],MATCH(B1226,Equipment[组合编号],0))))</x:f>
        <x:v>台达</x:v>
      </x:c>
      <x:c r="E1226" s="20" t="str">
        <x:v>N03</x:v>
      </x:c>
      <x:c r="F1226" s="20"/>
      <x:c r="G1226" s="20"/>
      <x:c r="H1226" s="20" t="str">
        <x:v>待判定</x:v>
      </x:c>
      <x:c r="I1226" s="20"/>
      <x:c r="J1226" s="20" t="str">
        <x:v>未测试</x:v>
      </x:c>
      <x:c r="K1226" s="20"/>
      <x:c r="L1226" s="20"/>
      <x:c r="M1226" s="20"/>
      <x:c r="N1226" s="20"/>
      <x:c r="O1226" s="31"/>
      <x:c r="P1226" s="20"/>
      <x:c r="Q1226" s="20"/>
      <x:c r="R1226" s="20" t="str">
        <x:v>待展开</x:v>
      </x:c>
      <x:c r="S1226" s="20"/>
      <x:c r="T1226" s="31"/>
      <x:c r="U1226" s="30" t="str">
        <x:f>IF(A1226="","缺记录编号",IF(COUNTIFS(PathRecords[记录编号],A1226)&lt;&gt;1,"记录编号重复",IF(OR(B1226="",E1226=""),"缺组合/功能",IF(COUNTIFS(Equipment[组合编号],B1226)&lt;&gt;1,"组合编号无效",IF(COUNTIFS(FunctionMatrix[编号],E1226)=0,"功能编号无效",IF(H1226="不适用",IF(J1226="已实测","适用性冲突",IF(I1226="","待补不适用依据","不适用（非实测）")),IF(J1226="阻塞",IF(I1226="","待补阻塞原因","阻塞（非实测）"),IF(J1226&lt;&gt;"已实测",IF(F1226="","待展开路径","未实测"),IF(H1226&lt;&gt;"适用","待确认适用性",IF(INDEX(Equipment[登记状态（自动）],MATCH(B1226,Equipment[组合编号],0))&lt;&gt;"已登记","待补设备组合",IF(AND(F1226&lt;&gt;"",G1226&lt;&gt;"",K1226&lt;&gt;"",L1226&lt;&gt;"",M1226&lt;&gt;"",N1226&lt;&gt;"",ISNUMBER(O1226),O1226&gt;0,P1226&lt;&gt;""),"记录齐全","待补实测记录")))))))))))</x:f>
        <x:v>待展开路径</x:v>
      </x:c>
    </x:row>
    <x:row r="1227" ht="43.5" customHeight="1">
      <x:c r="A1227" s="20" t="str">
        <x:v>REC-01218</x:v>
      </x:c>
      <x:c r="B1227" s="20" t="str">
        <x:v>P3-B2-01</x:v>
      </x:c>
      <x:c r="C1227" s="30" t="str">
        <x:f>IF(B1227="","",IF(COUNTIFS(Equipment[组合编号],B1227)&lt;&gt;1,"组合编号无效",INDEX(Equipment[PLC组],MATCH(B1227,Equipment[组合编号],0))))</x:f>
        <x:v>欧姆龙</x:v>
      </x:c>
      <x:c r="D1227" s="30" t="str">
        <x:f>IF(B1227="","",IF(COUNTIFS(Equipment[组合编号],B1227)&lt;&gt;1,"组合编号无效",INDEX(Equipment[驱动品牌],MATCH(B1227,Equipment[组合编号],0))))</x:f>
        <x:v>台达</x:v>
      </x:c>
      <x:c r="E1227" s="20" t="str">
        <x:v>N04</x:v>
      </x:c>
      <x:c r="F1227" s="20"/>
      <x:c r="G1227" s="20"/>
      <x:c r="H1227" s="20" t="str">
        <x:v>待判定</x:v>
      </x:c>
      <x:c r="I1227" s="20"/>
      <x:c r="J1227" s="20" t="str">
        <x:v>未测试</x:v>
      </x:c>
      <x:c r="K1227" s="20"/>
      <x:c r="L1227" s="20"/>
      <x:c r="M1227" s="20"/>
      <x:c r="N1227" s="20"/>
      <x:c r="O1227" s="31"/>
      <x:c r="P1227" s="20"/>
      <x:c r="Q1227" s="20"/>
      <x:c r="R1227" s="20" t="str">
        <x:v>待展开</x:v>
      </x:c>
      <x:c r="S1227" s="20"/>
      <x:c r="T1227" s="31"/>
      <x:c r="U1227" s="30" t="str">
        <x:f>IF(A1227="","缺记录编号",IF(COUNTIFS(PathRecords[记录编号],A1227)&lt;&gt;1,"记录编号重复",IF(OR(B1227="",E1227=""),"缺组合/功能",IF(COUNTIFS(Equipment[组合编号],B1227)&lt;&gt;1,"组合编号无效",IF(COUNTIFS(FunctionMatrix[编号],E1227)=0,"功能编号无效",IF(H1227="不适用",IF(J1227="已实测","适用性冲突",IF(I1227="","待补不适用依据","不适用（非实测）")),IF(J1227="阻塞",IF(I1227="","待补阻塞原因","阻塞（非实测）"),IF(J1227&lt;&gt;"已实测",IF(F1227="","待展开路径","未实测"),IF(H1227&lt;&gt;"适用","待确认适用性",IF(INDEX(Equipment[登记状态（自动）],MATCH(B1227,Equipment[组合编号],0))&lt;&gt;"已登记","待补设备组合",IF(AND(F1227&lt;&gt;"",G1227&lt;&gt;"",K1227&lt;&gt;"",L1227&lt;&gt;"",M1227&lt;&gt;"",N1227&lt;&gt;"",ISNUMBER(O1227),O1227&gt;0,P1227&lt;&gt;""),"记录齐全","待补实测记录")))))))))))</x:f>
        <x:v>待展开路径</x:v>
      </x:c>
    </x:row>
    <x:row r="1228" ht="43.5" customHeight="1">
      <x:c r="A1228" s="20" t="str">
        <x:v>REC-01219</x:v>
      </x:c>
      <x:c r="B1228" s="20" t="str">
        <x:v>P3-B2-01</x:v>
      </x:c>
      <x:c r="C1228" s="30" t="str">
        <x:f>IF(B1228="","",IF(COUNTIFS(Equipment[组合编号],B1228)&lt;&gt;1,"组合编号无效",INDEX(Equipment[PLC组],MATCH(B1228,Equipment[组合编号],0))))</x:f>
        <x:v>欧姆龙</x:v>
      </x:c>
      <x:c r="D1228" s="30" t="str">
        <x:f>IF(B1228="","",IF(COUNTIFS(Equipment[组合编号],B1228)&lt;&gt;1,"组合编号无效",INDEX(Equipment[驱动品牌],MATCH(B1228,Equipment[组合编号],0))))</x:f>
        <x:v>台达</x:v>
      </x:c>
      <x:c r="E1228" s="20" t="str">
        <x:v>N05</x:v>
      </x:c>
      <x:c r="F1228" s="20"/>
      <x:c r="G1228" s="20"/>
      <x:c r="H1228" s="20" t="str">
        <x:v>待判定</x:v>
      </x:c>
      <x:c r="I1228" s="20"/>
      <x:c r="J1228" s="20" t="str">
        <x:v>未测试</x:v>
      </x:c>
      <x:c r="K1228" s="20"/>
      <x:c r="L1228" s="20"/>
      <x:c r="M1228" s="20"/>
      <x:c r="N1228" s="20"/>
      <x:c r="O1228" s="31"/>
      <x:c r="P1228" s="20"/>
      <x:c r="Q1228" s="20"/>
      <x:c r="R1228" s="20" t="str">
        <x:v>待展开</x:v>
      </x:c>
      <x:c r="S1228" s="20"/>
      <x:c r="T1228" s="31"/>
      <x:c r="U1228" s="30" t="str">
        <x:f>IF(A1228="","缺记录编号",IF(COUNTIFS(PathRecords[记录编号],A1228)&lt;&gt;1,"记录编号重复",IF(OR(B1228="",E1228=""),"缺组合/功能",IF(COUNTIFS(Equipment[组合编号],B1228)&lt;&gt;1,"组合编号无效",IF(COUNTIFS(FunctionMatrix[编号],E1228)=0,"功能编号无效",IF(H1228="不适用",IF(J1228="已实测","适用性冲突",IF(I1228="","待补不适用依据","不适用（非实测）")),IF(J1228="阻塞",IF(I1228="","待补阻塞原因","阻塞（非实测）"),IF(J1228&lt;&gt;"已实测",IF(F1228="","待展开路径","未实测"),IF(H1228&lt;&gt;"适用","待确认适用性",IF(INDEX(Equipment[登记状态（自动）],MATCH(B1228,Equipment[组合编号],0))&lt;&gt;"已登记","待补设备组合",IF(AND(F1228&lt;&gt;"",G1228&lt;&gt;"",K1228&lt;&gt;"",L1228&lt;&gt;"",M1228&lt;&gt;"",N1228&lt;&gt;"",ISNUMBER(O1228),O1228&gt;0,P1228&lt;&gt;""),"记录齐全","待补实测记录")))))))))))</x:f>
        <x:v>待展开路径</x:v>
      </x:c>
    </x:row>
    <x:row r="1229" ht="43.5" customHeight="1">
      <x:c r="A1229" s="20" t="str">
        <x:v>REC-01220</x:v>
      </x:c>
      <x:c r="B1229" s="20" t="str">
        <x:v>P3-B2-01</x:v>
      </x:c>
      <x:c r="C1229" s="30" t="str">
        <x:f>IF(B1229="","",IF(COUNTIFS(Equipment[组合编号],B1229)&lt;&gt;1,"组合编号无效",INDEX(Equipment[PLC组],MATCH(B1229,Equipment[组合编号],0))))</x:f>
        <x:v>欧姆龙</x:v>
      </x:c>
      <x:c r="D1229" s="30" t="str">
        <x:f>IF(B1229="","",IF(COUNTIFS(Equipment[组合编号],B1229)&lt;&gt;1,"组合编号无效",INDEX(Equipment[驱动品牌],MATCH(B1229,Equipment[组合编号],0))))</x:f>
        <x:v>台达</x:v>
      </x:c>
      <x:c r="E1229" s="20" t="str">
        <x:v>N06</x:v>
      </x:c>
      <x:c r="F1229" s="20"/>
      <x:c r="G1229" s="20"/>
      <x:c r="H1229" s="20" t="str">
        <x:v>待判定</x:v>
      </x:c>
      <x:c r="I1229" s="20"/>
      <x:c r="J1229" s="20" t="str">
        <x:v>未测试</x:v>
      </x:c>
      <x:c r="K1229" s="20"/>
      <x:c r="L1229" s="20"/>
      <x:c r="M1229" s="20"/>
      <x:c r="N1229" s="20"/>
      <x:c r="O1229" s="31"/>
      <x:c r="P1229" s="20"/>
      <x:c r="Q1229" s="20"/>
      <x:c r="R1229" s="20" t="str">
        <x:v>待展开</x:v>
      </x:c>
      <x:c r="S1229" s="20"/>
      <x:c r="T1229" s="31"/>
      <x:c r="U1229" s="30" t="str">
        <x:f>IF(A1229="","缺记录编号",IF(COUNTIFS(PathRecords[记录编号],A1229)&lt;&gt;1,"记录编号重复",IF(OR(B1229="",E1229=""),"缺组合/功能",IF(COUNTIFS(Equipment[组合编号],B1229)&lt;&gt;1,"组合编号无效",IF(COUNTIFS(FunctionMatrix[编号],E1229)=0,"功能编号无效",IF(H1229="不适用",IF(J1229="已实测","适用性冲突",IF(I1229="","待补不适用依据","不适用（非实测）")),IF(J1229="阻塞",IF(I1229="","待补阻塞原因","阻塞（非实测）"),IF(J1229&lt;&gt;"已实测",IF(F1229="","待展开路径","未实测"),IF(H1229&lt;&gt;"适用","待确认适用性",IF(INDEX(Equipment[登记状态（自动）],MATCH(B1229,Equipment[组合编号],0))&lt;&gt;"已登记","待补设备组合",IF(AND(F1229&lt;&gt;"",G1229&lt;&gt;"",K1229&lt;&gt;"",L1229&lt;&gt;"",M1229&lt;&gt;"",N1229&lt;&gt;"",ISNUMBER(O1229),O1229&gt;0,P1229&lt;&gt;""),"记录齐全","待补实测记录")))))))))))</x:f>
        <x:v>待展开路径</x:v>
      </x:c>
    </x:row>
    <x:row r="1230" ht="43.5" customHeight="1">
      <x:c r="A1230" s="20" t="str">
        <x:v>REC-01221</x:v>
      </x:c>
      <x:c r="B1230" s="20" t="str">
        <x:v>P3-B2-01</x:v>
      </x:c>
      <x:c r="C1230" s="30" t="str">
        <x:f>IF(B1230="","",IF(COUNTIFS(Equipment[组合编号],B1230)&lt;&gt;1,"组合编号无效",INDEX(Equipment[PLC组],MATCH(B1230,Equipment[组合编号],0))))</x:f>
        <x:v>欧姆龙</x:v>
      </x:c>
      <x:c r="D1230" s="30" t="str">
        <x:f>IF(B1230="","",IF(COUNTIFS(Equipment[组合编号],B1230)&lt;&gt;1,"组合编号无效",INDEX(Equipment[驱动品牌],MATCH(B1230,Equipment[组合编号],0))))</x:f>
        <x:v>台达</x:v>
      </x:c>
      <x:c r="E1230" s="20" t="str">
        <x:v>N07</x:v>
      </x:c>
      <x:c r="F1230" s="20"/>
      <x:c r="G1230" s="20"/>
      <x:c r="H1230" s="20" t="str">
        <x:v>待判定</x:v>
      </x:c>
      <x:c r="I1230" s="20"/>
      <x:c r="J1230" s="20" t="str">
        <x:v>未测试</x:v>
      </x:c>
      <x:c r="K1230" s="20"/>
      <x:c r="L1230" s="20"/>
      <x:c r="M1230" s="20"/>
      <x:c r="N1230" s="20"/>
      <x:c r="O1230" s="31"/>
      <x:c r="P1230" s="20"/>
      <x:c r="Q1230" s="20"/>
      <x:c r="R1230" s="20" t="str">
        <x:v>待展开</x:v>
      </x:c>
      <x:c r="S1230" s="20"/>
      <x:c r="T1230" s="31"/>
      <x:c r="U1230" s="30" t="str">
        <x:f>IF(A1230="","缺记录编号",IF(COUNTIFS(PathRecords[记录编号],A1230)&lt;&gt;1,"记录编号重复",IF(OR(B1230="",E1230=""),"缺组合/功能",IF(COUNTIFS(Equipment[组合编号],B1230)&lt;&gt;1,"组合编号无效",IF(COUNTIFS(FunctionMatrix[编号],E1230)=0,"功能编号无效",IF(H1230="不适用",IF(J1230="已实测","适用性冲突",IF(I1230="","待补不适用依据","不适用（非实测）")),IF(J1230="阻塞",IF(I1230="","待补阻塞原因","阻塞（非实测）"),IF(J1230&lt;&gt;"已实测",IF(F1230="","待展开路径","未实测"),IF(H1230&lt;&gt;"适用","待确认适用性",IF(INDEX(Equipment[登记状态（自动）],MATCH(B1230,Equipment[组合编号],0))&lt;&gt;"已登记","待补设备组合",IF(AND(F1230&lt;&gt;"",G1230&lt;&gt;"",K1230&lt;&gt;"",L1230&lt;&gt;"",M1230&lt;&gt;"",N1230&lt;&gt;"",ISNUMBER(O1230),O1230&gt;0,P1230&lt;&gt;""),"记录齐全","待补实测记录")))))))))))</x:f>
        <x:v>待展开路径</x:v>
      </x:c>
    </x:row>
    <x:row r="1231" ht="43.5" customHeight="1">
      <x:c r="A1231" s="20" t="str">
        <x:v>REC-01222</x:v>
      </x:c>
      <x:c r="B1231" s="20" t="str">
        <x:v>P3-B2-01</x:v>
      </x:c>
      <x:c r="C1231" s="30" t="str">
        <x:f>IF(B1231="","",IF(COUNTIFS(Equipment[组合编号],B1231)&lt;&gt;1,"组合编号无效",INDEX(Equipment[PLC组],MATCH(B1231,Equipment[组合编号],0))))</x:f>
        <x:v>欧姆龙</x:v>
      </x:c>
      <x:c r="D1231" s="30" t="str">
        <x:f>IF(B1231="","",IF(COUNTIFS(Equipment[组合编号],B1231)&lt;&gt;1,"组合编号无效",INDEX(Equipment[驱动品牌],MATCH(B1231,Equipment[组合编号],0))))</x:f>
        <x:v>台达</x:v>
      </x:c>
      <x:c r="E1231" s="20" t="str">
        <x:v>N08</x:v>
      </x:c>
      <x:c r="F1231" s="20"/>
      <x:c r="G1231" s="20"/>
      <x:c r="H1231" s="20" t="str">
        <x:v>待判定</x:v>
      </x:c>
      <x:c r="I1231" s="20"/>
      <x:c r="J1231" s="20" t="str">
        <x:v>未测试</x:v>
      </x:c>
      <x:c r="K1231" s="20"/>
      <x:c r="L1231" s="20"/>
      <x:c r="M1231" s="20"/>
      <x:c r="N1231" s="20"/>
      <x:c r="O1231" s="31"/>
      <x:c r="P1231" s="20"/>
      <x:c r="Q1231" s="20"/>
      <x:c r="R1231" s="20" t="str">
        <x:v>待展开</x:v>
      </x:c>
      <x:c r="S1231" s="20"/>
      <x:c r="T1231" s="31"/>
      <x:c r="U1231" s="30" t="str">
        <x:f>IF(A1231="","缺记录编号",IF(COUNTIFS(PathRecords[记录编号],A1231)&lt;&gt;1,"记录编号重复",IF(OR(B1231="",E1231=""),"缺组合/功能",IF(COUNTIFS(Equipment[组合编号],B1231)&lt;&gt;1,"组合编号无效",IF(COUNTIFS(FunctionMatrix[编号],E1231)=0,"功能编号无效",IF(H1231="不适用",IF(J1231="已实测","适用性冲突",IF(I1231="","待补不适用依据","不适用（非实测）")),IF(J1231="阻塞",IF(I1231="","待补阻塞原因","阻塞（非实测）"),IF(J1231&lt;&gt;"已实测",IF(F1231="","待展开路径","未实测"),IF(H1231&lt;&gt;"适用","待确认适用性",IF(INDEX(Equipment[登记状态（自动）],MATCH(B1231,Equipment[组合编号],0))&lt;&gt;"已登记","待补设备组合",IF(AND(F1231&lt;&gt;"",G1231&lt;&gt;"",K1231&lt;&gt;"",L1231&lt;&gt;"",M1231&lt;&gt;"",N1231&lt;&gt;"",ISNUMBER(O1231),O1231&gt;0,P1231&lt;&gt;""),"记录齐全","待补实测记录")))))))))))</x:f>
        <x:v>待展开路径</x:v>
      </x:c>
    </x:row>
    <x:row r="1232" ht="43.5" customHeight="1">
      <x:c r="A1232" s="20" t="str">
        <x:v>REC-01223</x:v>
      </x:c>
      <x:c r="B1232" s="20" t="str">
        <x:v>P3-B2-01</x:v>
      </x:c>
      <x:c r="C1232" s="30" t="str">
        <x:f>IF(B1232="","",IF(COUNTIFS(Equipment[组合编号],B1232)&lt;&gt;1,"组合编号无效",INDEX(Equipment[PLC组],MATCH(B1232,Equipment[组合编号],0))))</x:f>
        <x:v>欧姆龙</x:v>
      </x:c>
      <x:c r="D1232" s="30" t="str">
        <x:f>IF(B1232="","",IF(COUNTIFS(Equipment[组合编号],B1232)&lt;&gt;1,"组合编号无效",INDEX(Equipment[驱动品牌],MATCH(B1232,Equipment[组合编号],0))))</x:f>
        <x:v>台达</x:v>
      </x:c>
      <x:c r="E1232" s="20" t="str">
        <x:v>N09</x:v>
      </x:c>
      <x:c r="F1232" s="20"/>
      <x:c r="G1232" s="20"/>
      <x:c r="H1232" s="20" t="str">
        <x:v>待判定</x:v>
      </x:c>
      <x:c r="I1232" s="20"/>
      <x:c r="J1232" s="20" t="str">
        <x:v>未测试</x:v>
      </x:c>
      <x:c r="K1232" s="20"/>
      <x:c r="L1232" s="20"/>
      <x:c r="M1232" s="20"/>
      <x:c r="N1232" s="20"/>
      <x:c r="O1232" s="31"/>
      <x:c r="P1232" s="20"/>
      <x:c r="Q1232" s="20"/>
      <x:c r="R1232" s="20" t="str">
        <x:v>待展开</x:v>
      </x:c>
      <x:c r="S1232" s="20"/>
      <x:c r="T1232" s="31"/>
      <x:c r="U1232" s="30" t="str">
        <x:f>IF(A1232="","缺记录编号",IF(COUNTIFS(PathRecords[记录编号],A1232)&lt;&gt;1,"记录编号重复",IF(OR(B1232="",E1232=""),"缺组合/功能",IF(COUNTIFS(Equipment[组合编号],B1232)&lt;&gt;1,"组合编号无效",IF(COUNTIFS(FunctionMatrix[编号],E1232)=0,"功能编号无效",IF(H1232="不适用",IF(J1232="已实测","适用性冲突",IF(I1232="","待补不适用依据","不适用（非实测）")),IF(J1232="阻塞",IF(I1232="","待补阻塞原因","阻塞（非实测）"),IF(J1232&lt;&gt;"已实测",IF(F1232="","待展开路径","未实测"),IF(H1232&lt;&gt;"适用","待确认适用性",IF(INDEX(Equipment[登记状态（自动）],MATCH(B1232,Equipment[组合编号],0))&lt;&gt;"已登记","待补设备组合",IF(AND(F1232&lt;&gt;"",G1232&lt;&gt;"",K1232&lt;&gt;"",L1232&lt;&gt;"",M1232&lt;&gt;"",N1232&lt;&gt;"",ISNUMBER(O1232),O1232&gt;0,P1232&lt;&gt;""),"记录齐全","待补实测记录")))))))))))</x:f>
        <x:v>待展开路径</x:v>
      </x:c>
    </x:row>
    <x:row r="1233" ht="43.5" customHeight="1">
      <x:c r="A1233" s="20" t="str">
        <x:v>REC-01224</x:v>
      </x:c>
      <x:c r="B1233" s="20" t="str">
        <x:v>P3-B2-01</x:v>
      </x:c>
      <x:c r="C1233" s="30" t="str">
        <x:f>IF(B1233="","",IF(COUNTIFS(Equipment[组合编号],B1233)&lt;&gt;1,"组合编号无效",INDEX(Equipment[PLC组],MATCH(B1233,Equipment[组合编号],0))))</x:f>
        <x:v>欧姆龙</x:v>
      </x:c>
      <x:c r="D1233" s="30" t="str">
        <x:f>IF(B1233="","",IF(COUNTIFS(Equipment[组合编号],B1233)&lt;&gt;1,"组合编号无效",INDEX(Equipment[驱动品牌],MATCH(B1233,Equipment[组合编号],0))))</x:f>
        <x:v>台达</x:v>
      </x:c>
      <x:c r="E1233" s="20" t="str">
        <x:v>N10</x:v>
      </x:c>
      <x:c r="F1233" s="20"/>
      <x:c r="G1233" s="20"/>
      <x:c r="H1233" s="20" t="str">
        <x:v>待判定</x:v>
      </x:c>
      <x:c r="I1233" s="20"/>
      <x:c r="J1233" s="20" t="str">
        <x:v>未测试</x:v>
      </x:c>
      <x:c r="K1233" s="20"/>
      <x:c r="L1233" s="20"/>
      <x:c r="M1233" s="20"/>
      <x:c r="N1233" s="20"/>
      <x:c r="O1233" s="31"/>
      <x:c r="P1233" s="20"/>
      <x:c r="Q1233" s="20"/>
      <x:c r="R1233" s="20" t="str">
        <x:v>待展开</x:v>
      </x:c>
      <x:c r="S1233" s="20"/>
      <x:c r="T1233" s="31"/>
      <x:c r="U1233" s="30" t="str">
        <x:f>IF(A1233="","缺记录编号",IF(COUNTIFS(PathRecords[记录编号],A1233)&lt;&gt;1,"记录编号重复",IF(OR(B1233="",E1233=""),"缺组合/功能",IF(COUNTIFS(Equipment[组合编号],B1233)&lt;&gt;1,"组合编号无效",IF(COUNTIFS(FunctionMatrix[编号],E1233)=0,"功能编号无效",IF(H1233="不适用",IF(J1233="已实测","适用性冲突",IF(I1233="","待补不适用依据","不适用（非实测）")),IF(J1233="阻塞",IF(I1233="","待补阻塞原因","阻塞（非实测）"),IF(J1233&lt;&gt;"已实测",IF(F1233="","待展开路径","未实测"),IF(H1233&lt;&gt;"适用","待确认适用性",IF(INDEX(Equipment[登记状态（自动）],MATCH(B1233,Equipment[组合编号],0))&lt;&gt;"已登记","待补设备组合",IF(AND(F1233&lt;&gt;"",G1233&lt;&gt;"",K1233&lt;&gt;"",L1233&lt;&gt;"",M1233&lt;&gt;"",N1233&lt;&gt;"",ISNUMBER(O1233),O1233&gt;0,P1233&lt;&gt;""),"记录齐全","待补实测记录")))))))))))</x:f>
        <x:v>待展开路径</x:v>
      </x:c>
    </x:row>
    <x:row r="1234" ht="43.5" customHeight="1">
      <x:c r="A1234" s="20" t="str">
        <x:v>REC-01225</x:v>
      </x:c>
      <x:c r="B1234" s="20" t="str">
        <x:v>P3-B2-01</x:v>
      </x:c>
      <x:c r="C1234" s="30" t="str">
        <x:f>IF(B1234="","",IF(COUNTIFS(Equipment[组合编号],B1234)&lt;&gt;1,"组合编号无效",INDEX(Equipment[PLC组],MATCH(B1234,Equipment[组合编号],0))))</x:f>
        <x:v>欧姆龙</x:v>
      </x:c>
      <x:c r="D1234" s="30" t="str">
        <x:f>IF(B1234="","",IF(COUNTIFS(Equipment[组合编号],B1234)&lt;&gt;1,"组合编号无效",INDEX(Equipment[驱动品牌],MATCH(B1234,Equipment[组合编号],0))))</x:f>
        <x:v>台达</x:v>
      </x:c>
      <x:c r="E1234" s="20" t="str">
        <x:v>N11</x:v>
      </x:c>
      <x:c r="F1234" s="20"/>
      <x:c r="G1234" s="20"/>
      <x:c r="H1234" s="20" t="str">
        <x:v>待判定</x:v>
      </x:c>
      <x:c r="I1234" s="20"/>
      <x:c r="J1234" s="20" t="str">
        <x:v>未测试</x:v>
      </x:c>
      <x:c r="K1234" s="20"/>
      <x:c r="L1234" s="20"/>
      <x:c r="M1234" s="20"/>
      <x:c r="N1234" s="20"/>
      <x:c r="O1234" s="31"/>
      <x:c r="P1234" s="20"/>
      <x:c r="Q1234" s="20"/>
      <x:c r="R1234" s="20" t="str">
        <x:v>待展开</x:v>
      </x:c>
      <x:c r="S1234" s="20"/>
      <x:c r="T1234" s="31"/>
      <x:c r="U1234" s="30" t="str">
        <x:f>IF(A1234="","缺记录编号",IF(COUNTIFS(PathRecords[记录编号],A1234)&lt;&gt;1,"记录编号重复",IF(OR(B1234="",E1234=""),"缺组合/功能",IF(COUNTIFS(Equipment[组合编号],B1234)&lt;&gt;1,"组合编号无效",IF(COUNTIFS(FunctionMatrix[编号],E1234)=0,"功能编号无效",IF(H1234="不适用",IF(J1234="已实测","适用性冲突",IF(I1234="","待补不适用依据","不适用（非实测）")),IF(J1234="阻塞",IF(I1234="","待补阻塞原因","阻塞（非实测）"),IF(J1234&lt;&gt;"已实测",IF(F1234="","待展开路径","未实测"),IF(H1234&lt;&gt;"适用","待确认适用性",IF(INDEX(Equipment[登记状态（自动）],MATCH(B1234,Equipment[组合编号],0))&lt;&gt;"已登记","待补设备组合",IF(AND(F1234&lt;&gt;"",G1234&lt;&gt;"",K1234&lt;&gt;"",L1234&lt;&gt;"",M1234&lt;&gt;"",N1234&lt;&gt;"",ISNUMBER(O1234),O1234&gt;0,P1234&lt;&gt;""),"记录齐全","待补实测记录")))))))))))</x:f>
        <x:v>待展开路径</x:v>
      </x:c>
    </x:row>
    <x:row r="1235" ht="43.5" customHeight="1">
      <x:c r="A1235" s="20" t="str">
        <x:v>REC-01226</x:v>
      </x:c>
      <x:c r="B1235" s="20" t="str">
        <x:v>P3-B2-01</x:v>
      </x:c>
      <x:c r="C1235" s="30" t="str">
        <x:f>IF(B1235="","",IF(COUNTIFS(Equipment[组合编号],B1235)&lt;&gt;1,"组合编号无效",INDEX(Equipment[PLC组],MATCH(B1235,Equipment[组合编号],0))))</x:f>
        <x:v>欧姆龙</x:v>
      </x:c>
      <x:c r="D1235" s="30" t="str">
        <x:f>IF(B1235="","",IF(COUNTIFS(Equipment[组合编号],B1235)&lt;&gt;1,"组合编号无效",INDEX(Equipment[驱动品牌],MATCH(B1235,Equipment[组合编号],0))))</x:f>
        <x:v>台达</x:v>
      </x:c>
      <x:c r="E1235" s="20" t="str">
        <x:v>N12</x:v>
      </x:c>
      <x:c r="F1235" s="20"/>
      <x:c r="G1235" s="20"/>
      <x:c r="H1235" s="20" t="str">
        <x:v>待判定</x:v>
      </x:c>
      <x:c r="I1235" s="20"/>
      <x:c r="J1235" s="20" t="str">
        <x:v>未测试</x:v>
      </x:c>
      <x:c r="K1235" s="20"/>
      <x:c r="L1235" s="20"/>
      <x:c r="M1235" s="20"/>
      <x:c r="N1235" s="20"/>
      <x:c r="O1235" s="31"/>
      <x:c r="P1235" s="20"/>
      <x:c r="Q1235" s="20"/>
      <x:c r="R1235" s="20" t="str">
        <x:v>待展开</x:v>
      </x:c>
      <x:c r="S1235" s="20"/>
      <x:c r="T1235" s="31"/>
      <x:c r="U1235" s="30" t="str">
        <x:f>IF(A1235="","缺记录编号",IF(COUNTIFS(PathRecords[记录编号],A1235)&lt;&gt;1,"记录编号重复",IF(OR(B1235="",E1235=""),"缺组合/功能",IF(COUNTIFS(Equipment[组合编号],B1235)&lt;&gt;1,"组合编号无效",IF(COUNTIFS(FunctionMatrix[编号],E1235)=0,"功能编号无效",IF(H1235="不适用",IF(J1235="已实测","适用性冲突",IF(I1235="","待补不适用依据","不适用（非实测）")),IF(J1235="阻塞",IF(I1235="","待补阻塞原因","阻塞（非实测）"),IF(J1235&lt;&gt;"已实测",IF(F1235="","待展开路径","未实测"),IF(H1235&lt;&gt;"适用","待确认适用性",IF(INDEX(Equipment[登记状态（自动）],MATCH(B1235,Equipment[组合编号],0))&lt;&gt;"已登记","待补设备组合",IF(AND(F1235&lt;&gt;"",G1235&lt;&gt;"",K1235&lt;&gt;"",L1235&lt;&gt;"",M1235&lt;&gt;"",N1235&lt;&gt;"",ISNUMBER(O1235),O1235&gt;0,P1235&lt;&gt;""),"记录齐全","待补实测记录")))))))))))</x:f>
        <x:v>待展开路径</x:v>
      </x:c>
    </x:row>
    <x:row r="1236" ht="43.5" customHeight="1">
      <x:c r="A1236" s="20" t="str">
        <x:v>REC-01227</x:v>
      </x:c>
      <x:c r="B1236" s="20" t="str">
        <x:v>P3-B2-01</x:v>
      </x:c>
      <x:c r="C1236" s="30" t="str">
        <x:f>IF(B1236="","",IF(COUNTIFS(Equipment[组合编号],B1236)&lt;&gt;1,"组合编号无效",INDEX(Equipment[PLC组],MATCH(B1236,Equipment[组合编号],0))))</x:f>
        <x:v>欧姆龙</x:v>
      </x:c>
      <x:c r="D1236" s="30" t="str">
        <x:f>IF(B1236="","",IF(COUNTIFS(Equipment[组合编号],B1236)&lt;&gt;1,"组合编号无效",INDEX(Equipment[驱动品牌],MATCH(B1236,Equipment[组合编号],0))))</x:f>
        <x:v>台达</x:v>
      </x:c>
      <x:c r="E1236" s="20" t="str">
        <x:v>P01</x:v>
      </x:c>
      <x:c r="F1236" s="20"/>
      <x:c r="G1236" s="20"/>
      <x:c r="H1236" s="20" t="str">
        <x:v>待判定</x:v>
      </x:c>
      <x:c r="I1236" s="20"/>
      <x:c r="J1236" s="20" t="str">
        <x:v>未测试</x:v>
      </x:c>
      <x:c r="K1236" s="20"/>
      <x:c r="L1236" s="20"/>
      <x:c r="M1236" s="20"/>
      <x:c r="N1236" s="20"/>
      <x:c r="O1236" s="31"/>
      <x:c r="P1236" s="20"/>
      <x:c r="Q1236" s="20"/>
      <x:c r="R1236" s="20" t="str">
        <x:v>待展开</x:v>
      </x:c>
      <x:c r="S1236" s="20"/>
      <x:c r="T1236" s="31"/>
      <x:c r="U1236" s="30" t="str">
        <x:f>IF(A1236="","缺记录编号",IF(COUNTIFS(PathRecords[记录编号],A1236)&lt;&gt;1,"记录编号重复",IF(OR(B1236="",E1236=""),"缺组合/功能",IF(COUNTIFS(Equipment[组合编号],B1236)&lt;&gt;1,"组合编号无效",IF(COUNTIFS(FunctionMatrix[编号],E1236)=0,"功能编号无效",IF(H1236="不适用",IF(J1236="已实测","适用性冲突",IF(I1236="","待补不适用依据","不适用（非实测）")),IF(J1236="阻塞",IF(I1236="","待补阻塞原因","阻塞（非实测）"),IF(J1236&lt;&gt;"已实测",IF(F1236="","待展开路径","未实测"),IF(H1236&lt;&gt;"适用","待确认适用性",IF(INDEX(Equipment[登记状态（自动）],MATCH(B1236,Equipment[组合编号],0))&lt;&gt;"已登记","待补设备组合",IF(AND(F1236&lt;&gt;"",G1236&lt;&gt;"",K1236&lt;&gt;"",L1236&lt;&gt;"",M1236&lt;&gt;"",N1236&lt;&gt;"",ISNUMBER(O1236),O1236&gt;0,P1236&lt;&gt;""),"记录齐全","待补实测记录")))))))))))</x:f>
        <x:v>待展开路径</x:v>
      </x:c>
    </x:row>
    <x:row r="1237" ht="43.5" customHeight="1">
      <x:c r="A1237" s="20" t="str">
        <x:v>REC-01228</x:v>
      </x:c>
      <x:c r="B1237" s="20" t="str">
        <x:v>P3-B2-01</x:v>
      </x:c>
      <x:c r="C1237" s="30" t="str">
        <x:f>IF(B1237="","",IF(COUNTIFS(Equipment[组合编号],B1237)&lt;&gt;1,"组合编号无效",INDEX(Equipment[PLC组],MATCH(B1237,Equipment[组合编号],0))))</x:f>
        <x:v>欧姆龙</x:v>
      </x:c>
      <x:c r="D1237" s="30" t="str">
        <x:f>IF(B1237="","",IF(COUNTIFS(Equipment[组合编号],B1237)&lt;&gt;1,"组合编号无效",INDEX(Equipment[驱动品牌],MATCH(B1237,Equipment[组合编号],0))))</x:f>
        <x:v>台达</x:v>
      </x:c>
      <x:c r="E1237" s="20" t="str">
        <x:v>P02</x:v>
      </x:c>
      <x:c r="F1237" s="20"/>
      <x:c r="G1237" s="20"/>
      <x:c r="H1237" s="20" t="str">
        <x:v>待判定</x:v>
      </x:c>
      <x:c r="I1237" s="20"/>
      <x:c r="J1237" s="20" t="str">
        <x:v>未测试</x:v>
      </x:c>
      <x:c r="K1237" s="20"/>
      <x:c r="L1237" s="20"/>
      <x:c r="M1237" s="20"/>
      <x:c r="N1237" s="20"/>
      <x:c r="O1237" s="31"/>
      <x:c r="P1237" s="20"/>
      <x:c r="Q1237" s="20"/>
      <x:c r="R1237" s="20" t="str">
        <x:v>待展开</x:v>
      </x:c>
      <x:c r="S1237" s="20"/>
      <x:c r="T1237" s="31"/>
      <x:c r="U1237" s="30" t="str">
        <x:f>IF(A1237="","缺记录编号",IF(COUNTIFS(PathRecords[记录编号],A1237)&lt;&gt;1,"记录编号重复",IF(OR(B1237="",E1237=""),"缺组合/功能",IF(COUNTIFS(Equipment[组合编号],B1237)&lt;&gt;1,"组合编号无效",IF(COUNTIFS(FunctionMatrix[编号],E1237)=0,"功能编号无效",IF(H1237="不适用",IF(J1237="已实测","适用性冲突",IF(I1237="","待补不适用依据","不适用（非实测）")),IF(J1237="阻塞",IF(I1237="","待补阻塞原因","阻塞（非实测）"),IF(J1237&lt;&gt;"已实测",IF(F1237="","待展开路径","未实测"),IF(H1237&lt;&gt;"适用","待确认适用性",IF(INDEX(Equipment[登记状态（自动）],MATCH(B1237,Equipment[组合编号],0))&lt;&gt;"已登记","待补设备组合",IF(AND(F1237&lt;&gt;"",G1237&lt;&gt;"",K1237&lt;&gt;"",L1237&lt;&gt;"",M1237&lt;&gt;"",N1237&lt;&gt;"",ISNUMBER(O1237),O1237&gt;0,P1237&lt;&gt;""),"记录齐全","待补实测记录")))))))))))</x:f>
        <x:v>待展开路径</x:v>
      </x:c>
    </x:row>
    <x:row r="1238" ht="43.5" customHeight="1">
      <x:c r="A1238" s="20" t="str">
        <x:v>REC-01229</x:v>
      </x:c>
      <x:c r="B1238" s="20" t="str">
        <x:v>P3-B2-01</x:v>
      </x:c>
      <x:c r="C1238" s="30" t="str">
        <x:f>IF(B1238="","",IF(COUNTIFS(Equipment[组合编号],B1238)&lt;&gt;1,"组合编号无效",INDEX(Equipment[PLC组],MATCH(B1238,Equipment[组合编号],0))))</x:f>
        <x:v>欧姆龙</x:v>
      </x:c>
      <x:c r="D1238" s="30" t="str">
        <x:f>IF(B1238="","",IF(COUNTIFS(Equipment[组合编号],B1238)&lt;&gt;1,"组合编号无效",INDEX(Equipment[驱动品牌],MATCH(B1238,Equipment[组合编号],0))))</x:f>
        <x:v>台达</x:v>
      </x:c>
      <x:c r="E1238" s="20" t="str">
        <x:v>P03</x:v>
      </x:c>
      <x:c r="F1238" s="20"/>
      <x:c r="G1238" s="20"/>
      <x:c r="H1238" s="20" t="str">
        <x:v>待判定</x:v>
      </x:c>
      <x:c r="I1238" s="20"/>
      <x:c r="J1238" s="20" t="str">
        <x:v>未测试</x:v>
      </x:c>
      <x:c r="K1238" s="20"/>
      <x:c r="L1238" s="20"/>
      <x:c r="M1238" s="20"/>
      <x:c r="N1238" s="20"/>
      <x:c r="O1238" s="31"/>
      <x:c r="P1238" s="20"/>
      <x:c r="Q1238" s="20"/>
      <x:c r="R1238" s="20" t="str">
        <x:v>待展开</x:v>
      </x:c>
      <x:c r="S1238" s="20"/>
      <x:c r="T1238" s="31"/>
      <x:c r="U1238" s="30" t="str">
        <x:f>IF(A1238="","缺记录编号",IF(COUNTIFS(PathRecords[记录编号],A1238)&lt;&gt;1,"记录编号重复",IF(OR(B1238="",E1238=""),"缺组合/功能",IF(COUNTIFS(Equipment[组合编号],B1238)&lt;&gt;1,"组合编号无效",IF(COUNTIFS(FunctionMatrix[编号],E1238)=0,"功能编号无效",IF(H1238="不适用",IF(J1238="已实测","适用性冲突",IF(I1238="","待补不适用依据","不适用（非实测）")),IF(J1238="阻塞",IF(I1238="","待补阻塞原因","阻塞（非实测）"),IF(J1238&lt;&gt;"已实测",IF(F1238="","待展开路径","未实测"),IF(H1238&lt;&gt;"适用","待确认适用性",IF(INDEX(Equipment[登记状态（自动）],MATCH(B1238,Equipment[组合编号],0))&lt;&gt;"已登记","待补设备组合",IF(AND(F1238&lt;&gt;"",G1238&lt;&gt;"",K1238&lt;&gt;"",L1238&lt;&gt;"",M1238&lt;&gt;"",N1238&lt;&gt;"",ISNUMBER(O1238),O1238&gt;0,P1238&lt;&gt;""),"记录齐全","待补实测记录")))))))))))</x:f>
        <x:v>待展开路径</x:v>
      </x:c>
    </x:row>
    <x:row r="1239" ht="43.5" customHeight="1">
      <x:c r="A1239" s="20" t="str">
        <x:v>REC-01230</x:v>
      </x:c>
      <x:c r="B1239" s="20" t="str">
        <x:v>P3-B2-01</x:v>
      </x:c>
      <x:c r="C1239" s="30" t="str">
        <x:f>IF(B1239="","",IF(COUNTIFS(Equipment[组合编号],B1239)&lt;&gt;1,"组合编号无效",INDEX(Equipment[PLC组],MATCH(B1239,Equipment[组合编号],0))))</x:f>
        <x:v>欧姆龙</x:v>
      </x:c>
      <x:c r="D1239" s="30" t="str">
        <x:f>IF(B1239="","",IF(COUNTIFS(Equipment[组合编号],B1239)&lt;&gt;1,"组合编号无效",INDEX(Equipment[驱动品牌],MATCH(B1239,Equipment[组合编号],0))))</x:f>
        <x:v>台达</x:v>
      </x:c>
      <x:c r="E1239" s="20" t="str">
        <x:v>P04</x:v>
      </x:c>
      <x:c r="F1239" s="20"/>
      <x:c r="G1239" s="20"/>
      <x:c r="H1239" s="20" t="str">
        <x:v>待判定</x:v>
      </x:c>
      <x:c r="I1239" s="20"/>
      <x:c r="J1239" s="20" t="str">
        <x:v>未测试</x:v>
      </x:c>
      <x:c r="K1239" s="20"/>
      <x:c r="L1239" s="20"/>
      <x:c r="M1239" s="20"/>
      <x:c r="N1239" s="20"/>
      <x:c r="O1239" s="31"/>
      <x:c r="P1239" s="20"/>
      <x:c r="Q1239" s="20"/>
      <x:c r="R1239" s="20" t="str">
        <x:v>待展开</x:v>
      </x:c>
      <x:c r="S1239" s="20"/>
      <x:c r="T1239" s="31"/>
      <x:c r="U1239" s="30" t="str">
        <x:f>IF(A1239="","缺记录编号",IF(COUNTIFS(PathRecords[记录编号],A1239)&lt;&gt;1,"记录编号重复",IF(OR(B1239="",E1239=""),"缺组合/功能",IF(COUNTIFS(Equipment[组合编号],B1239)&lt;&gt;1,"组合编号无效",IF(COUNTIFS(FunctionMatrix[编号],E1239)=0,"功能编号无效",IF(H1239="不适用",IF(J1239="已实测","适用性冲突",IF(I1239="","待补不适用依据","不适用（非实测）")),IF(J1239="阻塞",IF(I1239="","待补阻塞原因","阻塞（非实测）"),IF(J1239&lt;&gt;"已实测",IF(F1239="","待展开路径","未实测"),IF(H1239&lt;&gt;"适用","待确认适用性",IF(INDEX(Equipment[登记状态（自动）],MATCH(B1239,Equipment[组合编号],0))&lt;&gt;"已登记","待补设备组合",IF(AND(F1239&lt;&gt;"",G1239&lt;&gt;"",K1239&lt;&gt;"",L1239&lt;&gt;"",M1239&lt;&gt;"",N1239&lt;&gt;"",ISNUMBER(O1239),O1239&gt;0,P1239&lt;&gt;""),"记录齐全","待补实测记录")))))))))))</x:f>
        <x:v>待展开路径</x:v>
      </x:c>
    </x:row>
    <x:row r="1240" ht="43.5" customHeight="1">
      <x:c r="A1240" s="20" t="str">
        <x:v>REC-01231</x:v>
      </x:c>
      <x:c r="B1240" s="20" t="str">
        <x:v>P3-B2-01</x:v>
      </x:c>
      <x:c r="C1240" s="30" t="str">
        <x:f>IF(B1240="","",IF(COUNTIFS(Equipment[组合编号],B1240)&lt;&gt;1,"组合编号无效",INDEX(Equipment[PLC组],MATCH(B1240,Equipment[组合编号],0))))</x:f>
        <x:v>欧姆龙</x:v>
      </x:c>
      <x:c r="D1240" s="30" t="str">
        <x:f>IF(B1240="","",IF(COUNTIFS(Equipment[组合编号],B1240)&lt;&gt;1,"组合编号无效",INDEX(Equipment[驱动品牌],MATCH(B1240,Equipment[组合编号],0))))</x:f>
        <x:v>台达</x:v>
      </x:c>
      <x:c r="E1240" s="20" t="str">
        <x:v>P05</x:v>
      </x:c>
      <x:c r="F1240" s="20"/>
      <x:c r="G1240" s="20"/>
      <x:c r="H1240" s="20" t="str">
        <x:v>待判定</x:v>
      </x:c>
      <x:c r="I1240" s="20"/>
      <x:c r="J1240" s="20" t="str">
        <x:v>未测试</x:v>
      </x:c>
      <x:c r="K1240" s="20"/>
      <x:c r="L1240" s="20"/>
      <x:c r="M1240" s="20"/>
      <x:c r="N1240" s="20"/>
      <x:c r="O1240" s="31"/>
      <x:c r="P1240" s="20"/>
      <x:c r="Q1240" s="20"/>
      <x:c r="R1240" s="20" t="str">
        <x:v>待展开</x:v>
      </x:c>
      <x:c r="S1240" s="20"/>
      <x:c r="T1240" s="31"/>
      <x:c r="U1240" s="30" t="str">
        <x:f>IF(A1240="","缺记录编号",IF(COUNTIFS(PathRecords[记录编号],A1240)&lt;&gt;1,"记录编号重复",IF(OR(B1240="",E1240=""),"缺组合/功能",IF(COUNTIFS(Equipment[组合编号],B1240)&lt;&gt;1,"组合编号无效",IF(COUNTIFS(FunctionMatrix[编号],E1240)=0,"功能编号无效",IF(H1240="不适用",IF(J1240="已实测","适用性冲突",IF(I1240="","待补不适用依据","不适用（非实测）")),IF(J1240="阻塞",IF(I1240="","待补阻塞原因","阻塞（非实测）"),IF(J1240&lt;&gt;"已实测",IF(F1240="","待展开路径","未实测"),IF(H1240&lt;&gt;"适用","待确认适用性",IF(INDEX(Equipment[登记状态（自动）],MATCH(B1240,Equipment[组合编号],0))&lt;&gt;"已登记","待补设备组合",IF(AND(F1240&lt;&gt;"",G1240&lt;&gt;"",K1240&lt;&gt;"",L1240&lt;&gt;"",M1240&lt;&gt;"",N1240&lt;&gt;"",ISNUMBER(O1240),O1240&gt;0,P1240&lt;&gt;""),"记录齐全","待补实测记录")))))))))))</x:f>
        <x:v>待展开路径</x:v>
      </x:c>
    </x:row>
    <x:row r="1241" ht="43.5" customHeight="1">
      <x:c r="A1241" s="20" t="str">
        <x:v>REC-01232</x:v>
      </x:c>
      <x:c r="B1241" s="20" t="str">
        <x:v>P3-B2-01</x:v>
      </x:c>
      <x:c r="C1241" s="30" t="str">
        <x:f>IF(B1241="","",IF(COUNTIFS(Equipment[组合编号],B1241)&lt;&gt;1,"组合编号无效",INDEX(Equipment[PLC组],MATCH(B1241,Equipment[组合编号],0))))</x:f>
        <x:v>欧姆龙</x:v>
      </x:c>
      <x:c r="D1241" s="30" t="str">
        <x:f>IF(B1241="","",IF(COUNTIFS(Equipment[组合编号],B1241)&lt;&gt;1,"组合编号无效",INDEX(Equipment[驱动品牌],MATCH(B1241,Equipment[组合编号],0))))</x:f>
        <x:v>台达</x:v>
      </x:c>
      <x:c r="E1241" s="20" t="str">
        <x:v>P06</x:v>
      </x:c>
      <x:c r="F1241" s="20"/>
      <x:c r="G1241" s="20"/>
      <x:c r="H1241" s="20" t="str">
        <x:v>待判定</x:v>
      </x:c>
      <x:c r="I1241" s="20"/>
      <x:c r="J1241" s="20" t="str">
        <x:v>未测试</x:v>
      </x:c>
      <x:c r="K1241" s="20"/>
      <x:c r="L1241" s="20"/>
      <x:c r="M1241" s="20"/>
      <x:c r="N1241" s="20"/>
      <x:c r="O1241" s="31"/>
      <x:c r="P1241" s="20"/>
      <x:c r="Q1241" s="20"/>
      <x:c r="R1241" s="20" t="str">
        <x:v>待展开</x:v>
      </x:c>
      <x:c r="S1241" s="20"/>
      <x:c r="T1241" s="31"/>
      <x:c r="U1241" s="30" t="str">
        <x:f>IF(A1241="","缺记录编号",IF(COUNTIFS(PathRecords[记录编号],A1241)&lt;&gt;1,"记录编号重复",IF(OR(B1241="",E1241=""),"缺组合/功能",IF(COUNTIFS(Equipment[组合编号],B1241)&lt;&gt;1,"组合编号无效",IF(COUNTIFS(FunctionMatrix[编号],E1241)=0,"功能编号无效",IF(H1241="不适用",IF(J1241="已实测","适用性冲突",IF(I1241="","待补不适用依据","不适用（非实测）")),IF(J1241="阻塞",IF(I1241="","待补阻塞原因","阻塞（非实测）"),IF(J1241&lt;&gt;"已实测",IF(F1241="","待展开路径","未实测"),IF(H1241&lt;&gt;"适用","待确认适用性",IF(INDEX(Equipment[登记状态（自动）],MATCH(B1241,Equipment[组合编号],0))&lt;&gt;"已登记","待补设备组合",IF(AND(F1241&lt;&gt;"",G1241&lt;&gt;"",K1241&lt;&gt;"",L1241&lt;&gt;"",M1241&lt;&gt;"",N1241&lt;&gt;"",ISNUMBER(O1241),O1241&gt;0,P1241&lt;&gt;""),"记录齐全","待补实测记录")))))))))))</x:f>
        <x:v>待展开路径</x:v>
      </x:c>
    </x:row>
    <x:row r="1242" ht="43.5" customHeight="1">
      <x:c r="A1242" s="20" t="str">
        <x:v>REC-01233</x:v>
      </x:c>
      <x:c r="B1242" s="20" t="str">
        <x:v>P3-B2-01</x:v>
      </x:c>
      <x:c r="C1242" s="30" t="str">
        <x:f>IF(B1242="","",IF(COUNTIFS(Equipment[组合编号],B1242)&lt;&gt;1,"组合编号无效",INDEX(Equipment[PLC组],MATCH(B1242,Equipment[组合编号],0))))</x:f>
        <x:v>欧姆龙</x:v>
      </x:c>
      <x:c r="D1242" s="30" t="str">
        <x:f>IF(B1242="","",IF(COUNTIFS(Equipment[组合编号],B1242)&lt;&gt;1,"组合编号无效",INDEX(Equipment[驱动品牌],MATCH(B1242,Equipment[组合编号],0))))</x:f>
        <x:v>台达</x:v>
      </x:c>
      <x:c r="E1242" s="20" t="str">
        <x:v>P07</x:v>
      </x:c>
      <x:c r="F1242" s="20"/>
      <x:c r="G1242" s="20"/>
      <x:c r="H1242" s="20" t="str">
        <x:v>待判定</x:v>
      </x:c>
      <x:c r="I1242" s="20"/>
      <x:c r="J1242" s="20" t="str">
        <x:v>未测试</x:v>
      </x:c>
      <x:c r="K1242" s="20"/>
      <x:c r="L1242" s="20"/>
      <x:c r="M1242" s="20"/>
      <x:c r="N1242" s="20"/>
      <x:c r="O1242" s="31"/>
      <x:c r="P1242" s="20"/>
      <x:c r="Q1242" s="20"/>
      <x:c r="R1242" s="20" t="str">
        <x:v>待展开</x:v>
      </x:c>
      <x:c r="S1242" s="20"/>
      <x:c r="T1242" s="31"/>
      <x:c r="U1242" s="30" t="str">
        <x:f>IF(A1242="","缺记录编号",IF(COUNTIFS(PathRecords[记录编号],A1242)&lt;&gt;1,"记录编号重复",IF(OR(B1242="",E1242=""),"缺组合/功能",IF(COUNTIFS(Equipment[组合编号],B1242)&lt;&gt;1,"组合编号无效",IF(COUNTIFS(FunctionMatrix[编号],E1242)=0,"功能编号无效",IF(H1242="不适用",IF(J1242="已实测","适用性冲突",IF(I1242="","待补不适用依据","不适用（非实测）")),IF(J1242="阻塞",IF(I1242="","待补阻塞原因","阻塞（非实测）"),IF(J1242&lt;&gt;"已实测",IF(F1242="","待展开路径","未实测"),IF(H1242&lt;&gt;"适用","待确认适用性",IF(INDEX(Equipment[登记状态（自动）],MATCH(B1242,Equipment[组合编号],0))&lt;&gt;"已登记","待补设备组合",IF(AND(F1242&lt;&gt;"",G1242&lt;&gt;"",K1242&lt;&gt;"",L1242&lt;&gt;"",M1242&lt;&gt;"",N1242&lt;&gt;"",ISNUMBER(O1242),O1242&gt;0,P1242&lt;&gt;""),"记录齐全","待补实测记录")))))))))))</x:f>
        <x:v>待展开路径</x:v>
      </x:c>
    </x:row>
    <x:row r="1243" ht="43.5" customHeight="1">
      <x:c r="A1243" s="20" t="str">
        <x:v>REC-01234</x:v>
      </x:c>
      <x:c r="B1243" s="20" t="str">
        <x:v>P3-B2-01</x:v>
      </x:c>
      <x:c r="C1243" s="30" t="str">
        <x:f>IF(B1243="","",IF(COUNTIFS(Equipment[组合编号],B1243)&lt;&gt;1,"组合编号无效",INDEX(Equipment[PLC组],MATCH(B1243,Equipment[组合编号],0))))</x:f>
        <x:v>欧姆龙</x:v>
      </x:c>
      <x:c r="D1243" s="30" t="str">
        <x:f>IF(B1243="","",IF(COUNTIFS(Equipment[组合编号],B1243)&lt;&gt;1,"组合编号无效",INDEX(Equipment[驱动品牌],MATCH(B1243,Equipment[组合编号],0))))</x:f>
        <x:v>台达</x:v>
      </x:c>
      <x:c r="E1243" s="20" t="str">
        <x:v>P08</x:v>
      </x:c>
      <x:c r="F1243" s="20"/>
      <x:c r="G1243" s="20"/>
      <x:c r="H1243" s="20" t="str">
        <x:v>待判定</x:v>
      </x:c>
      <x:c r="I1243" s="20"/>
      <x:c r="J1243" s="20" t="str">
        <x:v>未测试</x:v>
      </x:c>
      <x:c r="K1243" s="20"/>
      <x:c r="L1243" s="20"/>
      <x:c r="M1243" s="20"/>
      <x:c r="N1243" s="20"/>
      <x:c r="O1243" s="31"/>
      <x:c r="P1243" s="20"/>
      <x:c r="Q1243" s="20"/>
      <x:c r="R1243" s="20" t="str">
        <x:v>待展开</x:v>
      </x:c>
      <x:c r="S1243" s="20"/>
      <x:c r="T1243" s="31"/>
      <x:c r="U1243" s="30" t="str">
        <x:f>IF(A1243="","缺记录编号",IF(COUNTIFS(PathRecords[记录编号],A1243)&lt;&gt;1,"记录编号重复",IF(OR(B1243="",E1243=""),"缺组合/功能",IF(COUNTIFS(Equipment[组合编号],B1243)&lt;&gt;1,"组合编号无效",IF(COUNTIFS(FunctionMatrix[编号],E1243)=0,"功能编号无效",IF(H1243="不适用",IF(J1243="已实测","适用性冲突",IF(I1243="","待补不适用依据","不适用（非实测）")),IF(J1243="阻塞",IF(I1243="","待补阻塞原因","阻塞（非实测）"),IF(J1243&lt;&gt;"已实测",IF(F1243="","待展开路径","未实测"),IF(H1243&lt;&gt;"适用","待确认适用性",IF(INDEX(Equipment[登记状态（自动）],MATCH(B1243,Equipment[组合编号],0))&lt;&gt;"已登记","待补设备组合",IF(AND(F1243&lt;&gt;"",G1243&lt;&gt;"",K1243&lt;&gt;"",L1243&lt;&gt;"",M1243&lt;&gt;"",N1243&lt;&gt;"",ISNUMBER(O1243),O1243&gt;0,P1243&lt;&gt;""),"记录齐全","待补实测记录")))))))))))</x:f>
        <x:v>待展开路径</x:v>
      </x:c>
    </x:row>
    <x:row r="1244" ht="43.5" customHeight="1">
      <x:c r="A1244" s="20" t="str">
        <x:v>REC-01235</x:v>
      </x:c>
      <x:c r="B1244" s="20" t="str">
        <x:v>P3-B2-01</x:v>
      </x:c>
      <x:c r="C1244" s="30" t="str">
        <x:f>IF(B1244="","",IF(COUNTIFS(Equipment[组合编号],B1244)&lt;&gt;1,"组合编号无效",INDEX(Equipment[PLC组],MATCH(B1244,Equipment[组合编号],0))))</x:f>
        <x:v>欧姆龙</x:v>
      </x:c>
      <x:c r="D1244" s="30" t="str">
        <x:f>IF(B1244="","",IF(COUNTIFS(Equipment[组合编号],B1244)&lt;&gt;1,"组合编号无效",INDEX(Equipment[驱动品牌],MATCH(B1244,Equipment[组合编号],0))))</x:f>
        <x:v>台达</x:v>
      </x:c>
      <x:c r="E1244" s="20" t="str">
        <x:v>P09</x:v>
      </x:c>
      <x:c r="F1244" s="20"/>
      <x:c r="G1244" s="20"/>
      <x:c r="H1244" s="20" t="str">
        <x:v>待判定</x:v>
      </x:c>
      <x:c r="I1244" s="20"/>
      <x:c r="J1244" s="20" t="str">
        <x:v>未测试</x:v>
      </x:c>
      <x:c r="K1244" s="20"/>
      <x:c r="L1244" s="20"/>
      <x:c r="M1244" s="20"/>
      <x:c r="N1244" s="20"/>
      <x:c r="O1244" s="31"/>
      <x:c r="P1244" s="20"/>
      <x:c r="Q1244" s="20"/>
      <x:c r="R1244" s="20" t="str">
        <x:v>待展开</x:v>
      </x:c>
      <x:c r="S1244" s="20"/>
      <x:c r="T1244" s="31"/>
      <x:c r="U1244" s="30" t="str">
        <x:f>IF(A1244="","缺记录编号",IF(COUNTIFS(PathRecords[记录编号],A1244)&lt;&gt;1,"记录编号重复",IF(OR(B1244="",E1244=""),"缺组合/功能",IF(COUNTIFS(Equipment[组合编号],B1244)&lt;&gt;1,"组合编号无效",IF(COUNTIFS(FunctionMatrix[编号],E1244)=0,"功能编号无效",IF(H1244="不适用",IF(J1244="已实测","适用性冲突",IF(I1244="","待补不适用依据","不适用（非实测）")),IF(J1244="阻塞",IF(I1244="","待补阻塞原因","阻塞（非实测）"),IF(J1244&lt;&gt;"已实测",IF(F1244="","待展开路径","未实测"),IF(H1244&lt;&gt;"适用","待确认适用性",IF(INDEX(Equipment[登记状态（自动）],MATCH(B1244,Equipment[组合编号],0))&lt;&gt;"已登记","待补设备组合",IF(AND(F1244&lt;&gt;"",G1244&lt;&gt;"",K1244&lt;&gt;"",L1244&lt;&gt;"",M1244&lt;&gt;"",N1244&lt;&gt;"",ISNUMBER(O1244),O1244&gt;0,P1244&lt;&gt;""),"记录齐全","待补实测记录")))))))))))</x:f>
        <x:v>待展开路径</x:v>
      </x:c>
    </x:row>
    <x:row r="1245" ht="43.5" customHeight="1">
      <x:c r="A1245" s="20" t="str">
        <x:v>REC-01236</x:v>
      </x:c>
      <x:c r="B1245" s="20" t="str">
        <x:v>P3-B2-01</x:v>
      </x:c>
      <x:c r="C1245" s="30" t="str">
        <x:f>IF(B1245="","",IF(COUNTIFS(Equipment[组合编号],B1245)&lt;&gt;1,"组合编号无效",INDEX(Equipment[PLC组],MATCH(B1245,Equipment[组合编号],0))))</x:f>
        <x:v>欧姆龙</x:v>
      </x:c>
      <x:c r="D1245" s="30" t="str">
        <x:f>IF(B1245="","",IF(COUNTIFS(Equipment[组合编号],B1245)&lt;&gt;1,"组合编号无效",INDEX(Equipment[驱动品牌],MATCH(B1245,Equipment[组合编号],0))))</x:f>
        <x:v>台达</x:v>
      </x:c>
      <x:c r="E1245" s="20" t="str">
        <x:v>P10</x:v>
      </x:c>
      <x:c r="F1245" s="20"/>
      <x:c r="G1245" s="20"/>
      <x:c r="H1245" s="20" t="str">
        <x:v>待判定</x:v>
      </x:c>
      <x:c r="I1245" s="20"/>
      <x:c r="J1245" s="20" t="str">
        <x:v>未测试</x:v>
      </x:c>
      <x:c r="K1245" s="20"/>
      <x:c r="L1245" s="20"/>
      <x:c r="M1245" s="20"/>
      <x:c r="N1245" s="20"/>
      <x:c r="O1245" s="31"/>
      <x:c r="P1245" s="20"/>
      <x:c r="Q1245" s="20"/>
      <x:c r="R1245" s="20" t="str">
        <x:v>待展开</x:v>
      </x:c>
      <x:c r="S1245" s="20"/>
      <x:c r="T1245" s="31"/>
      <x:c r="U1245" s="30" t="str">
        <x:f>IF(A1245="","缺记录编号",IF(COUNTIFS(PathRecords[记录编号],A1245)&lt;&gt;1,"记录编号重复",IF(OR(B1245="",E1245=""),"缺组合/功能",IF(COUNTIFS(Equipment[组合编号],B1245)&lt;&gt;1,"组合编号无效",IF(COUNTIFS(FunctionMatrix[编号],E1245)=0,"功能编号无效",IF(H1245="不适用",IF(J1245="已实测","适用性冲突",IF(I1245="","待补不适用依据","不适用（非实测）")),IF(J1245="阻塞",IF(I1245="","待补阻塞原因","阻塞（非实测）"),IF(J1245&lt;&gt;"已实测",IF(F1245="","待展开路径","未实测"),IF(H1245&lt;&gt;"适用","待确认适用性",IF(INDEX(Equipment[登记状态（自动）],MATCH(B1245,Equipment[组合编号],0))&lt;&gt;"已登记","待补设备组合",IF(AND(F1245&lt;&gt;"",G1245&lt;&gt;"",K1245&lt;&gt;"",L1245&lt;&gt;"",M1245&lt;&gt;"",N1245&lt;&gt;"",ISNUMBER(O1245),O1245&gt;0,P1245&lt;&gt;""),"记录齐全","待补实测记录")))))))))))</x:f>
        <x:v>待展开路径</x:v>
      </x:c>
    </x:row>
    <x:row r="1246" ht="43.5" customHeight="1">
      <x:c r="A1246" s="20" t="str">
        <x:v>REC-01237</x:v>
      </x:c>
      <x:c r="B1246" s="20" t="str">
        <x:v>P3-B2-01</x:v>
      </x:c>
      <x:c r="C1246" s="30" t="str">
        <x:f>IF(B1246="","",IF(COUNTIFS(Equipment[组合编号],B1246)&lt;&gt;1,"组合编号无效",INDEX(Equipment[PLC组],MATCH(B1246,Equipment[组合编号],0))))</x:f>
        <x:v>欧姆龙</x:v>
      </x:c>
      <x:c r="D1246" s="30" t="str">
        <x:f>IF(B1246="","",IF(COUNTIFS(Equipment[组合编号],B1246)&lt;&gt;1,"组合编号无效",INDEX(Equipment[驱动品牌],MATCH(B1246,Equipment[组合编号],0))))</x:f>
        <x:v>台达</x:v>
      </x:c>
      <x:c r="E1246" s="20" t="str">
        <x:v>A01</x:v>
      </x:c>
      <x:c r="F1246" s="20"/>
      <x:c r="G1246" s="20"/>
      <x:c r="H1246" s="20" t="str">
        <x:v>待判定</x:v>
      </x:c>
      <x:c r="I1246" s="20"/>
      <x:c r="J1246" s="20" t="str">
        <x:v>未测试</x:v>
      </x:c>
      <x:c r="K1246" s="20"/>
      <x:c r="L1246" s="20"/>
      <x:c r="M1246" s="20"/>
      <x:c r="N1246" s="20"/>
      <x:c r="O1246" s="31"/>
      <x:c r="P1246" s="20"/>
      <x:c r="Q1246" s="20"/>
      <x:c r="R1246" s="20" t="str">
        <x:v>待展开</x:v>
      </x:c>
      <x:c r="S1246" s="20"/>
      <x:c r="T1246" s="31"/>
      <x:c r="U1246" s="30" t="str">
        <x:f>IF(A1246="","缺记录编号",IF(COUNTIFS(PathRecords[记录编号],A1246)&lt;&gt;1,"记录编号重复",IF(OR(B1246="",E1246=""),"缺组合/功能",IF(COUNTIFS(Equipment[组合编号],B1246)&lt;&gt;1,"组合编号无效",IF(COUNTIFS(FunctionMatrix[编号],E1246)=0,"功能编号无效",IF(H1246="不适用",IF(J1246="已实测","适用性冲突",IF(I1246="","待补不适用依据","不适用（非实测）")),IF(J1246="阻塞",IF(I1246="","待补阻塞原因","阻塞（非实测）"),IF(J1246&lt;&gt;"已实测",IF(F1246="","待展开路径","未实测"),IF(H1246&lt;&gt;"适用","待确认适用性",IF(INDEX(Equipment[登记状态（自动）],MATCH(B1246,Equipment[组合编号],0))&lt;&gt;"已登记","待补设备组合",IF(AND(F1246&lt;&gt;"",G1246&lt;&gt;"",K1246&lt;&gt;"",L1246&lt;&gt;"",M1246&lt;&gt;"",N1246&lt;&gt;"",ISNUMBER(O1246),O1246&gt;0,P1246&lt;&gt;""),"记录齐全","待补实测记录")))))))))))</x:f>
        <x:v>待展开路径</x:v>
      </x:c>
    </x:row>
    <x:row r="1247" ht="43.5" customHeight="1">
      <x:c r="A1247" s="20" t="str">
        <x:v>REC-01238</x:v>
      </x:c>
      <x:c r="B1247" s="20" t="str">
        <x:v>P3-B2-01</x:v>
      </x:c>
      <x:c r="C1247" s="30" t="str">
        <x:f>IF(B1247="","",IF(COUNTIFS(Equipment[组合编号],B1247)&lt;&gt;1,"组合编号无效",INDEX(Equipment[PLC组],MATCH(B1247,Equipment[组合编号],0))))</x:f>
        <x:v>欧姆龙</x:v>
      </x:c>
      <x:c r="D1247" s="30" t="str">
        <x:f>IF(B1247="","",IF(COUNTIFS(Equipment[组合编号],B1247)&lt;&gt;1,"组合编号无效",INDEX(Equipment[驱动品牌],MATCH(B1247,Equipment[组合编号],0))))</x:f>
        <x:v>台达</x:v>
      </x:c>
      <x:c r="E1247" s="20" t="str">
        <x:v>A02</x:v>
      </x:c>
      <x:c r="F1247" s="20"/>
      <x:c r="G1247" s="20"/>
      <x:c r="H1247" s="20" t="str">
        <x:v>待判定</x:v>
      </x:c>
      <x:c r="I1247" s="20"/>
      <x:c r="J1247" s="20" t="str">
        <x:v>未测试</x:v>
      </x:c>
      <x:c r="K1247" s="20"/>
      <x:c r="L1247" s="20"/>
      <x:c r="M1247" s="20"/>
      <x:c r="N1247" s="20"/>
      <x:c r="O1247" s="31"/>
      <x:c r="P1247" s="20"/>
      <x:c r="Q1247" s="20"/>
      <x:c r="R1247" s="20" t="str">
        <x:v>待展开</x:v>
      </x:c>
      <x:c r="S1247" s="20"/>
      <x:c r="T1247" s="31"/>
      <x:c r="U1247" s="30" t="str">
        <x:f>IF(A1247="","缺记录编号",IF(COUNTIFS(PathRecords[记录编号],A1247)&lt;&gt;1,"记录编号重复",IF(OR(B1247="",E1247=""),"缺组合/功能",IF(COUNTIFS(Equipment[组合编号],B1247)&lt;&gt;1,"组合编号无效",IF(COUNTIFS(FunctionMatrix[编号],E1247)=0,"功能编号无效",IF(H1247="不适用",IF(J1247="已实测","适用性冲突",IF(I1247="","待补不适用依据","不适用（非实测）")),IF(J1247="阻塞",IF(I1247="","待补阻塞原因","阻塞（非实测）"),IF(J1247&lt;&gt;"已实测",IF(F1247="","待展开路径","未实测"),IF(H1247&lt;&gt;"适用","待确认适用性",IF(INDEX(Equipment[登记状态（自动）],MATCH(B1247,Equipment[组合编号],0))&lt;&gt;"已登记","待补设备组合",IF(AND(F1247&lt;&gt;"",G1247&lt;&gt;"",K1247&lt;&gt;"",L1247&lt;&gt;"",M1247&lt;&gt;"",N1247&lt;&gt;"",ISNUMBER(O1247),O1247&gt;0,P1247&lt;&gt;""),"记录齐全","待补实测记录")))))))))))</x:f>
        <x:v>待展开路径</x:v>
      </x:c>
    </x:row>
    <x:row r="1248" ht="43.5" customHeight="1">
      <x:c r="A1248" s="20" t="str">
        <x:v>REC-01239</x:v>
      </x:c>
      <x:c r="B1248" s="20" t="str">
        <x:v>P3-B2-01</x:v>
      </x:c>
      <x:c r="C1248" s="30" t="str">
        <x:f>IF(B1248="","",IF(COUNTIFS(Equipment[组合编号],B1248)&lt;&gt;1,"组合编号无效",INDEX(Equipment[PLC组],MATCH(B1248,Equipment[组合编号],0))))</x:f>
        <x:v>欧姆龙</x:v>
      </x:c>
      <x:c r="D1248" s="30" t="str">
        <x:f>IF(B1248="","",IF(COUNTIFS(Equipment[组合编号],B1248)&lt;&gt;1,"组合编号无效",INDEX(Equipment[驱动品牌],MATCH(B1248,Equipment[组合编号],0))))</x:f>
        <x:v>台达</x:v>
      </x:c>
      <x:c r="E1248" s="20" t="str">
        <x:v>A03</x:v>
      </x:c>
      <x:c r="F1248" s="20"/>
      <x:c r="G1248" s="20"/>
      <x:c r="H1248" s="20" t="str">
        <x:v>待判定</x:v>
      </x:c>
      <x:c r="I1248" s="20"/>
      <x:c r="J1248" s="20" t="str">
        <x:v>未测试</x:v>
      </x:c>
      <x:c r="K1248" s="20"/>
      <x:c r="L1248" s="20"/>
      <x:c r="M1248" s="20"/>
      <x:c r="N1248" s="20"/>
      <x:c r="O1248" s="31"/>
      <x:c r="P1248" s="20"/>
      <x:c r="Q1248" s="20"/>
      <x:c r="R1248" s="20" t="str">
        <x:v>待展开</x:v>
      </x:c>
      <x:c r="S1248" s="20"/>
      <x:c r="T1248" s="31"/>
      <x:c r="U1248" s="30" t="str">
        <x:f>IF(A1248="","缺记录编号",IF(COUNTIFS(PathRecords[记录编号],A1248)&lt;&gt;1,"记录编号重复",IF(OR(B1248="",E1248=""),"缺组合/功能",IF(COUNTIFS(Equipment[组合编号],B1248)&lt;&gt;1,"组合编号无效",IF(COUNTIFS(FunctionMatrix[编号],E1248)=0,"功能编号无效",IF(H1248="不适用",IF(J1248="已实测","适用性冲突",IF(I1248="","待补不适用依据","不适用（非实测）")),IF(J1248="阻塞",IF(I1248="","待补阻塞原因","阻塞（非实测）"),IF(J1248&lt;&gt;"已实测",IF(F1248="","待展开路径","未实测"),IF(H1248&lt;&gt;"适用","待确认适用性",IF(INDEX(Equipment[登记状态（自动）],MATCH(B1248,Equipment[组合编号],0))&lt;&gt;"已登记","待补设备组合",IF(AND(F1248&lt;&gt;"",G1248&lt;&gt;"",K1248&lt;&gt;"",L1248&lt;&gt;"",M1248&lt;&gt;"",N1248&lt;&gt;"",ISNUMBER(O1248),O1248&gt;0,P1248&lt;&gt;""),"记录齐全","待补实测记录")))))))))))</x:f>
        <x:v>待展开路径</x:v>
      </x:c>
    </x:row>
    <x:row r="1249" ht="43.5" customHeight="1">
      <x:c r="A1249" s="20" t="str">
        <x:v>REC-01240</x:v>
      </x:c>
      <x:c r="B1249" s="20" t="str">
        <x:v>P3-B2-01</x:v>
      </x:c>
      <x:c r="C1249" s="30" t="str">
        <x:f>IF(B1249="","",IF(COUNTIFS(Equipment[组合编号],B1249)&lt;&gt;1,"组合编号无效",INDEX(Equipment[PLC组],MATCH(B1249,Equipment[组合编号],0))))</x:f>
        <x:v>欧姆龙</x:v>
      </x:c>
      <x:c r="D1249" s="30" t="str">
        <x:f>IF(B1249="","",IF(COUNTIFS(Equipment[组合编号],B1249)&lt;&gt;1,"组合编号无效",INDEX(Equipment[驱动品牌],MATCH(B1249,Equipment[组合编号],0))))</x:f>
        <x:v>台达</x:v>
      </x:c>
      <x:c r="E1249" s="20" t="str">
        <x:v>A04</x:v>
      </x:c>
      <x:c r="F1249" s="20"/>
      <x:c r="G1249" s="20"/>
      <x:c r="H1249" s="20" t="str">
        <x:v>待判定</x:v>
      </x:c>
      <x:c r="I1249" s="20"/>
      <x:c r="J1249" s="20" t="str">
        <x:v>未测试</x:v>
      </x:c>
      <x:c r="K1249" s="20"/>
      <x:c r="L1249" s="20"/>
      <x:c r="M1249" s="20"/>
      <x:c r="N1249" s="20"/>
      <x:c r="O1249" s="31"/>
      <x:c r="P1249" s="20"/>
      <x:c r="Q1249" s="20"/>
      <x:c r="R1249" s="20" t="str">
        <x:v>待展开</x:v>
      </x:c>
      <x:c r="S1249" s="20"/>
      <x:c r="T1249" s="31"/>
      <x:c r="U1249" s="30" t="str">
        <x:f>IF(A1249="","缺记录编号",IF(COUNTIFS(PathRecords[记录编号],A1249)&lt;&gt;1,"记录编号重复",IF(OR(B1249="",E1249=""),"缺组合/功能",IF(COUNTIFS(Equipment[组合编号],B1249)&lt;&gt;1,"组合编号无效",IF(COUNTIFS(FunctionMatrix[编号],E1249)=0,"功能编号无效",IF(H1249="不适用",IF(J1249="已实测","适用性冲突",IF(I1249="","待补不适用依据","不适用（非实测）")),IF(J1249="阻塞",IF(I1249="","待补阻塞原因","阻塞（非实测）"),IF(J1249&lt;&gt;"已实测",IF(F1249="","待展开路径","未实测"),IF(H1249&lt;&gt;"适用","待确认适用性",IF(INDEX(Equipment[登记状态（自动）],MATCH(B1249,Equipment[组合编号],0))&lt;&gt;"已登记","待补设备组合",IF(AND(F1249&lt;&gt;"",G1249&lt;&gt;"",K1249&lt;&gt;"",L1249&lt;&gt;"",M1249&lt;&gt;"",N1249&lt;&gt;"",ISNUMBER(O1249),O1249&gt;0,P1249&lt;&gt;""),"记录齐全","待补实测记录")))))))))))</x:f>
        <x:v>待展开路径</x:v>
      </x:c>
    </x:row>
    <x:row r="1250" ht="43.5" customHeight="1">
      <x:c r="A1250" s="20" t="str">
        <x:v>REC-01241</x:v>
      </x:c>
      <x:c r="B1250" s="20" t="str">
        <x:v>P3-B2-01</x:v>
      </x:c>
      <x:c r="C1250" s="30" t="str">
        <x:f>IF(B1250="","",IF(COUNTIFS(Equipment[组合编号],B1250)&lt;&gt;1,"组合编号无效",INDEX(Equipment[PLC组],MATCH(B1250,Equipment[组合编号],0))))</x:f>
        <x:v>欧姆龙</x:v>
      </x:c>
      <x:c r="D1250" s="30" t="str">
        <x:f>IF(B1250="","",IF(COUNTIFS(Equipment[组合编号],B1250)&lt;&gt;1,"组合编号无效",INDEX(Equipment[驱动品牌],MATCH(B1250,Equipment[组合编号],0))))</x:f>
        <x:v>台达</x:v>
      </x:c>
      <x:c r="E1250" s="20" t="str">
        <x:v>A05</x:v>
      </x:c>
      <x:c r="F1250" s="20"/>
      <x:c r="G1250" s="20"/>
      <x:c r="H1250" s="20" t="str">
        <x:v>待判定</x:v>
      </x:c>
      <x:c r="I1250" s="20"/>
      <x:c r="J1250" s="20" t="str">
        <x:v>未测试</x:v>
      </x:c>
      <x:c r="K1250" s="20"/>
      <x:c r="L1250" s="20"/>
      <x:c r="M1250" s="20"/>
      <x:c r="N1250" s="20"/>
      <x:c r="O1250" s="31"/>
      <x:c r="P1250" s="20"/>
      <x:c r="Q1250" s="20"/>
      <x:c r="R1250" s="20" t="str">
        <x:v>待展开</x:v>
      </x:c>
      <x:c r="S1250" s="20"/>
      <x:c r="T1250" s="31"/>
      <x:c r="U1250" s="30" t="str">
        <x:f>IF(A1250="","缺记录编号",IF(COUNTIFS(PathRecords[记录编号],A1250)&lt;&gt;1,"记录编号重复",IF(OR(B1250="",E1250=""),"缺组合/功能",IF(COUNTIFS(Equipment[组合编号],B1250)&lt;&gt;1,"组合编号无效",IF(COUNTIFS(FunctionMatrix[编号],E1250)=0,"功能编号无效",IF(H1250="不适用",IF(J1250="已实测","适用性冲突",IF(I1250="","待补不适用依据","不适用（非实测）")),IF(J1250="阻塞",IF(I1250="","待补阻塞原因","阻塞（非实测）"),IF(J1250&lt;&gt;"已实测",IF(F1250="","待展开路径","未实测"),IF(H1250&lt;&gt;"适用","待确认适用性",IF(INDEX(Equipment[登记状态（自动）],MATCH(B1250,Equipment[组合编号],0))&lt;&gt;"已登记","待补设备组合",IF(AND(F1250&lt;&gt;"",G1250&lt;&gt;"",K1250&lt;&gt;"",L1250&lt;&gt;"",M1250&lt;&gt;"",N1250&lt;&gt;"",ISNUMBER(O1250),O1250&gt;0,P1250&lt;&gt;""),"记录齐全","待补实测记录")))))))))))</x:f>
        <x:v>待展开路径</x:v>
      </x:c>
    </x:row>
    <x:row r="1251" ht="43.5" customHeight="1">
      <x:c r="A1251" s="20" t="str">
        <x:v>REC-01242</x:v>
      </x:c>
      <x:c r="B1251" s="20" t="str">
        <x:v>P3-B2-01</x:v>
      </x:c>
      <x:c r="C1251" s="30" t="str">
        <x:f>IF(B1251="","",IF(COUNTIFS(Equipment[组合编号],B1251)&lt;&gt;1,"组合编号无效",INDEX(Equipment[PLC组],MATCH(B1251,Equipment[组合编号],0))))</x:f>
        <x:v>欧姆龙</x:v>
      </x:c>
      <x:c r="D1251" s="30" t="str">
        <x:f>IF(B1251="","",IF(COUNTIFS(Equipment[组合编号],B1251)&lt;&gt;1,"组合编号无效",INDEX(Equipment[驱动品牌],MATCH(B1251,Equipment[组合编号],0))))</x:f>
        <x:v>台达</x:v>
      </x:c>
      <x:c r="E1251" s="20" t="str">
        <x:v>A06</x:v>
      </x:c>
      <x:c r="F1251" s="20"/>
      <x:c r="G1251" s="20"/>
      <x:c r="H1251" s="20" t="str">
        <x:v>待判定</x:v>
      </x:c>
      <x:c r="I1251" s="20"/>
      <x:c r="J1251" s="20" t="str">
        <x:v>未测试</x:v>
      </x:c>
      <x:c r="K1251" s="20"/>
      <x:c r="L1251" s="20"/>
      <x:c r="M1251" s="20"/>
      <x:c r="N1251" s="20"/>
      <x:c r="O1251" s="31"/>
      <x:c r="P1251" s="20"/>
      <x:c r="Q1251" s="20"/>
      <x:c r="R1251" s="20" t="str">
        <x:v>待展开</x:v>
      </x:c>
      <x:c r="S1251" s="20"/>
      <x:c r="T1251" s="31"/>
      <x:c r="U1251" s="30" t="str">
        <x:f>IF(A1251="","缺记录编号",IF(COUNTIFS(PathRecords[记录编号],A1251)&lt;&gt;1,"记录编号重复",IF(OR(B1251="",E1251=""),"缺组合/功能",IF(COUNTIFS(Equipment[组合编号],B1251)&lt;&gt;1,"组合编号无效",IF(COUNTIFS(FunctionMatrix[编号],E1251)=0,"功能编号无效",IF(H1251="不适用",IF(J1251="已实测","适用性冲突",IF(I1251="","待补不适用依据","不适用（非实测）")),IF(J1251="阻塞",IF(I1251="","待补阻塞原因","阻塞（非实测）"),IF(J1251&lt;&gt;"已实测",IF(F1251="","待展开路径","未实测"),IF(H1251&lt;&gt;"适用","待确认适用性",IF(INDEX(Equipment[登记状态（自动）],MATCH(B1251,Equipment[组合编号],0))&lt;&gt;"已登记","待补设备组合",IF(AND(F1251&lt;&gt;"",G1251&lt;&gt;"",K1251&lt;&gt;"",L1251&lt;&gt;"",M1251&lt;&gt;"",N1251&lt;&gt;"",ISNUMBER(O1251),O1251&gt;0,P1251&lt;&gt;""),"记录齐全","待补实测记录")))))))))))</x:f>
        <x:v>待展开路径</x:v>
      </x:c>
    </x:row>
    <x:row r="1252" ht="43.5" customHeight="1">
      <x:c r="A1252" s="20" t="str">
        <x:v>REC-01243</x:v>
      </x:c>
      <x:c r="B1252" s="20" t="str">
        <x:v>P3-B2-01</x:v>
      </x:c>
      <x:c r="C1252" s="30" t="str">
        <x:f>IF(B1252="","",IF(COUNTIFS(Equipment[组合编号],B1252)&lt;&gt;1,"组合编号无效",INDEX(Equipment[PLC组],MATCH(B1252,Equipment[组合编号],0))))</x:f>
        <x:v>欧姆龙</x:v>
      </x:c>
      <x:c r="D1252" s="30" t="str">
        <x:f>IF(B1252="","",IF(COUNTIFS(Equipment[组合编号],B1252)&lt;&gt;1,"组合编号无效",INDEX(Equipment[驱动品牌],MATCH(B1252,Equipment[组合编号],0))))</x:f>
        <x:v>台达</x:v>
      </x:c>
      <x:c r="E1252" s="20" t="str">
        <x:v>A07</x:v>
      </x:c>
      <x:c r="F1252" s="20"/>
      <x:c r="G1252" s="20"/>
      <x:c r="H1252" s="20" t="str">
        <x:v>待判定</x:v>
      </x:c>
      <x:c r="I1252" s="20"/>
      <x:c r="J1252" s="20" t="str">
        <x:v>未测试</x:v>
      </x:c>
      <x:c r="K1252" s="20"/>
      <x:c r="L1252" s="20"/>
      <x:c r="M1252" s="20"/>
      <x:c r="N1252" s="20"/>
      <x:c r="O1252" s="31"/>
      <x:c r="P1252" s="20"/>
      <x:c r="Q1252" s="20"/>
      <x:c r="R1252" s="20" t="str">
        <x:v>待展开</x:v>
      </x:c>
      <x:c r="S1252" s="20"/>
      <x:c r="T1252" s="31"/>
      <x:c r="U1252" s="30" t="str">
        <x:f>IF(A1252="","缺记录编号",IF(COUNTIFS(PathRecords[记录编号],A1252)&lt;&gt;1,"记录编号重复",IF(OR(B1252="",E1252=""),"缺组合/功能",IF(COUNTIFS(Equipment[组合编号],B1252)&lt;&gt;1,"组合编号无效",IF(COUNTIFS(FunctionMatrix[编号],E1252)=0,"功能编号无效",IF(H1252="不适用",IF(J1252="已实测","适用性冲突",IF(I1252="","待补不适用依据","不适用（非实测）")),IF(J1252="阻塞",IF(I1252="","待补阻塞原因","阻塞（非实测）"),IF(J1252&lt;&gt;"已实测",IF(F1252="","待展开路径","未实测"),IF(H1252&lt;&gt;"适用","待确认适用性",IF(INDEX(Equipment[登记状态（自动）],MATCH(B1252,Equipment[组合编号],0))&lt;&gt;"已登记","待补设备组合",IF(AND(F1252&lt;&gt;"",G1252&lt;&gt;"",K1252&lt;&gt;"",L1252&lt;&gt;"",M1252&lt;&gt;"",N1252&lt;&gt;"",ISNUMBER(O1252),O1252&gt;0,P1252&lt;&gt;""),"记录齐全","待补实测记录")))))))))))</x:f>
        <x:v>待展开路径</x:v>
      </x:c>
    </x:row>
    <x:row r="1253" ht="43.5" customHeight="1">
      <x:c r="A1253" s="20" t="str">
        <x:v>REC-01244</x:v>
      </x:c>
      <x:c r="B1253" s="20" t="str">
        <x:v>P3-B2-01</x:v>
      </x:c>
      <x:c r="C1253" s="30" t="str">
        <x:f>IF(B1253="","",IF(COUNTIFS(Equipment[组合编号],B1253)&lt;&gt;1,"组合编号无效",INDEX(Equipment[PLC组],MATCH(B1253,Equipment[组合编号],0))))</x:f>
        <x:v>欧姆龙</x:v>
      </x:c>
      <x:c r="D1253" s="30" t="str">
        <x:f>IF(B1253="","",IF(COUNTIFS(Equipment[组合编号],B1253)&lt;&gt;1,"组合编号无效",INDEX(Equipment[驱动品牌],MATCH(B1253,Equipment[组合编号],0))))</x:f>
        <x:v>台达</x:v>
      </x:c>
      <x:c r="E1253" s="20" t="str">
        <x:v>A08</x:v>
      </x:c>
      <x:c r="F1253" s="20"/>
      <x:c r="G1253" s="20"/>
      <x:c r="H1253" s="20" t="str">
        <x:v>待判定</x:v>
      </x:c>
      <x:c r="I1253" s="20"/>
      <x:c r="J1253" s="20" t="str">
        <x:v>未测试</x:v>
      </x:c>
      <x:c r="K1253" s="20"/>
      <x:c r="L1253" s="20"/>
      <x:c r="M1253" s="20"/>
      <x:c r="N1253" s="20"/>
      <x:c r="O1253" s="31"/>
      <x:c r="P1253" s="20"/>
      <x:c r="Q1253" s="20"/>
      <x:c r="R1253" s="20" t="str">
        <x:v>待展开</x:v>
      </x:c>
      <x:c r="S1253" s="20"/>
      <x:c r="T1253" s="31"/>
      <x:c r="U1253" s="30" t="str">
        <x:f>IF(A1253="","缺记录编号",IF(COUNTIFS(PathRecords[记录编号],A1253)&lt;&gt;1,"记录编号重复",IF(OR(B1253="",E1253=""),"缺组合/功能",IF(COUNTIFS(Equipment[组合编号],B1253)&lt;&gt;1,"组合编号无效",IF(COUNTIFS(FunctionMatrix[编号],E1253)=0,"功能编号无效",IF(H1253="不适用",IF(J1253="已实测","适用性冲突",IF(I1253="","待补不适用依据","不适用（非实测）")),IF(J1253="阻塞",IF(I1253="","待补阻塞原因","阻塞（非实测）"),IF(J1253&lt;&gt;"已实测",IF(F1253="","待展开路径","未实测"),IF(H1253&lt;&gt;"适用","待确认适用性",IF(INDEX(Equipment[登记状态（自动）],MATCH(B1253,Equipment[组合编号],0))&lt;&gt;"已登记","待补设备组合",IF(AND(F1253&lt;&gt;"",G1253&lt;&gt;"",K1253&lt;&gt;"",L1253&lt;&gt;"",M1253&lt;&gt;"",N1253&lt;&gt;"",ISNUMBER(O1253),O1253&gt;0,P1253&lt;&gt;""),"记录齐全","待补实测记录")))))))))))</x:f>
        <x:v>待展开路径</x:v>
      </x:c>
    </x:row>
    <x:row r="1254" ht="43.5" customHeight="1">
      <x:c r="A1254" s="20" t="str">
        <x:v>REC-01245</x:v>
      </x:c>
      <x:c r="B1254" s="20" t="str">
        <x:v>P3-B2-01</x:v>
      </x:c>
      <x:c r="C1254" s="30" t="str">
        <x:f>IF(B1254="","",IF(COUNTIFS(Equipment[组合编号],B1254)&lt;&gt;1,"组合编号无效",INDEX(Equipment[PLC组],MATCH(B1254,Equipment[组合编号],0))))</x:f>
        <x:v>欧姆龙</x:v>
      </x:c>
      <x:c r="D1254" s="30" t="str">
        <x:f>IF(B1254="","",IF(COUNTIFS(Equipment[组合编号],B1254)&lt;&gt;1,"组合编号无效",INDEX(Equipment[驱动品牌],MATCH(B1254,Equipment[组合编号],0))))</x:f>
        <x:v>台达</x:v>
      </x:c>
      <x:c r="E1254" s="20" t="str">
        <x:v>A09</x:v>
      </x:c>
      <x:c r="F1254" s="20"/>
      <x:c r="G1254" s="20"/>
      <x:c r="H1254" s="20" t="str">
        <x:v>待判定</x:v>
      </x:c>
      <x:c r="I1254" s="20"/>
      <x:c r="J1254" s="20" t="str">
        <x:v>未测试</x:v>
      </x:c>
      <x:c r="K1254" s="20"/>
      <x:c r="L1254" s="20"/>
      <x:c r="M1254" s="20"/>
      <x:c r="N1254" s="20"/>
      <x:c r="O1254" s="31"/>
      <x:c r="P1254" s="20"/>
      <x:c r="Q1254" s="20"/>
      <x:c r="R1254" s="20" t="str">
        <x:v>待展开</x:v>
      </x:c>
      <x:c r="S1254" s="20"/>
      <x:c r="T1254" s="31"/>
      <x:c r="U1254" s="30" t="str">
        <x:f>IF(A1254="","缺记录编号",IF(COUNTIFS(PathRecords[记录编号],A1254)&lt;&gt;1,"记录编号重复",IF(OR(B1254="",E1254=""),"缺组合/功能",IF(COUNTIFS(Equipment[组合编号],B1254)&lt;&gt;1,"组合编号无效",IF(COUNTIFS(FunctionMatrix[编号],E1254)=0,"功能编号无效",IF(H1254="不适用",IF(J1254="已实测","适用性冲突",IF(I1254="","待补不适用依据","不适用（非实测）")),IF(J1254="阻塞",IF(I1254="","待补阻塞原因","阻塞（非实测）"),IF(J1254&lt;&gt;"已实测",IF(F1254="","待展开路径","未实测"),IF(H1254&lt;&gt;"适用","待确认适用性",IF(INDEX(Equipment[登记状态（自动）],MATCH(B1254,Equipment[组合编号],0))&lt;&gt;"已登记","待补设备组合",IF(AND(F1254&lt;&gt;"",G1254&lt;&gt;"",K1254&lt;&gt;"",L1254&lt;&gt;"",M1254&lt;&gt;"",N1254&lt;&gt;"",ISNUMBER(O1254),O1254&gt;0,P1254&lt;&gt;""),"记录齐全","待补实测记录")))))))))))</x:f>
        <x:v>待展开路径</x:v>
      </x:c>
    </x:row>
    <x:row r="1255" ht="43.5" customHeight="1">
      <x:c r="A1255" s="20" t="str">
        <x:v>REC-01246</x:v>
      </x:c>
      <x:c r="B1255" s="20" t="str">
        <x:v>P3-B2-01</x:v>
      </x:c>
      <x:c r="C1255" s="30" t="str">
        <x:f>IF(B1255="","",IF(COUNTIFS(Equipment[组合编号],B1255)&lt;&gt;1,"组合编号无效",INDEX(Equipment[PLC组],MATCH(B1255,Equipment[组合编号],0))))</x:f>
        <x:v>欧姆龙</x:v>
      </x:c>
      <x:c r="D1255" s="30" t="str">
        <x:f>IF(B1255="","",IF(COUNTIFS(Equipment[组合编号],B1255)&lt;&gt;1,"组合编号无效",INDEX(Equipment[驱动品牌],MATCH(B1255,Equipment[组合编号],0))))</x:f>
        <x:v>台达</x:v>
      </x:c>
      <x:c r="E1255" s="20" t="str">
        <x:v>C01</x:v>
      </x:c>
      <x:c r="F1255" s="20"/>
      <x:c r="G1255" s="20"/>
      <x:c r="H1255" s="20" t="str">
        <x:v>待判定</x:v>
      </x:c>
      <x:c r="I1255" s="20"/>
      <x:c r="J1255" s="20" t="str">
        <x:v>未测试</x:v>
      </x:c>
      <x:c r="K1255" s="20"/>
      <x:c r="L1255" s="20"/>
      <x:c r="M1255" s="20"/>
      <x:c r="N1255" s="20"/>
      <x:c r="O1255" s="31"/>
      <x:c r="P1255" s="20"/>
      <x:c r="Q1255" s="20"/>
      <x:c r="R1255" s="20" t="str">
        <x:v>待展开</x:v>
      </x:c>
      <x:c r="S1255" s="20"/>
      <x:c r="T1255" s="31"/>
      <x:c r="U1255" s="30" t="str">
        <x:f>IF(A1255="","缺记录编号",IF(COUNTIFS(PathRecords[记录编号],A1255)&lt;&gt;1,"记录编号重复",IF(OR(B1255="",E1255=""),"缺组合/功能",IF(COUNTIFS(Equipment[组合编号],B1255)&lt;&gt;1,"组合编号无效",IF(COUNTIFS(FunctionMatrix[编号],E1255)=0,"功能编号无效",IF(H1255="不适用",IF(J1255="已实测","适用性冲突",IF(I1255="","待补不适用依据","不适用（非实测）")),IF(J1255="阻塞",IF(I1255="","待补阻塞原因","阻塞（非实测）"),IF(J1255&lt;&gt;"已实测",IF(F1255="","待展开路径","未实测"),IF(H1255&lt;&gt;"适用","待确认适用性",IF(INDEX(Equipment[登记状态（自动）],MATCH(B1255,Equipment[组合编号],0))&lt;&gt;"已登记","待补设备组合",IF(AND(F1255&lt;&gt;"",G1255&lt;&gt;"",K1255&lt;&gt;"",L1255&lt;&gt;"",M1255&lt;&gt;"",N1255&lt;&gt;"",ISNUMBER(O1255),O1255&gt;0,P1255&lt;&gt;""),"记录齐全","待补实测记录")))))))))))</x:f>
        <x:v>待展开路径</x:v>
      </x:c>
    </x:row>
    <x:row r="1256" ht="43.5" customHeight="1">
      <x:c r="A1256" s="20" t="str">
        <x:v>REC-01247</x:v>
      </x:c>
      <x:c r="B1256" s="20" t="str">
        <x:v>P3-B2-01</x:v>
      </x:c>
      <x:c r="C1256" s="30" t="str">
        <x:f>IF(B1256="","",IF(COUNTIFS(Equipment[组合编号],B1256)&lt;&gt;1,"组合编号无效",INDEX(Equipment[PLC组],MATCH(B1256,Equipment[组合编号],0))))</x:f>
        <x:v>欧姆龙</x:v>
      </x:c>
      <x:c r="D1256" s="30" t="str">
        <x:f>IF(B1256="","",IF(COUNTIFS(Equipment[组合编号],B1256)&lt;&gt;1,"组合编号无效",INDEX(Equipment[驱动品牌],MATCH(B1256,Equipment[组合编号],0))))</x:f>
        <x:v>台达</x:v>
      </x:c>
      <x:c r="E1256" s="20" t="str">
        <x:v>C02</x:v>
      </x:c>
      <x:c r="F1256" s="20"/>
      <x:c r="G1256" s="20"/>
      <x:c r="H1256" s="20" t="str">
        <x:v>待判定</x:v>
      </x:c>
      <x:c r="I1256" s="20"/>
      <x:c r="J1256" s="20" t="str">
        <x:v>未测试</x:v>
      </x:c>
      <x:c r="K1256" s="20"/>
      <x:c r="L1256" s="20"/>
      <x:c r="M1256" s="20"/>
      <x:c r="N1256" s="20"/>
      <x:c r="O1256" s="31"/>
      <x:c r="P1256" s="20"/>
      <x:c r="Q1256" s="20"/>
      <x:c r="R1256" s="20" t="str">
        <x:v>待展开</x:v>
      </x:c>
      <x:c r="S1256" s="20"/>
      <x:c r="T1256" s="31"/>
      <x:c r="U1256" s="30" t="str">
        <x:f>IF(A1256="","缺记录编号",IF(COUNTIFS(PathRecords[记录编号],A1256)&lt;&gt;1,"记录编号重复",IF(OR(B1256="",E1256=""),"缺组合/功能",IF(COUNTIFS(Equipment[组合编号],B1256)&lt;&gt;1,"组合编号无效",IF(COUNTIFS(FunctionMatrix[编号],E1256)=0,"功能编号无效",IF(H1256="不适用",IF(J1256="已实测","适用性冲突",IF(I1256="","待补不适用依据","不适用（非实测）")),IF(J1256="阻塞",IF(I1256="","待补阻塞原因","阻塞（非实测）"),IF(J1256&lt;&gt;"已实测",IF(F1256="","待展开路径","未实测"),IF(H1256&lt;&gt;"适用","待确认适用性",IF(INDEX(Equipment[登记状态（自动）],MATCH(B1256,Equipment[组合编号],0))&lt;&gt;"已登记","待补设备组合",IF(AND(F1256&lt;&gt;"",G1256&lt;&gt;"",K1256&lt;&gt;"",L1256&lt;&gt;"",M1256&lt;&gt;"",N1256&lt;&gt;"",ISNUMBER(O1256),O1256&gt;0,P1256&lt;&gt;""),"记录齐全","待补实测记录")))))))))))</x:f>
        <x:v>待展开路径</x:v>
      </x:c>
    </x:row>
    <x:row r="1257" ht="43.5" customHeight="1">
      <x:c r="A1257" s="20" t="str">
        <x:v>REC-01248</x:v>
      </x:c>
      <x:c r="B1257" s="20" t="str">
        <x:v>P3-B2-01</x:v>
      </x:c>
      <x:c r="C1257" s="30" t="str">
        <x:f>IF(B1257="","",IF(COUNTIFS(Equipment[组合编号],B1257)&lt;&gt;1,"组合编号无效",INDEX(Equipment[PLC组],MATCH(B1257,Equipment[组合编号],0))))</x:f>
        <x:v>欧姆龙</x:v>
      </x:c>
      <x:c r="D1257" s="30" t="str">
        <x:f>IF(B1257="","",IF(COUNTIFS(Equipment[组合编号],B1257)&lt;&gt;1,"组合编号无效",INDEX(Equipment[驱动品牌],MATCH(B1257,Equipment[组合编号],0))))</x:f>
        <x:v>台达</x:v>
      </x:c>
      <x:c r="E1257" s="20" t="str">
        <x:v>C03</x:v>
      </x:c>
      <x:c r="F1257" s="20"/>
      <x:c r="G1257" s="20"/>
      <x:c r="H1257" s="20" t="str">
        <x:v>待判定</x:v>
      </x:c>
      <x:c r="I1257" s="20"/>
      <x:c r="J1257" s="20" t="str">
        <x:v>未测试</x:v>
      </x:c>
      <x:c r="K1257" s="20"/>
      <x:c r="L1257" s="20"/>
      <x:c r="M1257" s="20"/>
      <x:c r="N1257" s="20"/>
      <x:c r="O1257" s="31"/>
      <x:c r="P1257" s="20"/>
      <x:c r="Q1257" s="20"/>
      <x:c r="R1257" s="20" t="str">
        <x:v>待展开</x:v>
      </x:c>
      <x:c r="S1257" s="20"/>
      <x:c r="T1257" s="31"/>
      <x:c r="U1257" s="30" t="str">
        <x:f>IF(A1257="","缺记录编号",IF(COUNTIFS(PathRecords[记录编号],A1257)&lt;&gt;1,"记录编号重复",IF(OR(B1257="",E1257=""),"缺组合/功能",IF(COUNTIFS(Equipment[组合编号],B1257)&lt;&gt;1,"组合编号无效",IF(COUNTIFS(FunctionMatrix[编号],E1257)=0,"功能编号无效",IF(H1257="不适用",IF(J1257="已实测","适用性冲突",IF(I1257="","待补不适用依据","不适用（非实测）")),IF(J1257="阻塞",IF(I1257="","待补阻塞原因","阻塞（非实测）"),IF(J1257&lt;&gt;"已实测",IF(F1257="","待展开路径","未实测"),IF(H1257&lt;&gt;"适用","待确认适用性",IF(INDEX(Equipment[登记状态（自动）],MATCH(B1257,Equipment[组合编号],0))&lt;&gt;"已登记","待补设备组合",IF(AND(F1257&lt;&gt;"",G1257&lt;&gt;"",K1257&lt;&gt;"",L1257&lt;&gt;"",M1257&lt;&gt;"",N1257&lt;&gt;"",ISNUMBER(O1257),O1257&gt;0,P1257&lt;&gt;""),"记录齐全","待补实测记录")))))))))))</x:f>
        <x:v>待展开路径</x:v>
      </x:c>
    </x:row>
    <x:row r="1258" ht="43.5" customHeight="1">
      <x:c r="A1258" s="20" t="str">
        <x:v>REC-01249</x:v>
      </x:c>
      <x:c r="B1258" s="20" t="str">
        <x:v>P3-B2-01</x:v>
      </x:c>
      <x:c r="C1258" s="30" t="str">
        <x:f>IF(B1258="","",IF(COUNTIFS(Equipment[组合编号],B1258)&lt;&gt;1,"组合编号无效",INDEX(Equipment[PLC组],MATCH(B1258,Equipment[组合编号],0))))</x:f>
        <x:v>欧姆龙</x:v>
      </x:c>
      <x:c r="D1258" s="30" t="str">
        <x:f>IF(B1258="","",IF(COUNTIFS(Equipment[组合编号],B1258)&lt;&gt;1,"组合编号无效",INDEX(Equipment[驱动品牌],MATCH(B1258,Equipment[组合编号],0))))</x:f>
        <x:v>台达</x:v>
      </x:c>
      <x:c r="E1258" s="20" t="str">
        <x:v>C04</x:v>
      </x:c>
      <x:c r="F1258" s="20"/>
      <x:c r="G1258" s="20"/>
      <x:c r="H1258" s="20" t="str">
        <x:v>待判定</x:v>
      </x:c>
      <x:c r="I1258" s="20"/>
      <x:c r="J1258" s="20" t="str">
        <x:v>未测试</x:v>
      </x:c>
      <x:c r="K1258" s="20"/>
      <x:c r="L1258" s="20"/>
      <x:c r="M1258" s="20"/>
      <x:c r="N1258" s="20"/>
      <x:c r="O1258" s="31"/>
      <x:c r="P1258" s="20"/>
      <x:c r="Q1258" s="20"/>
      <x:c r="R1258" s="20" t="str">
        <x:v>待展开</x:v>
      </x:c>
      <x:c r="S1258" s="20"/>
      <x:c r="T1258" s="31"/>
      <x:c r="U1258" s="30" t="str">
        <x:f>IF(A1258="","缺记录编号",IF(COUNTIFS(PathRecords[记录编号],A1258)&lt;&gt;1,"记录编号重复",IF(OR(B1258="",E1258=""),"缺组合/功能",IF(COUNTIFS(Equipment[组合编号],B1258)&lt;&gt;1,"组合编号无效",IF(COUNTIFS(FunctionMatrix[编号],E1258)=0,"功能编号无效",IF(H1258="不适用",IF(J1258="已实测","适用性冲突",IF(I1258="","待补不适用依据","不适用（非实测）")),IF(J1258="阻塞",IF(I1258="","待补阻塞原因","阻塞（非实测）"),IF(J1258&lt;&gt;"已实测",IF(F1258="","待展开路径","未实测"),IF(H1258&lt;&gt;"适用","待确认适用性",IF(INDEX(Equipment[登记状态（自动）],MATCH(B1258,Equipment[组合编号],0))&lt;&gt;"已登记","待补设备组合",IF(AND(F1258&lt;&gt;"",G1258&lt;&gt;"",K1258&lt;&gt;"",L1258&lt;&gt;"",M1258&lt;&gt;"",N1258&lt;&gt;"",ISNUMBER(O1258),O1258&gt;0,P1258&lt;&gt;""),"记录齐全","待补实测记录")))))))))))</x:f>
        <x:v>待展开路径</x:v>
      </x:c>
    </x:row>
    <x:row r="1259" ht="43.5" customHeight="1">
      <x:c r="A1259" s="20" t="str">
        <x:v>REC-01250</x:v>
      </x:c>
      <x:c r="B1259" s="20" t="str">
        <x:v>P3-B2-01</x:v>
      </x:c>
      <x:c r="C1259" s="30" t="str">
        <x:f>IF(B1259="","",IF(COUNTIFS(Equipment[组合编号],B1259)&lt;&gt;1,"组合编号无效",INDEX(Equipment[PLC组],MATCH(B1259,Equipment[组合编号],0))))</x:f>
        <x:v>欧姆龙</x:v>
      </x:c>
      <x:c r="D1259" s="30" t="str">
        <x:f>IF(B1259="","",IF(COUNTIFS(Equipment[组合编号],B1259)&lt;&gt;1,"组合编号无效",INDEX(Equipment[驱动品牌],MATCH(B1259,Equipment[组合编号],0))))</x:f>
        <x:v>台达</x:v>
      </x:c>
      <x:c r="E1259" s="20" t="str">
        <x:v>C05</x:v>
      </x:c>
      <x:c r="F1259" s="20"/>
      <x:c r="G1259" s="20"/>
      <x:c r="H1259" s="20" t="str">
        <x:v>待判定</x:v>
      </x:c>
      <x:c r="I1259" s="20"/>
      <x:c r="J1259" s="20" t="str">
        <x:v>未测试</x:v>
      </x:c>
      <x:c r="K1259" s="20"/>
      <x:c r="L1259" s="20"/>
      <x:c r="M1259" s="20"/>
      <x:c r="N1259" s="20"/>
      <x:c r="O1259" s="31"/>
      <x:c r="P1259" s="20"/>
      <x:c r="Q1259" s="20"/>
      <x:c r="R1259" s="20" t="str">
        <x:v>待展开</x:v>
      </x:c>
      <x:c r="S1259" s="20"/>
      <x:c r="T1259" s="31"/>
      <x:c r="U1259" s="30" t="str">
        <x:f>IF(A1259="","缺记录编号",IF(COUNTIFS(PathRecords[记录编号],A1259)&lt;&gt;1,"记录编号重复",IF(OR(B1259="",E1259=""),"缺组合/功能",IF(COUNTIFS(Equipment[组合编号],B1259)&lt;&gt;1,"组合编号无效",IF(COUNTIFS(FunctionMatrix[编号],E1259)=0,"功能编号无效",IF(H1259="不适用",IF(J1259="已实测","适用性冲突",IF(I1259="","待补不适用依据","不适用（非实测）")),IF(J1259="阻塞",IF(I1259="","待补阻塞原因","阻塞（非实测）"),IF(J1259&lt;&gt;"已实测",IF(F1259="","待展开路径","未实测"),IF(H1259&lt;&gt;"适用","待确认适用性",IF(INDEX(Equipment[登记状态（自动）],MATCH(B1259,Equipment[组合编号],0))&lt;&gt;"已登记","待补设备组合",IF(AND(F1259&lt;&gt;"",G1259&lt;&gt;"",K1259&lt;&gt;"",L1259&lt;&gt;"",M1259&lt;&gt;"",N1259&lt;&gt;"",ISNUMBER(O1259),O1259&gt;0,P1259&lt;&gt;""),"记录齐全","待补实测记录")))))))))))</x:f>
        <x:v>待展开路径</x:v>
      </x:c>
    </x:row>
    <x:row r="1260" ht="43.5" customHeight="1">
      <x:c r="A1260" s="20" t="str">
        <x:v>REC-01251</x:v>
      </x:c>
      <x:c r="B1260" s="20" t="str">
        <x:v>P3-B2-01</x:v>
      </x:c>
      <x:c r="C1260" s="30" t="str">
        <x:f>IF(B1260="","",IF(COUNTIFS(Equipment[组合编号],B1260)&lt;&gt;1,"组合编号无效",INDEX(Equipment[PLC组],MATCH(B1260,Equipment[组合编号],0))))</x:f>
        <x:v>欧姆龙</x:v>
      </x:c>
      <x:c r="D1260" s="30" t="str">
        <x:f>IF(B1260="","",IF(COUNTIFS(Equipment[组合编号],B1260)&lt;&gt;1,"组合编号无效",INDEX(Equipment[驱动品牌],MATCH(B1260,Equipment[组合编号],0))))</x:f>
        <x:v>台达</x:v>
      </x:c>
      <x:c r="E1260" s="20" t="str">
        <x:v>C06</x:v>
      </x:c>
      <x:c r="F1260" s="20"/>
      <x:c r="G1260" s="20"/>
      <x:c r="H1260" s="20" t="str">
        <x:v>待判定</x:v>
      </x:c>
      <x:c r="I1260" s="20"/>
      <x:c r="J1260" s="20" t="str">
        <x:v>未测试</x:v>
      </x:c>
      <x:c r="K1260" s="20"/>
      <x:c r="L1260" s="20"/>
      <x:c r="M1260" s="20"/>
      <x:c r="N1260" s="20"/>
      <x:c r="O1260" s="31"/>
      <x:c r="P1260" s="20"/>
      <x:c r="Q1260" s="20"/>
      <x:c r="R1260" s="20" t="str">
        <x:v>待展开</x:v>
      </x:c>
      <x:c r="S1260" s="20"/>
      <x:c r="T1260" s="31"/>
      <x:c r="U1260" s="30" t="str">
        <x:f>IF(A1260="","缺记录编号",IF(COUNTIFS(PathRecords[记录编号],A1260)&lt;&gt;1,"记录编号重复",IF(OR(B1260="",E1260=""),"缺组合/功能",IF(COUNTIFS(Equipment[组合编号],B1260)&lt;&gt;1,"组合编号无效",IF(COUNTIFS(FunctionMatrix[编号],E1260)=0,"功能编号无效",IF(H1260="不适用",IF(J1260="已实测","适用性冲突",IF(I1260="","待补不适用依据","不适用（非实测）")),IF(J1260="阻塞",IF(I1260="","待补阻塞原因","阻塞（非实测）"),IF(J1260&lt;&gt;"已实测",IF(F1260="","待展开路径","未实测"),IF(H1260&lt;&gt;"适用","待确认适用性",IF(INDEX(Equipment[登记状态（自动）],MATCH(B1260,Equipment[组合编号],0))&lt;&gt;"已登记","待补设备组合",IF(AND(F1260&lt;&gt;"",G1260&lt;&gt;"",K1260&lt;&gt;"",L1260&lt;&gt;"",M1260&lt;&gt;"",N1260&lt;&gt;"",ISNUMBER(O1260),O1260&gt;0,P1260&lt;&gt;""),"记录齐全","待补实测记录")))))))))))</x:f>
        <x:v>待展开路径</x:v>
      </x:c>
    </x:row>
    <x:row r="1261" ht="43.5" customHeight="1">
      <x:c r="A1261" s="20" t="str">
        <x:v>REC-01252</x:v>
      </x:c>
      <x:c r="B1261" s="20" t="str">
        <x:v>P3-B2-01</x:v>
      </x:c>
      <x:c r="C1261" s="30" t="str">
        <x:f>IF(B1261="","",IF(COUNTIFS(Equipment[组合编号],B1261)&lt;&gt;1,"组合编号无效",INDEX(Equipment[PLC组],MATCH(B1261,Equipment[组合编号],0))))</x:f>
        <x:v>欧姆龙</x:v>
      </x:c>
      <x:c r="D1261" s="30" t="str">
        <x:f>IF(B1261="","",IF(COUNTIFS(Equipment[组合编号],B1261)&lt;&gt;1,"组合编号无效",INDEX(Equipment[驱动品牌],MATCH(B1261,Equipment[组合编号],0))))</x:f>
        <x:v>台达</x:v>
      </x:c>
      <x:c r="E1261" s="20" t="str">
        <x:v>C07</x:v>
      </x:c>
      <x:c r="F1261" s="20"/>
      <x:c r="G1261" s="20"/>
      <x:c r="H1261" s="20" t="str">
        <x:v>待判定</x:v>
      </x:c>
      <x:c r="I1261" s="20"/>
      <x:c r="J1261" s="20" t="str">
        <x:v>未测试</x:v>
      </x:c>
      <x:c r="K1261" s="20"/>
      <x:c r="L1261" s="20"/>
      <x:c r="M1261" s="20"/>
      <x:c r="N1261" s="20"/>
      <x:c r="O1261" s="31"/>
      <x:c r="P1261" s="20"/>
      <x:c r="Q1261" s="20"/>
      <x:c r="R1261" s="20" t="str">
        <x:v>待展开</x:v>
      </x:c>
      <x:c r="S1261" s="20"/>
      <x:c r="T1261" s="31"/>
      <x:c r="U1261" s="30" t="str">
        <x:f>IF(A1261="","缺记录编号",IF(COUNTIFS(PathRecords[记录编号],A1261)&lt;&gt;1,"记录编号重复",IF(OR(B1261="",E1261=""),"缺组合/功能",IF(COUNTIFS(Equipment[组合编号],B1261)&lt;&gt;1,"组合编号无效",IF(COUNTIFS(FunctionMatrix[编号],E1261)=0,"功能编号无效",IF(H1261="不适用",IF(J1261="已实测","适用性冲突",IF(I1261="","待补不适用依据","不适用（非实测）")),IF(J1261="阻塞",IF(I1261="","待补阻塞原因","阻塞（非实测）"),IF(J1261&lt;&gt;"已实测",IF(F1261="","待展开路径","未实测"),IF(H1261&lt;&gt;"适用","待确认适用性",IF(INDEX(Equipment[登记状态（自动）],MATCH(B1261,Equipment[组合编号],0))&lt;&gt;"已登记","待补设备组合",IF(AND(F1261&lt;&gt;"",G1261&lt;&gt;"",K1261&lt;&gt;"",L1261&lt;&gt;"",M1261&lt;&gt;"",N1261&lt;&gt;"",ISNUMBER(O1261),O1261&gt;0,P1261&lt;&gt;""),"记录齐全","待补实测记录")))))))))))</x:f>
        <x:v>待展开路径</x:v>
      </x:c>
    </x:row>
    <x:row r="1262" ht="43.5" customHeight="1">
      <x:c r="A1262" s="20" t="str">
        <x:v>REC-01253</x:v>
      </x:c>
      <x:c r="B1262" s="20" t="str">
        <x:v>P3-B2-01</x:v>
      </x:c>
      <x:c r="C1262" s="30" t="str">
        <x:f>IF(B1262="","",IF(COUNTIFS(Equipment[组合编号],B1262)&lt;&gt;1,"组合编号无效",INDEX(Equipment[PLC组],MATCH(B1262,Equipment[组合编号],0))))</x:f>
        <x:v>欧姆龙</x:v>
      </x:c>
      <x:c r="D1262" s="30" t="str">
        <x:f>IF(B1262="","",IF(COUNTIFS(Equipment[组合编号],B1262)&lt;&gt;1,"组合编号无效",INDEX(Equipment[驱动品牌],MATCH(B1262,Equipment[组合编号],0))))</x:f>
        <x:v>台达</x:v>
      </x:c>
      <x:c r="E1262" s="20" t="str">
        <x:v>C08</x:v>
      </x:c>
      <x:c r="F1262" s="20"/>
      <x:c r="G1262" s="20"/>
      <x:c r="H1262" s="20" t="str">
        <x:v>待判定</x:v>
      </x:c>
      <x:c r="I1262" s="20"/>
      <x:c r="J1262" s="20" t="str">
        <x:v>未测试</x:v>
      </x:c>
      <x:c r="K1262" s="20"/>
      <x:c r="L1262" s="20"/>
      <x:c r="M1262" s="20"/>
      <x:c r="N1262" s="20"/>
      <x:c r="O1262" s="31"/>
      <x:c r="P1262" s="20"/>
      <x:c r="Q1262" s="20"/>
      <x:c r="R1262" s="20" t="str">
        <x:v>待展开</x:v>
      </x:c>
      <x:c r="S1262" s="20"/>
      <x:c r="T1262" s="31"/>
      <x:c r="U1262" s="30" t="str">
        <x:f>IF(A1262="","缺记录编号",IF(COUNTIFS(PathRecords[记录编号],A1262)&lt;&gt;1,"记录编号重复",IF(OR(B1262="",E1262=""),"缺组合/功能",IF(COUNTIFS(Equipment[组合编号],B1262)&lt;&gt;1,"组合编号无效",IF(COUNTIFS(FunctionMatrix[编号],E1262)=0,"功能编号无效",IF(H1262="不适用",IF(J1262="已实测","适用性冲突",IF(I1262="","待补不适用依据","不适用（非实测）")),IF(J1262="阻塞",IF(I1262="","待补阻塞原因","阻塞（非实测）"),IF(J1262&lt;&gt;"已实测",IF(F1262="","待展开路径","未实测"),IF(H1262&lt;&gt;"适用","待确认适用性",IF(INDEX(Equipment[登记状态（自动）],MATCH(B1262,Equipment[组合编号],0))&lt;&gt;"已登记","待补设备组合",IF(AND(F1262&lt;&gt;"",G1262&lt;&gt;"",K1262&lt;&gt;"",L1262&lt;&gt;"",M1262&lt;&gt;"",N1262&lt;&gt;"",ISNUMBER(O1262),O1262&gt;0,P1262&lt;&gt;""),"记录齐全","待补实测记录")))))))))))</x:f>
        <x:v>待展开路径</x:v>
      </x:c>
    </x:row>
    <x:row r="1263" ht="43.5" customHeight="1">
      <x:c r="A1263" s="20" t="str">
        <x:v>REC-01254</x:v>
      </x:c>
      <x:c r="B1263" s="20" t="str">
        <x:v>P3-B2-01</x:v>
      </x:c>
      <x:c r="C1263" s="30" t="str">
        <x:f>IF(B1263="","",IF(COUNTIFS(Equipment[组合编号],B1263)&lt;&gt;1,"组合编号无效",INDEX(Equipment[PLC组],MATCH(B1263,Equipment[组合编号],0))))</x:f>
        <x:v>欧姆龙</x:v>
      </x:c>
      <x:c r="D1263" s="30" t="str">
        <x:f>IF(B1263="","",IF(COUNTIFS(Equipment[组合编号],B1263)&lt;&gt;1,"组合编号无效",INDEX(Equipment[驱动品牌],MATCH(B1263,Equipment[组合编号],0))))</x:f>
        <x:v>台达</x:v>
      </x:c>
      <x:c r="E1263" s="20" t="str">
        <x:v>C09</x:v>
      </x:c>
      <x:c r="F1263" s="20"/>
      <x:c r="G1263" s="20"/>
      <x:c r="H1263" s="20" t="str">
        <x:v>待判定</x:v>
      </x:c>
      <x:c r="I1263" s="20"/>
      <x:c r="J1263" s="20" t="str">
        <x:v>未测试</x:v>
      </x:c>
      <x:c r="K1263" s="20"/>
      <x:c r="L1263" s="20"/>
      <x:c r="M1263" s="20"/>
      <x:c r="N1263" s="20"/>
      <x:c r="O1263" s="31"/>
      <x:c r="P1263" s="20"/>
      <x:c r="Q1263" s="20"/>
      <x:c r="R1263" s="20" t="str">
        <x:v>待展开</x:v>
      </x:c>
      <x:c r="S1263" s="20"/>
      <x:c r="T1263" s="31"/>
      <x:c r="U1263" s="30" t="str">
        <x:f>IF(A1263="","缺记录编号",IF(COUNTIFS(PathRecords[记录编号],A1263)&lt;&gt;1,"记录编号重复",IF(OR(B1263="",E1263=""),"缺组合/功能",IF(COUNTIFS(Equipment[组合编号],B1263)&lt;&gt;1,"组合编号无效",IF(COUNTIFS(FunctionMatrix[编号],E1263)=0,"功能编号无效",IF(H1263="不适用",IF(J1263="已实测","适用性冲突",IF(I1263="","待补不适用依据","不适用（非实测）")),IF(J1263="阻塞",IF(I1263="","待补阻塞原因","阻塞（非实测）"),IF(J1263&lt;&gt;"已实测",IF(F1263="","待展开路径","未实测"),IF(H1263&lt;&gt;"适用","待确认适用性",IF(INDEX(Equipment[登记状态（自动）],MATCH(B1263,Equipment[组合编号],0))&lt;&gt;"已登记","待补设备组合",IF(AND(F1263&lt;&gt;"",G1263&lt;&gt;"",K1263&lt;&gt;"",L1263&lt;&gt;"",M1263&lt;&gt;"",N1263&lt;&gt;"",ISNUMBER(O1263),O1263&gt;0,P1263&lt;&gt;""),"记录齐全","待补实测记录")))))))))))</x:f>
        <x:v>待展开路径</x:v>
      </x:c>
    </x:row>
    <x:row r="1264" ht="43.5" customHeight="1">
      <x:c r="A1264" s="20" t="str">
        <x:v>REC-01255</x:v>
      </x:c>
      <x:c r="B1264" s="20" t="str">
        <x:v>P3-B2-01</x:v>
      </x:c>
      <x:c r="C1264" s="30" t="str">
        <x:f>IF(B1264="","",IF(COUNTIFS(Equipment[组合编号],B1264)&lt;&gt;1,"组合编号无效",INDEX(Equipment[PLC组],MATCH(B1264,Equipment[组合编号],0))))</x:f>
        <x:v>欧姆龙</x:v>
      </x:c>
      <x:c r="D1264" s="30" t="str">
        <x:f>IF(B1264="","",IF(COUNTIFS(Equipment[组合编号],B1264)&lt;&gt;1,"组合编号无效",INDEX(Equipment[驱动品牌],MATCH(B1264,Equipment[组合编号],0))))</x:f>
        <x:v>台达</x:v>
      </x:c>
      <x:c r="E1264" s="20" t="str">
        <x:v>C10</x:v>
      </x:c>
      <x:c r="F1264" s="20"/>
      <x:c r="G1264" s="20"/>
      <x:c r="H1264" s="20" t="str">
        <x:v>待判定</x:v>
      </x:c>
      <x:c r="I1264" s="20"/>
      <x:c r="J1264" s="20" t="str">
        <x:v>未测试</x:v>
      </x:c>
      <x:c r="K1264" s="20"/>
      <x:c r="L1264" s="20"/>
      <x:c r="M1264" s="20"/>
      <x:c r="N1264" s="20"/>
      <x:c r="O1264" s="31"/>
      <x:c r="P1264" s="20"/>
      <x:c r="Q1264" s="20"/>
      <x:c r="R1264" s="20" t="str">
        <x:v>待展开</x:v>
      </x:c>
      <x:c r="S1264" s="20"/>
      <x:c r="T1264" s="31"/>
      <x:c r="U1264" s="30" t="str">
        <x:f>IF(A1264="","缺记录编号",IF(COUNTIFS(PathRecords[记录编号],A1264)&lt;&gt;1,"记录编号重复",IF(OR(B1264="",E1264=""),"缺组合/功能",IF(COUNTIFS(Equipment[组合编号],B1264)&lt;&gt;1,"组合编号无效",IF(COUNTIFS(FunctionMatrix[编号],E1264)=0,"功能编号无效",IF(H1264="不适用",IF(J1264="已实测","适用性冲突",IF(I1264="","待补不适用依据","不适用（非实测）")),IF(J1264="阻塞",IF(I1264="","待补阻塞原因","阻塞（非实测）"),IF(J1264&lt;&gt;"已实测",IF(F1264="","待展开路径","未实测"),IF(H1264&lt;&gt;"适用","待确认适用性",IF(INDEX(Equipment[登记状态（自动）],MATCH(B1264,Equipment[组合编号],0))&lt;&gt;"已登记","待补设备组合",IF(AND(F1264&lt;&gt;"",G1264&lt;&gt;"",K1264&lt;&gt;"",L1264&lt;&gt;"",M1264&lt;&gt;"",N1264&lt;&gt;"",ISNUMBER(O1264),O1264&gt;0,P1264&lt;&gt;""),"记录齐全","待补实测记录")))))))))))</x:f>
        <x:v>待展开路径</x:v>
      </x:c>
    </x:row>
    <x:row r="1265" ht="43.5" customHeight="1">
      <x:c r="A1265" s="20" t="str">
        <x:v>REC-01256</x:v>
      </x:c>
      <x:c r="B1265" s="20" t="str">
        <x:v>P3-B2-01</x:v>
      </x:c>
      <x:c r="C1265" s="30" t="str">
        <x:f>IF(B1265="","",IF(COUNTIFS(Equipment[组合编号],B1265)&lt;&gt;1,"组合编号无效",INDEX(Equipment[PLC组],MATCH(B1265,Equipment[组合编号],0))))</x:f>
        <x:v>欧姆龙</x:v>
      </x:c>
      <x:c r="D1265" s="30" t="str">
        <x:f>IF(B1265="","",IF(COUNTIFS(Equipment[组合编号],B1265)&lt;&gt;1,"组合编号无效",INDEX(Equipment[驱动品牌],MATCH(B1265,Equipment[组合编号],0))))</x:f>
        <x:v>台达</x:v>
      </x:c>
      <x:c r="E1265" s="20" t="str">
        <x:v>T01</x:v>
      </x:c>
      <x:c r="F1265" s="20"/>
      <x:c r="G1265" s="20"/>
      <x:c r="H1265" s="20" t="str">
        <x:v>待判定</x:v>
      </x:c>
      <x:c r="I1265" s="20"/>
      <x:c r="J1265" s="20" t="str">
        <x:v>未测试</x:v>
      </x:c>
      <x:c r="K1265" s="20"/>
      <x:c r="L1265" s="20"/>
      <x:c r="M1265" s="20"/>
      <x:c r="N1265" s="20"/>
      <x:c r="O1265" s="31"/>
      <x:c r="P1265" s="20"/>
      <x:c r="Q1265" s="20"/>
      <x:c r="R1265" s="20" t="str">
        <x:v>待展开</x:v>
      </x:c>
      <x:c r="S1265" s="20"/>
      <x:c r="T1265" s="31"/>
      <x:c r="U1265" s="30" t="str">
        <x:f>IF(A1265="","缺记录编号",IF(COUNTIFS(PathRecords[记录编号],A1265)&lt;&gt;1,"记录编号重复",IF(OR(B1265="",E1265=""),"缺组合/功能",IF(COUNTIFS(Equipment[组合编号],B1265)&lt;&gt;1,"组合编号无效",IF(COUNTIFS(FunctionMatrix[编号],E1265)=0,"功能编号无效",IF(H1265="不适用",IF(J1265="已实测","适用性冲突",IF(I1265="","待补不适用依据","不适用（非实测）")),IF(J1265="阻塞",IF(I1265="","待补阻塞原因","阻塞（非实测）"),IF(J1265&lt;&gt;"已实测",IF(F1265="","待展开路径","未实测"),IF(H1265&lt;&gt;"适用","待确认适用性",IF(INDEX(Equipment[登记状态（自动）],MATCH(B1265,Equipment[组合编号],0))&lt;&gt;"已登记","待补设备组合",IF(AND(F1265&lt;&gt;"",G1265&lt;&gt;"",K1265&lt;&gt;"",L1265&lt;&gt;"",M1265&lt;&gt;"",N1265&lt;&gt;"",ISNUMBER(O1265),O1265&gt;0,P1265&lt;&gt;""),"记录齐全","待补实测记录")))))))))))</x:f>
        <x:v>待展开路径</x:v>
      </x:c>
    </x:row>
    <x:row r="1266" ht="43.5" customHeight="1">
      <x:c r="A1266" s="20" t="str">
        <x:v>REC-01257</x:v>
      </x:c>
      <x:c r="B1266" s="20" t="str">
        <x:v>P3-B2-01</x:v>
      </x:c>
      <x:c r="C1266" s="30" t="str">
        <x:f>IF(B1266="","",IF(COUNTIFS(Equipment[组合编号],B1266)&lt;&gt;1,"组合编号无效",INDEX(Equipment[PLC组],MATCH(B1266,Equipment[组合编号],0))))</x:f>
        <x:v>欧姆龙</x:v>
      </x:c>
      <x:c r="D1266" s="30" t="str">
        <x:f>IF(B1266="","",IF(COUNTIFS(Equipment[组合编号],B1266)&lt;&gt;1,"组合编号无效",INDEX(Equipment[驱动品牌],MATCH(B1266,Equipment[组合编号],0))))</x:f>
        <x:v>台达</x:v>
      </x:c>
      <x:c r="E1266" s="20" t="str">
        <x:v>T02</x:v>
      </x:c>
      <x:c r="F1266" s="20"/>
      <x:c r="G1266" s="20"/>
      <x:c r="H1266" s="20" t="str">
        <x:v>待判定</x:v>
      </x:c>
      <x:c r="I1266" s="20"/>
      <x:c r="J1266" s="20" t="str">
        <x:v>未测试</x:v>
      </x:c>
      <x:c r="K1266" s="20"/>
      <x:c r="L1266" s="20"/>
      <x:c r="M1266" s="20"/>
      <x:c r="N1266" s="20"/>
      <x:c r="O1266" s="31"/>
      <x:c r="P1266" s="20"/>
      <x:c r="Q1266" s="20"/>
      <x:c r="R1266" s="20" t="str">
        <x:v>待展开</x:v>
      </x:c>
      <x:c r="S1266" s="20"/>
      <x:c r="T1266" s="31"/>
      <x:c r="U1266" s="30" t="str">
        <x:f>IF(A1266="","缺记录编号",IF(COUNTIFS(PathRecords[记录编号],A1266)&lt;&gt;1,"记录编号重复",IF(OR(B1266="",E1266=""),"缺组合/功能",IF(COUNTIFS(Equipment[组合编号],B1266)&lt;&gt;1,"组合编号无效",IF(COUNTIFS(FunctionMatrix[编号],E1266)=0,"功能编号无效",IF(H1266="不适用",IF(J1266="已实测","适用性冲突",IF(I1266="","待补不适用依据","不适用（非实测）")),IF(J1266="阻塞",IF(I1266="","待补阻塞原因","阻塞（非实测）"),IF(J1266&lt;&gt;"已实测",IF(F1266="","待展开路径","未实测"),IF(H1266&lt;&gt;"适用","待确认适用性",IF(INDEX(Equipment[登记状态（自动）],MATCH(B1266,Equipment[组合编号],0))&lt;&gt;"已登记","待补设备组合",IF(AND(F1266&lt;&gt;"",G1266&lt;&gt;"",K1266&lt;&gt;"",L1266&lt;&gt;"",M1266&lt;&gt;"",N1266&lt;&gt;"",ISNUMBER(O1266),O1266&gt;0,P1266&lt;&gt;""),"记录齐全","待补实测记录")))))))))))</x:f>
        <x:v>待展开路径</x:v>
      </x:c>
    </x:row>
    <x:row r="1267" ht="43.5" customHeight="1">
      <x:c r="A1267" s="20" t="str">
        <x:v>REC-01258</x:v>
      </x:c>
      <x:c r="B1267" s="20" t="str">
        <x:v>P3-B2-01</x:v>
      </x:c>
      <x:c r="C1267" s="30" t="str">
        <x:f>IF(B1267="","",IF(COUNTIFS(Equipment[组合编号],B1267)&lt;&gt;1,"组合编号无效",INDEX(Equipment[PLC组],MATCH(B1267,Equipment[组合编号],0))))</x:f>
        <x:v>欧姆龙</x:v>
      </x:c>
      <x:c r="D1267" s="30" t="str">
        <x:f>IF(B1267="","",IF(COUNTIFS(Equipment[组合编号],B1267)&lt;&gt;1,"组合编号无效",INDEX(Equipment[驱动品牌],MATCH(B1267,Equipment[组合编号],0))))</x:f>
        <x:v>台达</x:v>
      </x:c>
      <x:c r="E1267" s="20" t="str">
        <x:v>T03</x:v>
      </x:c>
      <x:c r="F1267" s="20"/>
      <x:c r="G1267" s="20"/>
      <x:c r="H1267" s="20" t="str">
        <x:v>待判定</x:v>
      </x:c>
      <x:c r="I1267" s="20"/>
      <x:c r="J1267" s="20" t="str">
        <x:v>未测试</x:v>
      </x:c>
      <x:c r="K1267" s="20"/>
      <x:c r="L1267" s="20"/>
      <x:c r="M1267" s="20"/>
      <x:c r="N1267" s="20"/>
      <x:c r="O1267" s="31"/>
      <x:c r="P1267" s="20"/>
      <x:c r="Q1267" s="20"/>
      <x:c r="R1267" s="20" t="str">
        <x:v>待展开</x:v>
      </x:c>
      <x:c r="S1267" s="20"/>
      <x:c r="T1267" s="31"/>
      <x:c r="U1267" s="30" t="str">
        <x:f>IF(A1267="","缺记录编号",IF(COUNTIFS(PathRecords[记录编号],A1267)&lt;&gt;1,"记录编号重复",IF(OR(B1267="",E1267=""),"缺组合/功能",IF(COUNTIFS(Equipment[组合编号],B1267)&lt;&gt;1,"组合编号无效",IF(COUNTIFS(FunctionMatrix[编号],E1267)=0,"功能编号无效",IF(H1267="不适用",IF(J1267="已实测","适用性冲突",IF(I1267="","待补不适用依据","不适用（非实测）")),IF(J1267="阻塞",IF(I1267="","待补阻塞原因","阻塞（非实测）"),IF(J1267&lt;&gt;"已实测",IF(F1267="","待展开路径","未实测"),IF(H1267&lt;&gt;"适用","待确认适用性",IF(INDEX(Equipment[登记状态（自动）],MATCH(B1267,Equipment[组合编号],0))&lt;&gt;"已登记","待补设备组合",IF(AND(F1267&lt;&gt;"",G1267&lt;&gt;"",K1267&lt;&gt;"",L1267&lt;&gt;"",M1267&lt;&gt;"",N1267&lt;&gt;"",ISNUMBER(O1267),O1267&gt;0,P1267&lt;&gt;""),"记录齐全","待补实测记录")))))))))))</x:f>
        <x:v>待展开路径</x:v>
      </x:c>
    </x:row>
    <x:row r="1268" ht="43.5" customHeight="1">
      <x:c r="A1268" s="20" t="str">
        <x:v>REC-01259</x:v>
      </x:c>
      <x:c r="B1268" s="20" t="str">
        <x:v>P3-B2-01</x:v>
      </x:c>
      <x:c r="C1268" s="30" t="str">
        <x:f>IF(B1268="","",IF(COUNTIFS(Equipment[组合编号],B1268)&lt;&gt;1,"组合编号无效",INDEX(Equipment[PLC组],MATCH(B1268,Equipment[组合编号],0))))</x:f>
        <x:v>欧姆龙</x:v>
      </x:c>
      <x:c r="D1268" s="30" t="str">
        <x:f>IF(B1268="","",IF(COUNTIFS(Equipment[组合编号],B1268)&lt;&gt;1,"组合编号无效",INDEX(Equipment[驱动品牌],MATCH(B1268,Equipment[组合编号],0))))</x:f>
        <x:v>台达</x:v>
      </x:c>
      <x:c r="E1268" s="20" t="str">
        <x:v>T04</x:v>
      </x:c>
      <x:c r="F1268" s="20"/>
      <x:c r="G1268" s="20"/>
      <x:c r="H1268" s="20" t="str">
        <x:v>待判定</x:v>
      </x:c>
      <x:c r="I1268" s="20"/>
      <x:c r="J1268" s="20" t="str">
        <x:v>未测试</x:v>
      </x:c>
      <x:c r="K1268" s="20"/>
      <x:c r="L1268" s="20"/>
      <x:c r="M1268" s="20"/>
      <x:c r="N1268" s="20"/>
      <x:c r="O1268" s="31"/>
      <x:c r="P1268" s="20"/>
      <x:c r="Q1268" s="20"/>
      <x:c r="R1268" s="20" t="str">
        <x:v>待展开</x:v>
      </x:c>
      <x:c r="S1268" s="20"/>
      <x:c r="T1268" s="31"/>
      <x:c r="U1268" s="30" t="str">
        <x:f>IF(A1268="","缺记录编号",IF(COUNTIFS(PathRecords[记录编号],A1268)&lt;&gt;1,"记录编号重复",IF(OR(B1268="",E1268=""),"缺组合/功能",IF(COUNTIFS(Equipment[组合编号],B1268)&lt;&gt;1,"组合编号无效",IF(COUNTIFS(FunctionMatrix[编号],E1268)=0,"功能编号无效",IF(H1268="不适用",IF(J1268="已实测","适用性冲突",IF(I1268="","待补不适用依据","不适用（非实测）")),IF(J1268="阻塞",IF(I1268="","待补阻塞原因","阻塞（非实测）"),IF(J1268&lt;&gt;"已实测",IF(F1268="","待展开路径","未实测"),IF(H1268&lt;&gt;"适用","待确认适用性",IF(INDEX(Equipment[登记状态（自动）],MATCH(B1268,Equipment[组合编号],0))&lt;&gt;"已登记","待补设备组合",IF(AND(F1268&lt;&gt;"",G1268&lt;&gt;"",K1268&lt;&gt;"",L1268&lt;&gt;"",M1268&lt;&gt;"",N1268&lt;&gt;"",ISNUMBER(O1268),O1268&gt;0,P1268&lt;&gt;""),"记录齐全","待补实测记录")))))))))))</x:f>
        <x:v>待展开路径</x:v>
      </x:c>
    </x:row>
    <x:row r="1269" ht="43.5" customHeight="1">
      <x:c r="A1269" s="20" t="str">
        <x:v>REC-01260</x:v>
      </x:c>
      <x:c r="B1269" s="20" t="str">
        <x:v>P3-B2-01</x:v>
      </x:c>
      <x:c r="C1269" s="30" t="str">
        <x:f>IF(B1269="","",IF(COUNTIFS(Equipment[组合编号],B1269)&lt;&gt;1,"组合编号无效",INDEX(Equipment[PLC组],MATCH(B1269,Equipment[组合编号],0))))</x:f>
        <x:v>欧姆龙</x:v>
      </x:c>
      <x:c r="D1269" s="30" t="str">
        <x:f>IF(B1269="","",IF(COUNTIFS(Equipment[组合编号],B1269)&lt;&gt;1,"组合编号无效",INDEX(Equipment[驱动品牌],MATCH(B1269,Equipment[组合编号],0))))</x:f>
        <x:v>台达</x:v>
      </x:c>
      <x:c r="E1269" s="20" t="str">
        <x:v>T05</x:v>
      </x:c>
      <x:c r="F1269" s="20"/>
      <x:c r="G1269" s="20"/>
      <x:c r="H1269" s="20" t="str">
        <x:v>待判定</x:v>
      </x:c>
      <x:c r="I1269" s="20"/>
      <x:c r="J1269" s="20" t="str">
        <x:v>未测试</x:v>
      </x:c>
      <x:c r="K1269" s="20"/>
      <x:c r="L1269" s="20"/>
      <x:c r="M1269" s="20"/>
      <x:c r="N1269" s="20"/>
      <x:c r="O1269" s="31"/>
      <x:c r="P1269" s="20"/>
      <x:c r="Q1269" s="20"/>
      <x:c r="R1269" s="20" t="str">
        <x:v>待展开</x:v>
      </x:c>
      <x:c r="S1269" s="20"/>
      <x:c r="T1269" s="31"/>
      <x:c r="U1269" s="30" t="str">
        <x:f>IF(A1269="","缺记录编号",IF(COUNTIFS(PathRecords[记录编号],A1269)&lt;&gt;1,"记录编号重复",IF(OR(B1269="",E1269=""),"缺组合/功能",IF(COUNTIFS(Equipment[组合编号],B1269)&lt;&gt;1,"组合编号无效",IF(COUNTIFS(FunctionMatrix[编号],E1269)=0,"功能编号无效",IF(H1269="不适用",IF(J1269="已实测","适用性冲突",IF(I1269="","待补不适用依据","不适用（非实测）")),IF(J1269="阻塞",IF(I1269="","待补阻塞原因","阻塞（非实测）"),IF(J1269&lt;&gt;"已实测",IF(F1269="","待展开路径","未实测"),IF(H1269&lt;&gt;"适用","待确认适用性",IF(INDEX(Equipment[登记状态（自动）],MATCH(B1269,Equipment[组合编号],0))&lt;&gt;"已登记","待补设备组合",IF(AND(F1269&lt;&gt;"",G1269&lt;&gt;"",K1269&lt;&gt;"",L1269&lt;&gt;"",M1269&lt;&gt;"",N1269&lt;&gt;"",ISNUMBER(O1269),O1269&gt;0,P1269&lt;&gt;""),"记录齐全","待补实测记录")))))))))))</x:f>
        <x:v>待展开路径</x:v>
      </x:c>
    </x:row>
    <x:row r="1270" ht="43.5" customHeight="1">
      <x:c r="A1270" s="20" t="str">
        <x:v>REC-01261</x:v>
      </x:c>
      <x:c r="B1270" s="20" t="str">
        <x:v>P3-B2-01</x:v>
      </x:c>
      <x:c r="C1270" s="30" t="str">
        <x:f>IF(B1270="","",IF(COUNTIFS(Equipment[组合编号],B1270)&lt;&gt;1,"组合编号无效",INDEX(Equipment[PLC组],MATCH(B1270,Equipment[组合编号],0))))</x:f>
        <x:v>欧姆龙</x:v>
      </x:c>
      <x:c r="D1270" s="30" t="str">
        <x:f>IF(B1270="","",IF(COUNTIFS(Equipment[组合编号],B1270)&lt;&gt;1,"组合编号无效",INDEX(Equipment[驱动品牌],MATCH(B1270,Equipment[组合编号],0))))</x:f>
        <x:v>台达</x:v>
      </x:c>
      <x:c r="E1270" s="20" t="str">
        <x:v>T06</x:v>
      </x:c>
      <x:c r="F1270" s="20"/>
      <x:c r="G1270" s="20"/>
      <x:c r="H1270" s="20" t="str">
        <x:v>待判定</x:v>
      </x:c>
      <x:c r="I1270" s="20"/>
      <x:c r="J1270" s="20" t="str">
        <x:v>未测试</x:v>
      </x:c>
      <x:c r="K1270" s="20"/>
      <x:c r="L1270" s="20"/>
      <x:c r="M1270" s="20"/>
      <x:c r="N1270" s="20"/>
      <x:c r="O1270" s="31"/>
      <x:c r="P1270" s="20"/>
      <x:c r="Q1270" s="20"/>
      <x:c r="R1270" s="20" t="str">
        <x:v>待展开</x:v>
      </x:c>
      <x:c r="S1270" s="20"/>
      <x:c r="T1270" s="31"/>
      <x:c r="U1270" s="30" t="str">
        <x:f>IF(A1270="","缺记录编号",IF(COUNTIFS(PathRecords[记录编号],A1270)&lt;&gt;1,"记录编号重复",IF(OR(B1270="",E1270=""),"缺组合/功能",IF(COUNTIFS(Equipment[组合编号],B1270)&lt;&gt;1,"组合编号无效",IF(COUNTIFS(FunctionMatrix[编号],E1270)=0,"功能编号无效",IF(H1270="不适用",IF(J1270="已实测","适用性冲突",IF(I1270="","待补不适用依据","不适用（非实测）")),IF(J1270="阻塞",IF(I1270="","待补阻塞原因","阻塞（非实测）"),IF(J1270&lt;&gt;"已实测",IF(F1270="","待展开路径","未实测"),IF(H1270&lt;&gt;"适用","待确认适用性",IF(INDEX(Equipment[登记状态（自动）],MATCH(B1270,Equipment[组合编号],0))&lt;&gt;"已登记","待补设备组合",IF(AND(F1270&lt;&gt;"",G1270&lt;&gt;"",K1270&lt;&gt;"",L1270&lt;&gt;"",M1270&lt;&gt;"",N1270&lt;&gt;"",ISNUMBER(O1270),O1270&gt;0,P1270&lt;&gt;""),"记录齐全","待补实测记录")))))))))))</x:f>
        <x:v>待展开路径</x:v>
      </x:c>
    </x:row>
    <x:row r="1271" ht="43.5" customHeight="1">
      <x:c r="A1271" s="20" t="str">
        <x:v>REC-01262</x:v>
      </x:c>
      <x:c r="B1271" s="20" t="str">
        <x:v>P3-B2-01</x:v>
      </x:c>
      <x:c r="C1271" s="30" t="str">
        <x:f>IF(B1271="","",IF(COUNTIFS(Equipment[组合编号],B1271)&lt;&gt;1,"组合编号无效",INDEX(Equipment[PLC组],MATCH(B1271,Equipment[组合编号],0))))</x:f>
        <x:v>欧姆龙</x:v>
      </x:c>
      <x:c r="D1271" s="30" t="str">
        <x:f>IF(B1271="","",IF(COUNTIFS(Equipment[组合编号],B1271)&lt;&gt;1,"组合编号无效",INDEX(Equipment[驱动品牌],MATCH(B1271,Equipment[组合编号],0))))</x:f>
        <x:v>台达</x:v>
      </x:c>
      <x:c r="E1271" s="20" t="str">
        <x:v>T07</x:v>
      </x:c>
      <x:c r="F1271" s="20"/>
      <x:c r="G1271" s="20"/>
      <x:c r="H1271" s="20" t="str">
        <x:v>待判定</x:v>
      </x:c>
      <x:c r="I1271" s="20"/>
      <x:c r="J1271" s="20" t="str">
        <x:v>未测试</x:v>
      </x:c>
      <x:c r="K1271" s="20"/>
      <x:c r="L1271" s="20"/>
      <x:c r="M1271" s="20"/>
      <x:c r="N1271" s="20"/>
      <x:c r="O1271" s="31"/>
      <x:c r="P1271" s="20"/>
      <x:c r="Q1271" s="20"/>
      <x:c r="R1271" s="20" t="str">
        <x:v>待展开</x:v>
      </x:c>
      <x:c r="S1271" s="20"/>
      <x:c r="T1271" s="31"/>
      <x:c r="U1271" s="30" t="str">
        <x:f>IF(A1271="","缺记录编号",IF(COUNTIFS(PathRecords[记录编号],A1271)&lt;&gt;1,"记录编号重复",IF(OR(B1271="",E1271=""),"缺组合/功能",IF(COUNTIFS(Equipment[组合编号],B1271)&lt;&gt;1,"组合编号无效",IF(COUNTIFS(FunctionMatrix[编号],E1271)=0,"功能编号无效",IF(H1271="不适用",IF(J1271="已实测","适用性冲突",IF(I1271="","待补不适用依据","不适用（非实测）")),IF(J1271="阻塞",IF(I1271="","待补阻塞原因","阻塞（非实测）"),IF(J1271&lt;&gt;"已实测",IF(F1271="","待展开路径","未实测"),IF(H1271&lt;&gt;"适用","待确认适用性",IF(INDEX(Equipment[登记状态（自动）],MATCH(B1271,Equipment[组合编号],0))&lt;&gt;"已登记","待补设备组合",IF(AND(F1271&lt;&gt;"",G1271&lt;&gt;"",K1271&lt;&gt;"",L1271&lt;&gt;"",M1271&lt;&gt;"",N1271&lt;&gt;"",ISNUMBER(O1271),O1271&gt;0,P1271&lt;&gt;""),"记录齐全","待补实测记录")))))))))))</x:f>
        <x:v>待展开路径</x:v>
      </x:c>
    </x:row>
    <x:row r="1272" ht="43.5" customHeight="1">
      <x:c r="A1272" s="20" t="str">
        <x:v>REC-01263</x:v>
      </x:c>
      <x:c r="B1272" s="20" t="str">
        <x:v>P3-B2-01</x:v>
      </x:c>
      <x:c r="C1272" s="30" t="str">
        <x:f>IF(B1272="","",IF(COUNTIFS(Equipment[组合编号],B1272)&lt;&gt;1,"组合编号无效",INDEX(Equipment[PLC组],MATCH(B1272,Equipment[组合编号],0))))</x:f>
        <x:v>欧姆龙</x:v>
      </x:c>
      <x:c r="D1272" s="30" t="str">
        <x:f>IF(B1272="","",IF(COUNTIFS(Equipment[组合编号],B1272)&lt;&gt;1,"组合编号无效",INDEX(Equipment[驱动品牌],MATCH(B1272,Equipment[组合编号],0))))</x:f>
        <x:v>台达</x:v>
      </x:c>
      <x:c r="E1272" s="20" t="str">
        <x:v>T08</x:v>
      </x:c>
      <x:c r="F1272" s="20"/>
      <x:c r="G1272" s="20"/>
      <x:c r="H1272" s="20" t="str">
        <x:v>待判定</x:v>
      </x:c>
      <x:c r="I1272" s="20"/>
      <x:c r="J1272" s="20" t="str">
        <x:v>未测试</x:v>
      </x:c>
      <x:c r="K1272" s="20"/>
      <x:c r="L1272" s="20"/>
      <x:c r="M1272" s="20"/>
      <x:c r="N1272" s="20"/>
      <x:c r="O1272" s="31"/>
      <x:c r="P1272" s="20"/>
      <x:c r="Q1272" s="20"/>
      <x:c r="R1272" s="20" t="str">
        <x:v>待展开</x:v>
      </x:c>
      <x:c r="S1272" s="20"/>
      <x:c r="T1272" s="31"/>
      <x:c r="U1272" s="30" t="str">
        <x:f>IF(A1272="","缺记录编号",IF(COUNTIFS(PathRecords[记录编号],A1272)&lt;&gt;1,"记录编号重复",IF(OR(B1272="",E1272=""),"缺组合/功能",IF(COUNTIFS(Equipment[组合编号],B1272)&lt;&gt;1,"组合编号无效",IF(COUNTIFS(FunctionMatrix[编号],E1272)=0,"功能编号无效",IF(H1272="不适用",IF(J1272="已实测","适用性冲突",IF(I1272="","待补不适用依据","不适用（非实测）")),IF(J1272="阻塞",IF(I1272="","待补阻塞原因","阻塞（非实测）"),IF(J1272&lt;&gt;"已实测",IF(F1272="","待展开路径","未实测"),IF(H1272&lt;&gt;"适用","待确认适用性",IF(INDEX(Equipment[登记状态（自动）],MATCH(B1272,Equipment[组合编号],0))&lt;&gt;"已登记","待补设备组合",IF(AND(F1272&lt;&gt;"",G1272&lt;&gt;"",K1272&lt;&gt;"",L1272&lt;&gt;"",M1272&lt;&gt;"",N1272&lt;&gt;"",ISNUMBER(O1272),O1272&gt;0,P1272&lt;&gt;""),"记录齐全","待补实测记录")))))))))))</x:f>
        <x:v>待展开路径</x:v>
      </x:c>
    </x:row>
    <x:row r="1273" ht="43.5" customHeight="1">
      <x:c r="A1273" s="20" t="str">
        <x:v>REC-01264</x:v>
      </x:c>
      <x:c r="B1273" s="20" t="str">
        <x:v>P3-B2-01</x:v>
      </x:c>
      <x:c r="C1273" s="30" t="str">
        <x:f>IF(B1273="","",IF(COUNTIFS(Equipment[组合编号],B1273)&lt;&gt;1,"组合编号无效",INDEX(Equipment[PLC组],MATCH(B1273,Equipment[组合编号],0))))</x:f>
        <x:v>欧姆龙</x:v>
      </x:c>
      <x:c r="D1273" s="30" t="str">
        <x:f>IF(B1273="","",IF(COUNTIFS(Equipment[组合编号],B1273)&lt;&gt;1,"组合编号无效",INDEX(Equipment[驱动品牌],MATCH(B1273,Equipment[组合编号],0))))</x:f>
        <x:v>台达</x:v>
      </x:c>
      <x:c r="E1273" s="20" t="str">
        <x:v>T09</x:v>
      </x:c>
      <x:c r="F1273" s="20"/>
      <x:c r="G1273" s="20"/>
      <x:c r="H1273" s="20" t="str">
        <x:v>待判定</x:v>
      </x:c>
      <x:c r="I1273" s="20"/>
      <x:c r="J1273" s="20" t="str">
        <x:v>未测试</x:v>
      </x:c>
      <x:c r="K1273" s="20"/>
      <x:c r="L1273" s="20"/>
      <x:c r="M1273" s="20"/>
      <x:c r="N1273" s="20"/>
      <x:c r="O1273" s="31"/>
      <x:c r="P1273" s="20"/>
      <x:c r="Q1273" s="20"/>
      <x:c r="R1273" s="20" t="str">
        <x:v>待展开</x:v>
      </x:c>
      <x:c r="S1273" s="20"/>
      <x:c r="T1273" s="31"/>
      <x:c r="U1273" s="30" t="str">
        <x:f>IF(A1273="","缺记录编号",IF(COUNTIFS(PathRecords[记录编号],A1273)&lt;&gt;1,"记录编号重复",IF(OR(B1273="",E1273=""),"缺组合/功能",IF(COUNTIFS(Equipment[组合编号],B1273)&lt;&gt;1,"组合编号无效",IF(COUNTIFS(FunctionMatrix[编号],E1273)=0,"功能编号无效",IF(H1273="不适用",IF(J1273="已实测","适用性冲突",IF(I1273="","待补不适用依据","不适用（非实测）")),IF(J1273="阻塞",IF(I1273="","待补阻塞原因","阻塞（非实测）"),IF(J1273&lt;&gt;"已实测",IF(F1273="","待展开路径","未实测"),IF(H1273&lt;&gt;"适用","待确认适用性",IF(INDEX(Equipment[登记状态（自动）],MATCH(B1273,Equipment[组合编号],0))&lt;&gt;"已登记","待补设备组合",IF(AND(F1273&lt;&gt;"",G1273&lt;&gt;"",K1273&lt;&gt;"",L1273&lt;&gt;"",M1273&lt;&gt;"",N1273&lt;&gt;"",ISNUMBER(O1273),O1273&gt;0,P1273&lt;&gt;""),"记录齐全","待补实测记录")))))))))))</x:f>
        <x:v>待展开路径</x:v>
      </x:c>
    </x:row>
    <x:row r="1274" ht="43.5" customHeight="1">
      <x:c r="A1274" s="20" t="str">
        <x:v>REC-01265</x:v>
      </x:c>
      <x:c r="B1274" s="20" t="str">
        <x:v>P3-B2-01</x:v>
      </x:c>
      <x:c r="C1274" s="30" t="str">
        <x:f>IF(B1274="","",IF(COUNTIFS(Equipment[组合编号],B1274)&lt;&gt;1,"组合编号无效",INDEX(Equipment[PLC组],MATCH(B1274,Equipment[组合编号],0))))</x:f>
        <x:v>欧姆龙</x:v>
      </x:c>
      <x:c r="D1274" s="30" t="str">
        <x:f>IF(B1274="","",IF(COUNTIFS(Equipment[组合编号],B1274)&lt;&gt;1,"组合编号无效",INDEX(Equipment[驱动品牌],MATCH(B1274,Equipment[组合编号],0))))</x:f>
        <x:v>台达</x:v>
      </x:c>
      <x:c r="E1274" s="20" t="str">
        <x:v>R01</x:v>
      </x:c>
      <x:c r="F1274" s="20"/>
      <x:c r="G1274" s="20"/>
      <x:c r="H1274" s="20" t="str">
        <x:v>待判定</x:v>
      </x:c>
      <x:c r="I1274" s="20"/>
      <x:c r="J1274" s="20" t="str">
        <x:v>未测试</x:v>
      </x:c>
      <x:c r="K1274" s="20"/>
      <x:c r="L1274" s="20"/>
      <x:c r="M1274" s="20"/>
      <x:c r="N1274" s="20"/>
      <x:c r="O1274" s="31"/>
      <x:c r="P1274" s="20"/>
      <x:c r="Q1274" s="20"/>
      <x:c r="R1274" s="20" t="str">
        <x:v>待展开</x:v>
      </x:c>
      <x:c r="S1274" s="20"/>
      <x:c r="T1274" s="31"/>
      <x:c r="U1274" s="30" t="str">
        <x:f>IF(A1274="","缺记录编号",IF(COUNTIFS(PathRecords[记录编号],A1274)&lt;&gt;1,"记录编号重复",IF(OR(B1274="",E1274=""),"缺组合/功能",IF(COUNTIFS(Equipment[组合编号],B1274)&lt;&gt;1,"组合编号无效",IF(COUNTIFS(FunctionMatrix[编号],E1274)=0,"功能编号无效",IF(H1274="不适用",IF(J1274="已实测","适用性冲突",IF(I1274="","待补不适用依据","不适用（非实测）")),IF(J1274="阻塞",IF(I1274="","待补阻塞原因","阻塞（非实测）"),IF(J1274&lt;&gt;"已实测",IF(F1274="","待展开路径","未实测"),IF(H1274&lt;&gt;"适用","待确认适用性",IF(INDEX(Equipment[登记状态（自动）],MATCH(B1274,Equipment[组合编号],0))&lt;&gt;"已登记","待补设备组合",IF(AND(F1274&lt;&gt;"",G1274&lt;&gt;"",K1274&lt;&gt;"",L1274&lt;&gt;"",M1274&lt;&gt;"",N1274&lt;&gt;"",ISNUMBER(O1274),O1274&gt;0,P1274&lt;&gt;""),"记录齐全","待补实测记录")))))))))))</x:f>
        <x:v>待展开路径</x:v>
      </x:c>
    </x:row>
    <x:row r="1275" ht="43.5" customHeight="1">
      <x:c r="A1275" s="20" t="str">
        <x:v>REC-01266</x:v>
      </x:c>
      <x:c r="B1275" s="20" t="str">
        <x:v>P3-B2-01</x:v>
      </x:c>
      <x:c r="C1275" s="30" t="str">
        <x:f>IF(B1275="","",IF(COUNTIFS(Equipment[组合编号],B1275)&lt;&gt;1,"组合编号无效",INDEX(Equipment[PLC组],MATCH(B1275,Equipment[组合编号],0))))</x:f>
        <x:v>欧姆龙</x:v>
      </x:c>
      <x:c r="D1275" s="30" t="str">
        <x:f>IF(B1275="","",IF(COUNTIFS(Equipment[组合编号],B1275)&lt;&gt;1,"组合编号无效",INDEX(Equipment[驱动品牌],MATCH(B1275,Equipment[组合编号],0))))</x:f>
        <x:v>台达</x:v>
      </x:c>
      <x:c r="E1275" s="20" t="str">
        <x:v>R02</x:v>
      </x:c>
      <x:c r="F1275" s="20"/>
      <x:c r="G1275" s="20"/>
      <x:c r="H1275" s="20" t="str">
        <x:v>待判定</x:v>
      </x:c>
      <x:c r="I1275" s="20"/>
      <x:c r="J1275" s="20" t="str">
        <x:v>未测试</x:v>
      </x:c>
      <x:c r="K1275" s="20"/>
      <x:c r="L1275" s="20"/>
      <x:c r="M1275" s="20"/>
      <x:c r="N1275" s="20"/>
      <x:c r="O1275" s="31"/>
      <x:c r="P1275" s="20"/>
      <x:c r="Q1275" s="20"/>
      <x:c r="R1275" s="20" t="str">
        <x:v>待展开</x:v>
      </x:c>
      <x:c r="S1275" s="20"/>
      <x:c r="T1275" s="31"/>
      <x:c r="U1275" s="30" t="str">
        <x:f>IF(A1275="","缺记录编号",IF(COUNTIFS(PathRecords[记录编号],A1275)&lt;&gt;1,"记录编号重复",IF(OR(B1275="",E1275=""),"缺组合/功能",IF(COUNTIFS(Equipment[组合编号],B1275)&lt;&gt;1,"组合编号无效",IF(COUNTIFS(FunctionMatrix[编号],E1275)=0,"功能编号无效",IF(H1275="不适用",IF(J1275="已实测","适用性冲突",IF(I1275="","待补不适用依据","不适用（非实测）")),IF(J1275="阻塞",IF(I1275="","待补阻塞原因","阻塞（非实测）"),IF(J1275&lt;&gt;"已实测",IF(F1275="","待展开路径","未实测"),IF(H1275&lt;&gt;"适用","待确认适用性",IF(INDEX(Equipment[登记状态（自动）],MATCH(B1275,Equipment[组合编号],0))&lt;&gt;"已登记","待补设备组合",IF(AND(F1275&lt;&gt;"",G1275&lt;&gt;"",K1275&lt;&gt;"",L1275&lt;&gt;"",M1275&lt;&gt;"",N1275&lt;&gt;"",ISNUMBER(O1275),O1275&gt;0,P1275&lt;&gt;""),"记录齐全","待补实测记录")))))))))))</x:f>
        <x:v>待展开路径</x:v>
      </x:c>
    </x:row>
    <x:row r="1276" ht="43.5" customHeight="1">
      <x:c r="A1276" s="20" t="str">
        <x:v>REC-01267</x:v>
      </x:c>
      <x:c r="B1276" s="20" t="str">
        <x:v>P3-B2-01</x:v>
      </x:c>
      <x:c r="C1276" s="30" t="str">
        <x:f>IF(B1276="","",IF(COUNTIFS(Equipment[组合编号],B1276)&lt;&gt;1,"组合编号无效",INDEX(Equipment[PLC组],MATCH(B1276,Equipment[组合编号],0))))</x:f>
        <x:v>欧姆龙</x:v>
      </x:c>
      <x:c r="D1276" s="30" t="str">
        <x:f>IF(B1276="","",IF(COUNTIFS(Equipment[组合编号],B1276)&lt;&gt;1,"组合编号无效",INDEX(Equipment[驱动品牌],MATCH(B1276,Equipment[组合编号],0))))</x:f>
        <x:v>台达</x:v>
      </x:c>
      <x:c r="E1276" s="20" t="str">
        <x:v>R03</x:v>
      </x:c>
      <x:c r="F1276" s="20"/>
      <x:c r="G1276" s="20"/>
      <x:c r="H1276" s="20" t="str">
        <x:v>待判定</x:v>
      </x:c>
      <x:c r="I1276" s="20"/>
      <x:c r="J1276" s="20" t="str">
        <x:v>未测试</x:v>
      </x:c>
      <x:c r="K1276" s="20"/>
      <x:c r="L1276" s="20"/>
      <x:c r="M1276" s="20"/>
      <x:c r="N1276" s="20"/>
      <x:c r="O1276" s="31"/>
      <x:c r="P1276" s="20"/>
      <x:c r="Q1276" s="20"/>
      <x:c r="R1276" s="20" t="str">
        <x:v>待展开</x:v>
      </x:c>
      <x:c r="S1276" s="20"/>
      <x:c r="T1276" s="31"/>
      <x:c r="U1276" s="30" t="str">
        <x:f>IF(A1276="","缺记录编号",IF(COUNTIFS(PathRecords[记录编号],A1276)&lt;&gt;1,"记录编号重复",IF(OR(B1276="",E1276=""),"缺组合/功能",IF(COUNTIFS(Equipment[组合编号],B1276)&lt;&gt;1,"组合编号无效",IF(COUNTIFS(FunctionMatrix[编号],E1276)=0,"功能编号无效",IF(H1276="不适用",IF(J1276="已实测","适用性冲突",IF(I1276="","待补不适用依据","不适用（非实测）")),IF(J1276="阻塞",IF(I1276="","待补阻塞原因","阻塞（非实测）"),IF(J1276&lt;&gt;"已实测",IF(F1276="","待展开路径","未实测"),IF(H1276&lt;&gt;"适用","待确认适用性",IF(INDEX(Equipment[登记状态（自动）],MATCH(B1276,Equipment[组合编号],0))&lt;&gt;"已登记","待补设备组合",IF(AND(F1276&lt;&gt;"",G1276&lt;&gt;"",K1276&lt;&gt;"",L1276&lt;&gt;"",M1276&lt;&gt;"",N1276&lt;&gt;"",ISNUMBER(O1276),O1276&gt;0,P1276&lt;&gt;""),"记录齐全","待补实测记录")))))))))))</x:f>
        <x:v>待展开路径</x:v>
      </x:c>
    </x:row>
    <x:row r="1277" ht="43.5" customHeight="1">
      <x:c r="A1277" s="20" t="str">
        <x:v>REC-01268</x:v>
      </x:c>
      <x:c r="B1277" s="20" t="str">
        <x:v>P3-B2-01</x:v>
      </x:c>
      <x:c r="C1277" s="30" t="str">
        <x:f>IF(B1277="","",IF(COUNTIFS(Equipment[组合编号],B1277)&lt;&gt;1,"组合编号无效",INDEX(Equipment[PLC组],MATCH(B1277,Equipment[组合编号],0))))</x:f>
        <x:v>欧姆龙</x:v>
      </x:c>
      <x:c r="D1277" s="30" t="str">
        <x:f>IF(B1277="","",IF(COUNTIFS(Equipment[组合编号],B1277)&lt;&gt;1,"组合编号无效",INDEX(Equipment[驱动品牌],MATCH(B1277,Equipment[组合编号],0))))</x:f>
        <x:v>台达</x:v>
      </x:c>
      <x:c r="E1277" s="20" t="str">
        <x:v>R04</x:v>
      </x:c>
      <x:c r="F1277" s="20"/>
      <x:c r="G1277" s="20"/>
      <x:c r="H1277" s="20" t="str">
        <x:v>待判定</x:v>
      </x:c>
      <x:c r="I1277" s="20"/>
      <x:c r="J1277" s="20" t="str">
        <x:v>未测试</x:v>
      </x:c>
      <x:c r="K1277" s="20"/>
      <x:c r="L1277" s="20"/>
      <x:c r="M1277" s="20"/>
      <x:c r="N1277" s="20"/>
      <x:c r="O1277" s="31"/>
      <x:c r="P1277" s="20"/>
      <x:c r="Q1277" s="20"/>
      <x:c r="R1277" s="20" t="str">
        <x:v>待展开</x:v>
      </x:c>
      <x:c r="S1277" s="20"/>
      <x:c r="T1277" s="31"/>
      <x:c r="U1277" s="30" t="str">
        <x:f>IF(A1277="","缺记录编号",IF(COUNTIFS(PathRecords[记录编号],A1277)&lt;&gt;1,"记录编号重复",IF(OR(B1277="",E1277=""),"缺组合/功能",IF(COUNTIFS(Equipment[组合编号],B1277)&lt;&gt;1,"组合编号无效",IF(COUNTIFS(FunctionMatrix[编号],E1277)=0,"功能编号无效",IF(H1277="不适用",IF(J1277="已实测","适用性冲突",IF(I1277="","待补不适用依据","不适用（非实测）")),IF(J1277="阻塞",IF(I1277="","待补阻塞原因","阻塞（非实测）"),IF(J1277&lt;&gt;"已实测",IF(F1277="","待展开路径","未实测"),IF(H1277&lt;&gt;"适用","待确认适用性",IF(INDEX(Equipment[登记状态（自动）],MATCH(B1277,Equipment[组合编号],0))&lt;&gt;"已登记","待补设备组合",IF(AND(F1277&lt;&gt;"",G1277&lt;&gt;"",K1277&lt;&gt;"",L1277&lt;&gt;"",M1277&lt;&gt;"",N1277&lt;&gt;"",ISNUMBER(O1277),O1277&gt;0,P1277&lt;&gt;""),"记录齐全","待补实测记录")))))))))))</x:f>
        <x:v>待展开路径</x:v>
      </x:c>
    </x:row>
    <x:row r="1278" ht="43.5" customHeight="1">
      <x:c r="A1278" s="20" t="str">
        <x:v>REC-01269</x:v>
      </x:c>
      <x:c r="B1278" s="20" t="str">
        <x:v>P3-B2-01</x:v>
      </x:c>
      <x:c r="C1278" s="30" t="str">
        <x:f>IF(B1278="","",IF(COUNTIFS(Equipment[组合编号],B1278)&lt;&gt;1,"组合编号无效",INDEX(Equipment[PLC组],MATCH(B1278,Equipment[组合编号],0))))</x:f>
        <x:v>欧姆龙</x:v>
      </x:c>
      <x:c r="D1278" s="30" t="str">
        <x:f>IF(B1278="","",IF(COUNTIFS(Equipment[组合编号],B1278)&lt;&gt;1,"组合编号无效",INDEX(Equipment[驱动品牌],MATCH(B1278,Equipment[组合编号],0))))</x:f>
        <x:v>台达</x:v>
      </x:c>
      <x:c r="E1278" s="20" t="str">
        <x:v>R05</x:v>
      </x:c>
      <x:c r="F1278" s="20"/>
      <x:c r="G1278" s="20"/>
      <x:c r="H1278" s="20" t="str">
        <x:v>待判定</x:v>
      </x:c>
      <x:c r="I1278" s="20"/>
      <x:c r="J1278" s="20" t="str">
        <x:v>未测试</x:v>
      </x:c>
      <x:c r="K1278" s="20"/>
      <x:c r="L1278" s="20"/>
      <x:c r="M1278" s="20"/>
      <x:c r="N1278" s="20"/>
      <x:c r="O1278" s="31"/>
      <x:c r="P1278" s="20"/>
      <x:c r="Q1278" s="20"/>
      <x:c r="R1278" s="20" t="str">
        <x:v>待展开</x:v>
      </x:c>
      <x:c r="S1278" s="20"/>
      <x:c r="T1278" s="31"/>
      <x:c r="U1278" s="30" t="str">
        <x:f>IF(A1278="","缺记录编号",IF(COUNTIFS(PathRecords[记录编号],A1278)&lt;&gt;1,"记录编号重复",IF(OR(B1278="",E1278=""),"缺组合/功能",IF(COUNTIFS(Equipment[组合编号],B1278)&lt;&gt;1,"组合编号无效",IF(COUNTIFS(FunctionMatrix[编号],E1278)=0,"功能编号无效",IF(H1278="不适用",IF(J1278="已实测","适用性冲突",IF(I1278="","待补不适用依据","不适用（非实测）")),IF(J1278="阻塞",IF(I1278="","待补阻塞原因","阻塞（非实测）"),IF(J1278&lt;&gt;"已实测",IF(F1278="","待展开路径","未实测"),IF(H1278&lt;&gt;"适用","待确认适用性",IF(INDEX(Equipment[登记状态（自动）],MATCH(B1278,Equipment[组合编号],0))&lt;&gt;"已登记","待补设备组合",IF(AND(F1278&lt;&gt;"",G1278&lt;&gt;"",K1278&lt;&gt;"",L1278&lt;&gt;"",M1278&lt;&gt;"",N1278&lt;&gt;"",ISNUMBER(O1278),O1278&gt;0,P1278&lt;&gt;""),"记录齐全","待补实测记录")))))))))))</x:f>
        <x:v>待展开路径</x:v>
      </x:c>
    </x:row>
    <x:row r="1279" ht="43.5" customHeight="1">
      <x:c r="A1279" s="20" t="str">
        <x:v>REC-01270</x:v>
      </x:c>
      <x:c r="B1279" s="20" t="str">
        <x:v>P3-B2-01</x:v>
      </x:c>
      <x:c r="C1279" s="30" t="str">
        <x:f>IF(B1279="","",IF(COUNTIFS(Equipment[组合编号],B1279)&lt;&gt;1,"组合编号无效",INDEX(Equipment[PLC组],MATCH(B1279,Equipment[组合编号],0))))</x:f>
        <x:v>欧姆龙</x:v>
      </x:c>
      <x:c r="D1279" s="30" t="str">
        <x:f>IF(B1279="","",IF(COUNTIFS(Equipment[组合编号],B1279)&lt;&gt;1,"组合编号无效",INDEX(Equipment[驱动品牌],MATCH(B1279,Equipment[组合编号],0))))</x:f>
        <x:v>台达</x:v>
      </x:c>
      <x:c r="E1279" s="20" t="str">
        <x:v>R06</x:v>
      </x:c>
      <x:c r="F1279" s="20"/>
      <x:c r="G1279" s="20"/>
      <x:c r="H1279" s="20" t="str">
        <x:v>待判定</x:v>
      </x:c>
      <x:c r="I1279" s="20"/>
      <x:c r="J1279" s="20" t="str">
        <x:v>未测试</x:v>
      </x:c>
      <x:c r="K1279" s="20"/>
      <x:c r="L1279" s="20"/>
      <x:c r="M1279" s="20"/>
      <x:c r="N1279" s="20"/>
      <x:c r="O1279" s="31"/>
      <x:c r="P1279" s="20"/>
      <x:c r="Q1279" s="20"/>
      <x:c r="R1279" s="20" t="str">
        <x:v>待展开</x:v>
      </x:c>
      <x:c r="S1279" s="20"/>
      <x:c r="T1279" s="31"/>
      <x:c r="U1279" s="30" t="str">
        <x:f>IF(A1279="","缺记录编号",IF(COUNTIFS(PathRecords[记录编号],A1279)&lt;&gt;1,"记录编号重复",IF(OR(B1279="",E1279=""),"缺组合/功能",IF(COUNTIFS(Equipment[组合编号],B1279)&lt;&gt;1,"组合编号无效",IF(COUNTIFS(FunctionMatrix[编号],E1279)=0,"功能编号无效",IF(H1279="不适用",IF(J1279="已实测","适用性冲突",IF(I1279="","待补不适用依据","不适用（非实测）")),IF(J1279="阻塞",IF(I1279="","待补阻塞原因","阻塞（非实测）"),IF(J1279&lt;&gt;"已实测",IF(F1279="","待展开路径","未实测"),IF(H1279&lt;&gt;"适用","待确认适用性",IF(INDEX(Equipment[登记状态（自动）],MATCH(B1279,Equipment[组合编号],0))&lt;&gt;"已登记","待补设备组合",IF(AND(F1279&lt;&gt;"",G1279&lt;&gt;"",K1279&lt;&gt;"",L1279&lt;&gt;"",M1279&lt;&gt;"",N1279&lt;&gt;"",ISNUMBER(O1279),O1279&gt;0,P1279&lt;&gt;""),"记录齐全","待补实测记录")))))))))))</x:f>
        <x:v>待展开路径</x:v>
      </x:c>
    </x:row>
    <x:row r="1280" ht="43.5" customHeight="1">
      <x:c r="A1280" s="20" t="str">
        <x:v>REC-01271</x:v>
      </x:c>
      <x:c r="B1280" s="20" t="str">
        <x:v>P3-B2-01</x:v>
      </x:c>
      <x:c r="C1280" s="30" t="str">
        <x:f>IF(B1280="","",IF(COUNTIFS(Equipment[组合编号],B1280)&lt;&gt;1,"组合编号无效",INDEX(Equipment[PLC组],MATCH(B1280,Equipment[组合编号],0))))</x:f>
        <x:v>欧姆龙</x:v>
      </x:c>
      <x:c r="D1280" s="30" t="str">
        <x:f>IF(B1280="","",IF(COUNTIFS(Equipment[组合编号],B1280)&lt;&gt;1,"组合编号无效",INDEX(Equipment[驱动品牌],MATCH(B1280,Equipment[组合编号],0))))</x:f>
        <x:v>台达</x:v>
      </x:c>
      <x:c r="E1280" s="20" t="str">
        <x:v>R07</x:v>
      </x:c>
      <x:c r="F1280" s="20"/>
      <x:c r="G1280" s="20"/>
      <x:c r="H1280" s="20" t="str">
        <x:v>待判定</x:v>
      </x:c>
      <x:c r="I1280" s="20"/>
      <x:c r="J1280" s="20" t="str">
        <x:v>未测试</x:v>
      </x:c>
      <x:c r="K1280" s="20"/>
      <x:c r="L1280" s="20"/>
      <x:c r="M1280" s="20"/>
      <x:c r="N1280" s="20"/>
      <x:c r="O1280" s="31"/>
      <x:c r="P1280" s="20"/>
      <x:c r="Q1280" s="20"/>
      <x:c r="R1280" s="20" t="str">
        <x:v>待展开</x:v>
      </x:c>
      <x:c r="S1280" s="20"/>
      <x:c r="T1280" s="31"/>
      <x:c r="U1280" s="30" t="str">
        <x:f>IF(A1280="","缺记录编号",IF(COUNTIFS(PathRecords[记录编号],A1280)&lt;&gt;1,"记录编号重复",IF(OR(B1280="",E1280=""),"缺组合/功能",IF(COUNTIFS(Equipment[组合编号],B1280)&lt;&gt;1,"组合编号无效",IF(COUNTIFS(FunctionMatrix[编号],E1280)=0,"功能编号无效",IF(H1280="不适用",IF(J1280="已实测","适用性冲突",IF(I1280="","待补不适用依据","不适用（非实测）")),IF(J1280="阻塞",IF(I1280="","待补阻塞原因","阻塞（非实测）"),IF(J1280&lt;&gt;"已实测",IF(F1280="","待展开路径","未实测"),IF(H1280&lt;&gt;"适用","待确认适用性",IF(INDEX(Equipment[登记状态（自动）],MATCH(B1280,Equipment[组合编号],0))&lt;&gt;"已登记","待补设备组合",IF(AND(F1280&lt;&gt;"",G1280&lt;&gt;"",K1280&lt;&gt;"",L1280&lt;&gt;"",M1280&lt;&gt;"",N1280&lt;&gt;"",ISNUMBER(O1280),O1280&gt;0,P1280&lt;&gt;""),"记录齐全","待补实测记录")))))))))))</x:f>
        <x:v>待展开路径</x:v>
      </x:c>
    </x:row>
    <x:row r="1281" ht="43.5" customHeight="1">
      <x:c r="A1281" s="20" t="str">
        <x:v>REC-01272</x:v>
      </x:c>
      <x:c r="B1281" s="20" t="str">
        <x:v>P3-B2-01</x:v>
      </x:c>
      <x:c r="C1281" s="30" t="str">
        <x:f>IF(B1281="","",IF(COUNTIFS(Equipment[组合编号],B1281)&lt;&gt;1,"组合编号无效",INDEX(Equipment[PLC组],MATCH(B1281,Equipment[组合编号],0))))</x:f>
        <x:v>欧姆龙</x:v>
      </x:c>
      <x:c r="D1281" s="30" t="str">
        <x:f>IF(B1281="","",IF(COUNTIFS(Equipment[组合编号],B1281)&lt;&gt;1,"组合编号无效",INDEX(Equipment[驱动品牌],MATCH(B1281,Equipment[组合编号],0))))</x:f>
        <x:v>台达</x:v>
      </x:c>
      <x:c r="E1281" s="20" t="str">
        <x:v>R08</x:v>
      </x:c>
      <x:c r="F1281" s="20"/>
      <x:c r="G1281" s="20"/>
      <x:c r="H1281" s="20" t="str">
        <x:v>待判定</x:v>
      </x:c>
      <x:c r="I1281" s="20"/>
      <x:c r="J1281" s="20" t="str">
        <x:v>未测试</x:v>
      </x:c>
      <x:c r="K1281" s="20"/>
      <x:c r="L1281" s="20"/>
      <x:c r="M1281" s="20"/>
      <x:c r="N1281" s="20"/>
      <x:c r="O1281" s="31"/>
      <x:c r="P1281" s="20"/>
      <x:c r="Q1281" s="20"/>
      <x:c r="R1281" s="20" t="str">
        <x:v>待展开</x:v>
      </x:c>
      <x:c r="S1281" s="20"/>
      <x:c r="T1281" s="31"/>
      <x:c r="U1281" s="30" t="str">
        <x:f>IF(A1281="","缺记录编号",IF(COUNTIFS(PathRecords[记录编号],A1281)&lt;&gt;1,"记录编号重复",IF(OR(B1281="",E1281=""),"缺组合/功能",IF(COUNTIFS(Equipment[组合编号],B1281)&lt;&gt;1,"组合编号无效",IF(COUNTIFS(FunctionMatrix[编号],E1281)=0,"功能编号无效",IF(H1281="不适用",IF(J1281="已实测","适用性冲突",IF(I1281="","待补不适用依据","不适用（非实测）")),IF(J1281="阻塞",IF(I1281="","待补阻塞原因","阻塞（非实测）"),IF(J1281&lt;&gt;"已实测",IF(F1281="","待展开路径","未实测"),IF(H1281&lt;&gt;"适用","待确认适用性",IF(INDEX(Equipment[登记状态（自动）],MATCH(B1281,Equipment[组合编号],0))&lt;&gt;"已登记","待补设备组合",IF(AND(F1281&lt;&gt;"",G1281&lt;&gt;"",K1281&lt;&gt;"",L1281&lt;&gt;"",M1281&lt;&gt;"",N1281&lt;&gt;"",ISNUMBER(O1281),O1281&gt;0,P1281&lt;&gt;""),"记录齐全","待补实测记录")))))))))))</x:f>
        <x:v>待展开路径</x:v>
      </x:c>
    </x:row>
    <x:row r="1282" ht="43.5" customHeight="1">
      <x:c r="A1282" s="20" t="str">
        <x:v>REC-01273</x:v>
      </x:c>
      <x:c r="B1282" s="20" t="str">
        <x:v>P3-B3-01</x:v>
      </x:c>
      <x:c r="C1282" s="30" t="str">
        <x:f>IF(B1282="","",IF(COUNTIFS(Equipment[组合编号],B1282)&lt;&gt;1,"组合编号无效",INDEX(Equipment[PLC组],MATCH(B1282,Equipment[组合编号],0))))</x:f>
        <x:v>欧姆龙</x:v>
      </x:c>
      <x:c r="D1282" s="30" t="str">
        <x:f>IF(B1282="","",IF(COUNTIFS(Equipment[组合编号],B1282)&lt;&gt;1,"组合编号无效",INDEX(Equipment[驱动品牌],MATCH(B1282,Equipment[组合编号],0))))</x:f>
        <x:v>繁易</x:v>
      </x:c>
      <x:c r="E1282" s="20" t="str">
        <x:v>M01</x:v>
      </x:c>
      <x:c r="F1282" s="20"/>
      <x:c r="G1282" s="20"/>
      <x:c r="H1282" s="20" t="str">
        <x:v>待判定</x:v>
      </x:c>
      <x:c r="I1282" s="20"/>
      <x:c r="J1282" s="20" t="str">
        <x:v>未测试</x:v>
      </x:c>
      <x:c r="K1282" s="20"/>
      <x:c r="L1282" s="20"/>
      <x:c r="M1282" s="20"/>
      <x:c r="N1282" s="20"/>
      <x:c r="O1282" s="31"/>
      <x:c r="P1282" s="20"/>
      <x:c r="Q1282" s="20"/>
      <x:c r="R1282" s="20" t="str">
        <x:v>待展开</x:v>
      </x:c>
      <x:c r="S1282" s="20"/>
      <x:c r="T1282" s="31"/>
      <x:c r="U1282" s="30" t="str">
        <x:f>IF(A1282="","缺记录编号",IF(COUNTIFS(PathRecords[记录编号],A1282)&lt;&gt;1,"记录编号重复",IF(OR(B1282="",E1282=""),"缺组合/功能",IF(COUNTIFS(Equipment[组合编号],B1282)&lt;&gt;1,"组合编号无效",IF(COUNTIFS(FunctionMatrix[编号],E1282)=0,"功能编号无效",IF(H1282="不适用",IF(J1282="已实测","适用性冲突",IF(I1282="","待补不适用依据","不适用（非实测）")),IF(J1282="阻塞",IF(I1282="","待补阻塞原因","阻塞（非实测）"),IF(J1282&lt;&gt;"已实测",IF(F1282="","待展开路径","未实测"),IF(H1282&lt;&gt;"适用","待确认适用性",IF(INDEX(Equipment[登记状态（自动）],MATCH(B1282,Equipment[组合编号],0))&lt;&gt;"已登记","待补设备组合",IF(AND(F1282&lt;&gt;"",G1282&lt;&gt;"",K1282&lt;&gt;"",L1282&lt;&gt;"",M1282&lt;&gt;"",N1282&lt;&gt;"",ISNUMBER(O1282),O1282&gt;0,P1282&lt;&gt;""),"记录齐全","待补实测记录")))))))))))</x:f>
        <x:v>待展开路径</x:v>
      </x:c>
    </x:row>
    <x:row r="1283" ht="43.5" customHeight="1">
      <x:c r="A1283" s="20" t="str">
        <x:v>REC-01274</x:v>
      </x:c>
      <x:c r="B1283" s="20" t="str">
        <x:v>P3-B3-01</x:v>
      </x:c>
      <x:c r="C1283" s="30" t="str">
        <x:f>IF(B1283="","",IF(COUNTIFS(Equipment[组合编号],B1283)&lt;&gt;1,"组合编号无效",INDEX(Equipment[PLC组],MATCH(B1283,Equipment[组合编号],0))))</x:f>
        <x:v>欧姆龙</x:v>
      </x:c>
      <x:c r="D1283" s="30" t="str">
        <x:f>IF(B1283="","",IF(COUNTIFS(Equipment[组合编号],B1283)&lt;&gt;1,"组合编号无效",INDEX(Equipment[驱动品牌],MATCH(B1283,Equipment[组合编号],0))))</x:f>
        <x:v>繁易</x:v>
      </x:c>
      <x:c r="E1283" s="20" t="str">
        <x:v>M02</x:v>
      </x:c>
      <x:c r="F1283" s="20"/>
      <x:c r="G1283" s="20"/>
      <x:c r="H1283" s="20" t="str">
        <x:v>待判定</x:v>
      </x:c>
      <x:c r="I1283" s="20"/>
      <x:c r="J1283" s="20" t="str">
        <x:v>未测试</x:v>
      </x:c>
      <x:c r="K1283" s="20"/>
      <x:c r="L1283" s="20"/>
      <x:c r="M1283" s="20"/>
      <x:c r="N1283" s="20"/>
      <x:c r="O1283" s="31"/>
      <x:c r="P1283" s="20"/>
      <x:c r="Q1283" s="20"/>
      <x:c r="R1283" s="20" t="str">
        <x:v>待展开</x:v>
      </x:c>
      <x:c r="S1283" s="20"/>
      <x:c r="T1283" s="31"/>
      <x:c r="U1283" s="30" t="str">
        <x:f>IF(A1283="","缺记录编号",IF(COUNTIFS(PathRecords[记录编号],A1283)&lt;&gt;1,"记录编号重复",IF(OR(B1283="",E1283=""),"缺组合/功能",IF(COUNTIFS(Equipment[组合编号],B1283)&lt;&gt;1,"组合编号无效",IF(COUNTIFS(FunctionMatrix[编号],E1283)=0,"功能编号无效",IF(H1283="不适用",IF(J1283="已实测","适用性冲突",IF(I1283="","待补不适用依据","不适用（非实测）")),IF(J1283="阻塞",IF(I1283="","待补阻塞原因","阻塞（非实测）"),IF(J1283&lt;&gt;"已实测",IF(F1283="","待展开路径","未实测"),IF(H1283&lt;&gt;"适用","待确认适用性",IF(INDEX(Equipment[登记状态（自动）],MATCH(B1283,Equipment[组合编号],0))&lt;&gt;"已登记","待补设备组合",IF(AND(F1283&lt;&gt;"",G1283&lt;&gt;"",K1283&lt;&gt;"",L1283&lt;&gt;"",M1283&lt;&gt;"",N1283&lt;&gt;"",ISNUMBER(O1283),O1283&gt;0,P1283&lt;&gt;""),"记录齐全","待补实测记录")))))))))))</x:f>
        <x:v>待展开路径</x:v>
      </x:c>
    </x:row>
    <x:row r="1284" ht="43.5" customHeight="1">
      <x:c r="A1284" s="20" t="str">
        <x:v>REC-01275</x:v>
      </x:c>
      <x:c r="B1284" s="20" t="str">
        <x:v>P3-B3-01</x:v>
      </x:c>
      <x:c r="C1284" s="30" t="str">
        <x:f>IF(B1284="","",IF(COUNTIFS(Equipment[组合编号],B1284)&lt;&gt;1,"组合编号无效",INDEX(Equipment[PLC组],MATCH(B1284,Equipment[组合编号],0))))</x:f>
        <x:v>欧姆龙</x:v>
      </x:c>
      <x:c r="D1284" s="30" t="str">
        <x:f>IF(B1284="","",IF(COUNTIFS(Equipment[组合编号],B1284)&lt;&gt;1,"组合编号无效",INDEX(Equipment[驱动品牌],MATCH(B1284,Equipment[组合编号],0))))</x:f>
        <x:v>繁易</x:v>
      </x:c>
      <x:c r="E1284" s="20" t="str">
        <x:v>M03</x:v>
      </x:c>
      <x:c r="F1284" s="20"/>
      <x:c r="G1284" s="20"/>
      <x:c r="H1284" s="20" t="str">
        <x:v>待判定</x:v>
      </x:c>
      <x:c r="I1284" s="20"/>
      <x:c r="J1284" s="20" t="str">
        <x:v>未测试</x:v>
      </x:c>
      <x:c r="K1284" s="20"/>
      <x:c r="L1284" s="20"/>
      <x:c r="M1284" s="20"/>
      <x:c r="N1284" s="20"/>
      <x:c r="O1284" s="31"/>
      <x:c r="P1284" s="20"/>
      <x:c r="Q1284" s="20"/>
      <x:c r="R1284" s="20" t="str">
        <x:v>待展开</x:v>
      </x:c>
      <x:c r="S1284" s="20"/>
      <x:c r="T1284" s="31"/>
      <x:c r="U1284" s="30" t="str">
        <x:f>IF(A1284="","缺记录编号",IF(COUNTIFS(PathRecords[记录编号],A1284)&lt;&gt;1,"记录编号重复",IF(OR(B1284="",E1284=""),"缺组合/功能",IF(COUNTIFS(Equipment[组合编号],B1284)&lt;&gt;1,"组合编号无效",IF(COUNTIFS(FunctionMatrix[编号],E1284)=0,"功能编号无效",IF(H1284="不适用",IF(J1284="已实测","适用性冲突",IF(I1284="","待补不适用依据","不适用（非实测）")),IF(J1284="阻塞",IF(I1284="","待补阻塞原因","阻塞（非实测）"),IF(J1284&lt;&gt;"已实测",IF(F1284="","待展开路径","未实测"),IF(H1284&lt;&gt;"适用","待确认适用性",IF(INDEX(Equipment[登记状态（自动）],MATCH(B1284,Equipment[组合编号],0))&lt;&gt;"已登记","待补设备组合",IF(AND(F1284&lt;&gt;"",G1284&lt;&gt;"",K1284&lt;&gt;"",L1284&lt;&gt;"",M1284&lt;&gt;"",N1284&lt;&gt;"",ISNUMBER(O1284),O1284&gt;0,P1284&lt;&gt;""),"记录齐全","待补实测记录")))))))))))</x:f>
        <x:v>待展开路径</x:v>
      </x:c>
    </x:row>
    <x:row r="1285" ht="43.5" customHeight="1">
      <x:c r="A1285" s="20" t="str">
        <x:v>REC-01276</x:v>
      </x:c>
      <x:c r="B1285" s="20" t="str">
        <x:v>P3-B3-01</x:v>
      </x:c>
      <x:c r="C1285" s="30" t="str">
        <x:f>IF(B1285="","",IF(COUNTIFS(Equipment[组合编号],B1285)&lt;&gt;1,"组合编号无效",INDEX(Equipment[PLC组],MATCH(B1285,Equipment[组合编号],0))))</x:f>
        <x:v>欧姆龙</x:v>
      </x:c>
      <x:c r="D1285" s="30" t="str">
        <x:f>IF(B1285="","",IF(COUNTIFS(Equipment[组合编号],B1285)&lt;&gt;1,"组合编号无效",INDEX(Equipment[驱动品牌],MATCH(B1285,Equipment[组合编号],0))))</x:f>
        <x:v>繁易</x:v>
      </x:c>
      <x:c r="E1285" s="20" t="str">
        <x:v>M04</x:v>
      </x:c>
      <x:c r="F1285" s="20"/>
      <x:c r="G1285" s="20"/>
      <x:c r="H1285" s="20" t="str">
        <x:v>待判定</x:v>
      </x:c>
      <x:c r="I1285" s="20"/>
      <x:c r="J1285" s="20" t="str">
        <x:v>未测试</x:v>
      </x:c>
      <x:c r="K1285" s="20"/>
      <x:c r="L1285" s="20"/>
      <x:c r="M1285" s="20"/>
      <x:c r="N1285" s="20"/>
      <x:c r="O1285" s="31"/>
      <x:c r="P1285" s="20"/>
      <x:c r="Q1285" s="20"/>
      <x:c r="R1285" s="20" t="str">
        <x:v>待展开</x:v>
      </x:c>
      <x:c r="S1285" s="20"/>
      <x:c r="T1285" s="31"/>
      <x:c r="U1285" s="30" t="str">
        <x:f>IF(A1285="","缺记录编号",IF(COUNTIFS(PathRecords[记录编号],A1285)&lt;&gt;1,"记录编号重复",IF(OR(B1285="",E1285=""),"缺组合/功能",IF(COUNTIFS(Equipment[组合编号],B1285)&lt;&gt;1,"组合编号无效",IF(COUNTIFS(FunctionMatrix[编号],E1285)=0,"功能编号无效",IF(H1285="不适用",IF(J1285="已实测","适用性冲突",IF(I1285="","待补不适用依据","不适用（非实测）")),IF(J1285="阻塞",IF(I1285="","待补阻塞原因","阻塞（非实测）"),IF(J1285&lt;&gt;"已实测",IF(F1285="","待展开路径","未实测"),IF(H1285&lt;&gt;"适用","待确认适用性",IF(INDEX(Equipment[登记状态（自动）],MATCH(B1285,Equipment[组合编号],0))&lt;&gt;"已登记","待补设备组合",IF(AND(F1285&lt;&gt;"",G1285&lt;&gt;"",K1285&lt;&gt;"",L1285&lt;&gt;"",M1285&lt;&gt;"",N1285&lt;&gt;"",ISNUMBER(O1285),O1285&gt;0,P1285&lt;&gt;""),"记录齐全","待补实测记录")))))))))))</x:f>
        <x:v>待展开路径</x:v>
      </x:c>
    </x:row>
    <x:row r="1286" ht="43.5" customHeight="1">
      <x:c r="A1286" s="20" t="str">
        <x:v>REC-01277</x:v>
      </x:c>
      <x:c r="B1286" s="20" t="str">
        <x:v>P3-B3-01</x:v>
      </x:c>
      <x:c r="C1286" s="30" t="str">
        <x:f>IF(B1286="","",IF(COUNTIFS(Equipment[组合编号],B1286)&lt;&gt;1,"组合编号无效",INDEX(Equipment[PLC组],MATCH(B1286,Equipment[组合编号],0))))</x:f>
        <x:v>欧姆龙</x:v>
      </x:c>
      <x:c r="D1286" s="30" t="str">
        <x:f>IF(B1286="","",IF(COUNTIFS(Equipment[组合编号],B1286)&lt;&gt;1,"组合编号无效",INDEX(Equipment[驱动品牌],MATCH(B1286,Equipment[组合编号],0))))</x:f>
        <x:v>繁易</x:v>
      </x:c>
      <x:c r="E1286" s="20" t="str">
        <x:v>M05</x:v>
      </x:c>
      <x:c r="F1286" s="20"/>
      <x:c r="G1286" s="20"/>
      <x:c r="H1286" s="20" t="str">
        <x:v>待判定</x:v>
      </x:c>
      <x:c r="I1286" s="20"/>
      <x:c r="J1286" s="20" t="str">
        <x:v>未测试</x:v>
      </x:c>
      <x:c r="K1286" s="20"/>
      <x:c r="L1286" s="20"/>
      <x:c r="M1286" s="20"/>
      <x:c r="N1286" s="20"/>
      <x:c r="O1286" s="31"/>
      <x:c r="P1286" s="20"/>
      <x:c r="Q1286" s="20"/>
      <x:c r="R1286" s="20" t="str">
        <x:v>待展开</x:v>
      </x:c>
      <x:c r="S1286" s="20"/>
      <x:c r="T1286" s="31"/>
      <x:c r="U1286" s="30" t="str">
        <x:f>IF(A1286="","缺记录编号",IF(COUNTIFS(PathRecords[记录编号],A1286)&lt;&gt;1,"记录编号重复",IF(OR(B1286="",E1286=""),"缺组合/功能",IF(COUNTIFS(Equipment[组合编号],B1286)&lt;&gt;1,"组合编号无效",IF(COUNTIFS(FunctionMatrix[编号],E1286)=0,"功能编号无效",IF(H1286="不适用",IF(J1286="已实测","适用性冲突",IF(I1286="","待补不适用依据","不适用（非实测）")),IF(J1286="阻塞",IF(I1286="","待补阻塞原因","阻塞（非实测）"),IF(J1286&lt;&gt;"已实测",IF(F1286="","待展开路径","未实测"),IF(H1286&lt;&gt;"适用","待确认适用性",IF(INDEX(Equipment[登记状态（自动）],MATCH(B1286,Equipment[组合编号],0))&lt;&gt;"已登记","待补设备组合",IF(AND(F1286&lt;&gt;"",G1286&lt;&gt;"",K1286&lt;&gt;"",L1286&lt;&gt;"",M1286&lt;&gt;"",N1286&lt;&gt;"",ISNUMBER(O1286),O1286&gt;0,P1286&lt;&gt;""),"记录齐全","待补实测记录")))))))))))</x:f>
        <x:v>待展开路径</x:v>
      </x:c>
    </x:row>
    <x:row r="1287" ht="43.5" customHeight="1">
      <x:c r="A1287" s="20" t="str">
        <x:v>REC-01278</x:v>
      </x:c>
      <x:c r="B1287" s="20" t="str">
        <x:v>P3-B3-01</x:v>
      </x:c>
      <x:c r="C1287" s="30" t="str">
        <x:f>IF(B1287="","",IF(COUNTIFS(Equipment[组合编号],B1287)&lt;&gt;1,"组合编号无效",INDEX(Equipment[PLC组],MATCH(B1287,Equipment[组合编号],0))))</x:f>
        <x:v>欧姆龙</x:v>
      </x:c>
      <x:c r="D1287" s="30" t="str">
        <x:f>IF(B1287="","",IF(COUNTIFS(Equipment[组合编号],B1287)&lt;&gt;1,"组合编号无效",INDEX(Equipment[驱动品牌],MATCH(B1287,Equipment[组合编号],0))))</x:f>
        <x:v>繁易</x:v>
      </x:c>
      <x:c r="E1287" s="20" t="str">
        <x:v>M06</x:v>
      </x:c>
      <x:c r="F1287" s="20"/>
      <x:c r="G1287" s="20"/>
      <x:c r="H1287" s="20" t="str">
        <x:v>待判定</x:v>
      </x:c>
      <x:c r="I1287" s="20"/>
      <x:c r="J1287" s="20" t="str">
        <x:v>未测试</x:v>
      </x:c>
      <x:c r="K1287" s="20"/>
      <x:c r="L1287" s="20"/>
      <x:c r="M1287" s="20"/>
      <x:c r="N1287" s="20"/>
      <x:c r="O1287" s="31"/>
      <x:c r="P1287" s="20"/>
      <x:c r="Q1287" s="20"/>
      <x:c r="R1287" s="20" t="str">
        <x:v>待展开</x:v>
      </x:c>
      <x:c r="S1287" s="20"/>
      <x:c r="T1287" s="31"/>
      <x:c r="U1287" s="30" t="str">
        <x:f>IF(A1287="","缺记录编号",IF(COUNTIFS(PathRecords[记录编号],A1287)&lt;&gt;1,"记录编号重复",IF(OR(B1287="",E1287=""),"缺组合/功能",IF(COUNTIFS(Equipment[组合编号],B1287)&lt;&gt;1,"组合编号无效",IF(COUNTIFS(FunctionMatrix[编号],E1287)=0,"功能编号无效",IF(H1287="不适用",IF(J1287="已实测","适用性冲突",IF(I1287="","待补不适用依据","不适用（非实测）")),IF(J1287="阻塞",IF(I1287="","待补阻塞原因","阻塞（非实测）"),IF(J1287&lt;&gt;"已实测",IF(F1287="","待展开路径","未实测"),IF(H1287&lt;&gt;"适用","待确认适用性",IF(INDEX(Equipment[登记状态（自动）],MATCH(B1287,Equipment[组合编号],0))&lt;&gt;"已登记","待补设备组合",IF(AND(F1287&lt;&gt;"",G1287&lt;&gt;"",K1287&lt;&gt;"",L1287&lt;&gt;"",M1287&lt;&gt;"",N1287&lt;&gt;"",ISNUMBER(O1287),O1287&gt;0,P1287&lt;&gt;""),"记录齐全","待补实测记录")))))))))))</x:f>
        <x:v>待展开路径</x:v>
      </x:c>
    </x:row>
    <x:row r="1288" ht="43.5" customHeight="1">
      <x:c r="A1288" s="20" t="str">
        <x:v>REC-01279</x:v>
      </x:c>
      <x:c r="B1288" s="20" t="str">
        <x:v>P3-B3-01</x:v>
      </x:c>
      <x:c r="C1288" s="30" t="str">
        <x:f>IF(B1288="","",IF(COUNTIFS(Equipment[组合编号],B1288)&lt;&gt;1,"组合编号无效",INDEX(Equipment[PLC组],MATCH(B1288,Equipment[组合编号],0))))</x:f>
        <x:v>欧姆龙</x:v>
      </x:c>
      <x:c r="D1288" s="30" t="str">
        <x:f>IF(B1288="","",IF(COUNTIFS(Equipment[组合编号],B1288)&lt;&gt;1,"组合编号无效",INDEX(Equipment[驱动品牌],MATCH(B1288,Equipment[组合编号],0))))</x:f>
        <x:v>繁易</x:v>
      </x:c>
      <x:c r="E1288" s="20" t="str">
        <x:v>M07</x:v>
      </x:c>
      <x:c r="F1288" s="20"/>
      <x:c r="G1288" s="20"/>
      <x:c r="H1288" s="20" t="str">
        <x:v>待判定</x:v>
      </x:c>
      <x:c r="I1288" s="20"/>
      <x:c r="J1288" s="20" t="str">
        <x:v>未测试</x:v>
      </x:c>
      <x:c r="K1288" s="20"/>
      <x:c r="L1288" s="20"/>
      <x:c r="M1288" s="20"/>
      <x:c r="N1288" s="20"/>
      <x:c r="O1288" s="31"/>
      <x:c r="P1288" s="20"/>
      <x:c r="Q1288" s="20"/>
      <x:c r="R1288" s="20" t="str">
        <x:v>待展开</x:v>
      </x:c>
      <x:c r="S1288" s="20"/>
      <x:c r="T1288" s="31"/>
      <x:c r="U1288" s="30" t="str">
        <x:f>IF(A1288="","缺记录编号",IF(COUNTIFS(PathRecords[记录编号],A1288)&lt;&gt;1,"记录编号重复",IF(OR(B1288="",E1288=""),"缺组合/功能",IF(COUNTIFS(Equipment[组合编号],B1288)&lt;&gt;1,"组合编号无效",IF(COUNTIFS(FunctionMatrix[编号],E1288)=0,"功能编号无效",IF(H1288="不适用",IF(J1288="已实测","适用性冲突",IF(I1288="","待补不适用依据","不适用（非实测）")),IF(J1288="阻塞",IF(I1288="","待补阻塞原因","阻塞（非实测）"),IF(J1288&lt;&gt;"已实测",IF(F1288="","待展开路径","未实测"),IF(H1288&lt;&gt;"适用","待确认适用性",IF(INDEX(Equipment[登记状态（自动）],MATCH(B1288,Equipment[组合编号],0))&lt;&gt;"已登记","待补设备组合",IF(AND(F1288&lt;&gt;"",G1288&lt;&gt;"",K1288&lt;&gt;"",L1288&lt;&gt;"",M1288&lt;&gt;"",N1288&lt;&gt;"",ISNUMBER(O1288),O1288&gt;0,P1288&lt;&gt;""),"记录齐全","待补实测记录")))))))))))</x:f>
        <x:v>待展开路径</x:v>
      </x:c>
    </x:row>
    <x:row r="1289" ht="43.5" customHeight="1">
      <x:c r="A1289" s="20" t="str">
        <x:v>REC-01280</x:v>
      </x:c>
      <x:c r="B1289" s="20" t="str">
        <x:v>P3-B3-01</x:v>
      </x:c>
      <x:c r="C1289" s="30" t="str">
        <x:f>IF(B1289="","",IF(COUNTIFS(Equipment[组合编号],B1289)&lt;&gt;1,"组合编号无效",INDEX(Equipment[PLC组],MATCH(B1289,Equipment[组合编号],0))))</x:f>
        <x:v>欧姆龙</x:v>
      </x:c>
      <x:c r="D1289" s="30" t="str">
        <x:f>IF(B1289="","",IF(COUNTIFS(Equipment[组合编号],B1289)&lt;&gt;1,"组合编号无效",INDEX(Equipment[驱动品牌],MATCH(B1289,Equipment[组合编号],0))))</x:f>
        <x:v>繁易</x:v>
      </x:c>
      <x:c r="E1289" s="20" t="str">
        <x:v>M09</x:v>
      </x:c>
      <x:c r="F1289" s="20"/>
      <x:c r="G1289" s="20"/>
      <x:c r="H1289" s="20" t="str">
        <x:v>待判定</x:v>
      </x:c>
      <x:c r="I1289" s="20"/>
      <x:c r="J1289" s="20" t="str">
        <x:v>未测试</x:v>
      </x:c>
      <x:c r="K1289" s="20"/>
      <x:c r="L1289" s="20"/>
      <x:c r="M1289" s="20"/>
      <x:c r="N1289" s="20"/>
      <x:c r="O1289" s="31"/>
      <x:c r="P1289" s="20"/>
      <x:c r="Q1289" s="20"/>
      <x:c r="R1289" s="20" t="str">
        <x:v>待展开</x:v>
      </x:c>
      <x:c r="S1289" s="20"/>
      <x:c r="T1289" s="31"/>
      <x:c r="U1289" s="30" t="str">
        <x:f>IF(A1289="","缺记录编号",IF(COUNTIFS(PathRecords[记录编号],A1289)&lt;&gt;1,"记录编号重复",IF(OR(B1289="",E1289=""),"缺组合/功能",IF(COUNTIFS(Equipment[组合编号],B1289)&lt;&gt;1,"组合编号无效",IF(COUNTIFS(FunctionMatrix[编号],E1289)=0,"功能编号无效",IF(H1289="不适用",IF(J1289="已实测","适用性冲突",IF(I1289="","待补不适用依据","不适用（非实测）")),IF(J1289="阻塞",IF(I1289="","待补阻塞原因","阻塞（非实测）"),IF(J1289&lt;&gt;"已实测",IF(F1289="","待展开路径","未实测"),IF(H1289&lt;&gt;"适用","待确认适用性",IF(INDEX(Equipment[登记状态（自动）],MATCH(B1289,Equipment[组合编号],0))&lt;&gt;"已登记","待补设备组合",IF(AND(F1289&lt;&gt;"",G1289&lt;&gt;"",K1289&lt;&gt;"",L1289&lt;&gt;"",M1289&lt;&gt;"",N1289&lt;&gt;"",ISNUMBER(O1289),O1289&gt;0,P1289&lt;&gt;""),"记录齐全","待补实测记录")))))))))))</x:f>
        <x:v>待展开路径</x:v>
      </x:c>
    </x:row>
    <x:row r="1290" ht="43.5" customHeight="1">
      <x:c r="A1290" s="20" t="str">
        <x:v>REC-01281</x:v>
      </x:c>
      <x:c r="B1290" s="20" t="str">
        <x:v>P3-B3-01</x:v>
      </x:c>
      <x:c r="C1290" s="30" t="str">
        <x:f>IF(B1290="","",IF(COUNTIFS(Equipment[组合编号],B1290)&lt;&gt;1,"组合编号无效",INDEX(Equipment[PLC组],MATCH(B1290,Equipment[组合编号],0))))</x:f>
        <x:v>欧姆龙</x:v>
      </x:c>
      <x:c r="D1290" s="30" t="str">
        <x:f>IF(B1290="","",IF(COUNTIFS(Equipment[组合编号],B1290)&lt;&gt;1,"组合编号无效",INDEX(Equipment[驱动品牌],MATCH(B1290,Equipment[组合编号],0))))</x:f>
        <x:v>繁易</x:v>
      </x:c>
      <x:c r="E1290" s="20" t="str">
        <x:v>M10</x:v>
      </x:c>
      <x:c r="F1290" s="20"/>
      <x:c r="G1290" s="20"/>
      <x:c r="H1290" s="20" t="str">
        <x:v>待判定</x:v>
      </x:c>
      <x:c r="I1290" s="20"/>
      <x:c r="J1290" s="20" t="str">
        <x:v>未测试</x:v>
      </x:c>
      <x:c r="K1290" s="20"/>
      <x:c r="L1290" s="20"/>
      <x:c r="M1290" s="20"/>
      <x:c r="N1290" s="20"/>
      <x:c r="O1290" s="31"/>
      <x:c r="P1290" s="20"/>
      <x:c r="Q1290" s="20"/>
      <x:c r="R1290" s="20" t="str">
        <x:v>待展开</x:v>
      </x:c>
      <x:c r="S1290" s="20"/>
      <x:c r="T1290" s="31"/>
      <x:c r="U1290" s="30" t="str">
        <x:f>IF(A1290="","缺记录编号",IF(COUNTIFS(PathRecords[记录编号],A1290)&lt;&gt;1,"记录编号重复",IF(OR(B1290="",E1290=""),"缺组合/功能",IF(COUNTIFS(Equipment[组合编号],B1290)&lt;&gt;1,"组合编号无效",IF(COUNTIFS(FunctionMatrix[编号],E1290)=0,"功能编号无效",IF(H1290="不适用",IF(J1290="已实测","适用性冲突",IF(I1290="","待补不适用依据","不适用（非实测）")),IF(J1290="阻塞",IF(I1290="","待补阻塞原因","阻塞（非实测）"),IF(J1290&lt;&gt;"已实测",IF(F1290="","待展开路径","未实测"),IF(H1290&lt;&gt;"适用","待确认适用性",IF(INDEX(Equipment[登记状态（自动）],MATCH(B1290,Equipment[组合编号],0))&lt;&gt;"已登记","待补设备组合",IF(AND(F1290&lt;&gt;"",G1290&lt;&gt;"",K1290&lt;&gt;"",L1290&lt;&gt;"",M1290&lt;&gt;"",N1290&lt;&gt;"",ISNUMBER(O1290),O1290&gt;0,P1290&lt;&gt;""),"记录齐全","待补实测记录")))))))))))</x:f>
        <x:v>待展开路径</x:v>
      </x:c>
    </x:row>
    <x:row r="1291" ht="43.5" customHeight="1">
      <x:c r="A1291" s="20" t="str">
        <x:v>REC-01282</x:v>
      </x:c>
      <x:c r="B1291" s="20" t="str">
        <x:v>P3-B3-01</x:v>
      </x:c>
      <x:c r="C1291" s="30" t="str">
        <x:f>IF(B1291="","",IF(COUNTIFS(Equipment[组合编号],B1291)&lt;&gt;1,"组合编号无效",INDEX(Equipment[PLC组],MATCH(B1291,Equipment[组合编号],0))))</x:f>
        <x:v>欧姆龙</x:v>
      </x:c>
      <x:c r="D1291" s="30" t="str">
        <x:f>IF(B1291="","",IF(COUNTIFS(Equipment[组合编号],B1291)&lt;&gt;1,"组合编号无效",INDEX(Equipment[驱动品牌],MATCH(B1291,Equipment[组合编号],0))))</x:f>
        <x:v>繁易</x:v>
      </x:c>
      <x:c r="E1291" s="20" t="str">
        <x:v>D01</x:v>
      </x:c>
      <x:c r="F1291" s="20"/>
      <x:c r="G1291" s="20"/>
      <x:c r="H1291" s="20" t="str">
        <x:v>待判定</x:v>
      </x:c>
      <x:c r="I1291" s="20"/>
      <x:c r="J1291" s="20" t="str">
        <x:v>未测试</x:v>
      </x:c>
      <x:c r="K1291" s="20"/>
      <x:c r="L1291" s="20"/>
      <x:c r="M1291" s="20"/>
      <x:c r="N1291" s="20"/>
      <x:c r="O1291" s="31"/>
      <x:c r="P1291" s="20"/>
      <x:c r="Q1291" s="20"/>
      <x:c r="R1291" s="20" t="str">
        <x:v>待展开</x:v>
      </x:c>
      <x:c r="S1291" s="20"/>
      <x:c r="T1291" s="31"/>
      <x:c r="U1291" s="30" t="str">
        <x:f>IF(A1291="","缺记录编号",IF(COUNTIFS(PathRecords[记录编号],A1291)&lt;&gt;1,"记录编号重复",IF(OR(B1291="",E1291=""),"缺组合/功能",IF(COUNTIFS(Equipment[组合编号],B1291)&lt;&gt;1,"组合编号无效",IF(COUNTIFS(FunctionMatrix[编号],E1291)=0,"功能编号无效",IF(H1291="不适用",IF(J1291="已实测","适用性冲突",IF(I1291="","待补不适用依据","不适用（非实测）")),IF(J1291="阻塞",IF(I1291="","待补阻塞原因","阻塞（非实测）"),IF(J1291&lt;&gt;"已实测",IF(F1291="","待展开路径","未实测"),IF(H1291&lt;&gt;"适用","待确认适用性",IF(INDEX(Equipment[登记状态（自动）],MATCH(B1291,Equipment[组合编号],0))&lt;&gt;"已登记","待补设备组合",IF(AND(F1291&lt;&gt;"",G1291&lt;&gt;"",K1291&lt;&gt;"",L1291&lt;&gt;"",M1291&lt;&gt;"",N1291&lt;&gt;"",ISNUMBER(O1291),O1291&gt;0,P1291&lt;&gt;""),"记录齐全","待补实测记录")))))))))))</x:f>
        <x:v>待展开路径</x:v>
      </x:c>
    </x:row>
    <x:row r="1292" ht="43.5" customHeight="1">
      <x:c r="A1292" s="20" t="str">
        <x:v>REC-01283</x:v>
      </x:c>
      <x:c r="B1292" s="20" t="str">
        <x:v>P3-B3-01</x:v>
      </x:c>
      <x:c r="C1292" s="30" t="str">
        <x:f>IF(B1292="","",IF(COUNTIFS(Equipment[组合编号],B1292)&lt;&gt;1,"组合编号无效",INDEX(Equipment[PLC组],MATCH(B1292,Equipment[组合编号],0))))</x:f>
        <x:v>欧姆龙</x:v>
      </x:c>
      <x:c r="D1292" s="30" t="str">
        <x:f>IF(B1292="","",IF(COUNTIFS(Equipment[组合编号],B1292)&lt;&gt;1,"组合编号无效",INDEX(Equipment[驱动品牌],MATCH(B1292,Equipment[组合编号],0))))</x:f>
        <x:v>繁易</x:v>
      </x:c>
      <x:c r="E1292" s="20" t="str">
        <x:v>D02</x:v>
      </x:c>
      <x:c r="F1292" s="20"/>
      <x:c r="G1292" s="20"/>
      <x:c r="H1292" s="20" t="str">
        <x:v>待判定</x:v>
      </x:c>
      <x:c r="I1292" s="20"/>
      <x:c r="J1292" s="20" t="str">
        <x:v>未测试</x:v>
      </x:c>
      <x:c r="K1292" s="20"/>
      <x:c r="L1292" s="20"/>
      <x:c r="M1292" s="20"/>
      <x:c r="N1292" s="20"/>
      <x:c r="O1292" s="31"/>
      <x:c r="P1292" s="20"/>
      <x:c r="Q1292" s="20"/>
      <x:c r="R1292" s="20" t="str">
        <x:v>待展开</x:v>
      </x:c>
      <x:c r="S1292" s="20"/>
      <x:c r="T1292" s="31"/>
      <x:c r="U1292" s="30" t="str">
        <x:f>IF(A1292="","缺记录编号",IF(COUNTIFS(PathRecords[记录编号],A1292)&lt;&gt;1,"记录编号重复",IF(OR(B1292="",E1292=""),"缺组合/功能",IF(COUNTIFS(Equipment[组合编号],B1292)&lt;&gt;1,"组合编号无效",IF(COUNTIFS(FunctionMatrix[编号],E1292)=0,"功能编号无效",IF(H1292="不适用",IF(J1292="已实测","适用性冲突",IF(I1292="","待补不适用依据","不适用（非实测）")),IF(J1292="阻塞",IF(I1292="","待补阻塞原因","阻塞（非实测）"),IF(J1292&lt;&gt;"已实测",IF(F1292="","待展开路径","未实测"),IF(H1292&lt;&gt;"适用","待确认适用性",IF(INDEX(Equipment[登记状态（自动）],MATCH(B1292,Equipment[组合编号],0))&lt;&gt;"已登记","待补设备组合",IF(AND(F1292&lt;&gt;"",G1292&lt;&gt;"",K1292&lt;&gt;"",L1292&lt;&gt;"",M1292&lt;&gt;"",N1292&lt;&gt;"",ISNUMBER(O1292),O1292&gt;0,P1292&lt;&gt;""),"记录齐全","待补实测记录")))))))))))</x:f>
        <x:v>待展开路径</x:v>
      </x:c>
    </x:row>
    <x:row r="1293" ht="43.5" customHeight="1">
      <x:c r="A1293" s="20" t="str">
        <x:v>REC-01284</x:v>
      </x:c>
      <x:c r="B1293" s="20" t="str">
        <x:v>P3-B3-01</x:v>
      </x:c>
      <x:c r="C1293" s="30" t="str">
        <x:f>IF(B1293="","",IF(COUNTIFS(Equipment[组合编号],B1293)&lt;&gt;1,"组合编号无效",INDEX(Equipment[PLC组],MATCH(B1293,Equipment[组合编号],0))))</x:f>
        <x:v>欧姆龙</x:v>
      </x:c>
      <x:c r="D1293" s="30" t="str">
        <x:f>IF(B1293="","",IF(COUNTIFS(Equipment[组合编号],B1293)&lt;&gt;1,"组合编号无效",INDEX(Equipment[驱动品牌],MATCH(B1293,Equipment[组合编号],0))))</x:f>
        <x:v>繁易</x:v>
      </x:c>
      <x:c r="E1293" s="20" t="str">
        <x:v>D03</x:v>
      </x:c>
      <x:c r="F1293" s="20"/>
      <x:c r="G1293" s="20"/>
      <x:c r="H1293" s="20" t="str">
        <x:v>待判定</x:v>
      </x:c>
      <x:c r="I1293" s="20"/>
      <x:c r="J1293" s="20" t="str">
        <x:v>未测试</x:v>
      </x:c>
      <x:c r="K1293" s="20"/>
      <x:c r="L1293" s="20"/>
      <x:c r="M1293" s="20"/>
      <x:c r="N1293" s="20"/>
      <x:c r="O1293" s="31"/>
      <x:c r="P1293" s="20"/>
      <x:c r="Q1293" s="20"/>
      <x:c r="R1293" s="20" t="str">
        <x:v>待展开</x:v>
      </x:c>
      <x:c r="S1293" s="20"/>
      <x:c r="T1293" s="31"/>
      <x:c r="U1293" s="30" t="str">
        <x:f>IF(A1293="","缺记录编号",IF(COUNTIFS(PathRecords[记录编号],A1293)&lt;&gt;1,"记录编号重复",IF(OR(B1293="",E1293=""),"缺组合/功能",IF(COUNTIFS(Equipment[组合编号],B1293)&lt;&gt;1,"组合编号无效",IF(COUNTIFS(FunctionMatrix[编号],E1293)=0,"功能编号无效",IF(H1293="不适用",IF(J1293="已实测","适用性冲突",IF(I1293="","待补不适用依据","不适用（非实测）")),IF(J1293="阻塞",IF(I1293="","待补阻塞原因","阻塞（非实测）"),IF(J1293&lt;&gt;"已实测",IF(F1293="","待展开路径","未实测"),IF(H1293&lt;&gt;"适用","待确认适用性",IF(INDEX(Equipment[登记状态（自动）],MATCH(B1293,Equipment[组合编号],0))&lt;&gt;"已登记","待补设备组合",IF(AND(F1293&lt;&gt;"",G1293&lt;&gt;"",K1293&lt;&gt;"",L1293&lt;&gt;"",M1293&lt;&gt;"",N1293&lt;&gt;"",ISNUMBER(O1293),O1293&gt;0,P1293&lt;&gt;""),"记录齐全","待补实测记录")))))))))))</x:f>
        <x:v>待展开路径</x:v>
      </x:c>
    </x:row>
    <x:row r="1294" ht="43.5" customHeight="1">
      <x:c r="A1294" s="20" t="str">
        <x:v>REC-01285</x:v>
      </x:c>
      <x:c r="B1294" s="20" t="str">
        <x:v>P3-B3-01</x:v>
      </x:c>
      <x:c r="C1294" s="30" t="str">
        <x:f>IF(B1294="","",IF(COUNTIFS(Equipment[组合编号],B1294)&lt;&gt;1,"组合编号无效",INDEX(Equipment[PLC组],MATCH(B1294,Equipment[组合编号],0))))</x:f>
        <x:v>欧姆龙</x:v>
      </x:c>
      <x:c r="D1294" s="30" t="str">
        <x:f>IF(B1294="","",IF(COUNTIFS(Equipment[组合编号],B1294)&lt;&gt;1,"组合编号无效",INDEX(Equipment[驱动品牌],MATCH(B1294,Equipment[组合编号],0))))</x:f>
        <x:v>繁易</x:v>
      </x:c>
      <x:c r="E1294" s="20" t="str">
        <x:v>D04</x:v>
      </x:c>
      <x:c r="F1294" s="20"/>
      <x:c r="G1294" s="20"/>
      <x:c r="H1294" s="20" t="str">
        <x:v>待判定</x:v>
      </x:c>
      <x:c r="I1294" s="20"/>
      <x:c r="J1294" s="20" t="str">
        <x:v>未测试</x:v>
      </x:c>
      <x:c r="K1294" s="20"/>
      <x:c r="L1294" s="20"/>
      <x:c r="M1294" s="20"/>
      <x:c r="N1294" s="20"/>
      <x:c r="O1294" s="31"/>
      <x:c r="P1294" s="20"/>
      <x:c r="Q1294" s="20"/>
      <x:c r="R1294" s="20" t="str">
        <x:v>待展开</x:v>
      </x:c>
      <x:c r="S1294" s="20"/>
      <x:c r="T1294" s="31"/>
      <x:c r="U1294" s="30" t="str">
        <x:f>IF(A1294="","缺记录编号",IF(COUNTIFS(PathRecords[记录编号],A1294)&lt;&gt;1,"记录编号重复",IF(OR(B1294="",E1294=""),"缺组合/功能",IF(COUNTIFS(Equipment[组合编号],B1294)&lt;&gt;1,"组合编号无效",IF(COUNTIFS(FunctionMatrix[编号],E1294)=0,"功能编号无效",IF(H1294="不适用",IF(J1294="已实测","适用性冲突",IF(I1294="","待补不适用依据","不适用（非实测）")),IF(J1294="阻塞",IF(I1294="","待补阻塞原因","阻塞（非实测）"),IF(J1294&lt;&gt;"已实测",IF(F1294="","待展开路径","未实测"),IF(H1294&lt;&gt;"适用","待确认适用性",IF(INDEX(Equipment[登记状态（自动）],MATCH(B1294,Equipment[组合编号],0))&lt;&gt;"已登记","待补设备组合",IF(AND(F1294&lt;&gt;"",G1294&lt;&gt;"",K1294&lt;&gt;"",L1294&lt;&gt;"",M1294&lt;&gt;"",N1294&lt;&gt;"",ISNUMBER(O1294),O1294&gt;0,P1294&lt;&gt;""),"记录齐全","待补实测记录")))))))))))</x:f>
        <x:v>待展开路径</x:v>
      </x:c>
    </x:row>
    <x:row r="1295" ht="43.5" customHeight="1">
      <x:c r="A1295" s="20" t="str">
        <x:v>REC-01286</x:v>
      </x:c>
      <x:c r="B1295" s="20" t="str">
        <x:v>P3-B3-01</x:v>
      </x:c>
      <x:c r="C1295" s="30" t="str">
        <x:f>IF(B1295="","",IF(COUNTIFS(Equipment[组合编号],B1295)&lt;&gt;1,"组合编号无效",INDEX(Equipment[PLC组],MATCH(B1295,Equipment[组合编号],0))))</x:f>
        <x:v>欧姆龙</x:v>
      </x:c>
      <x:c r="D1295" s="30" t="str">
        <x:f>IF(B1295="","",IF(COUNTIFS(Equipment[组合编号],B1295)&lt;&gt;1,"组合编号无效",INDEX(Equipment[驱动品牌],MATCH(B1295,Equipment[组合编号],0))))</x:f>
        <x:v>繁易</x:v>
      </x:c>
      <x:c r="E1295" s="20" t="str">
        <x:v>D05</x:v>
      </x:c>
      <x:c r="F1295" s="20"/>
      <x:c r="G1295" s="20"/>
      <x:c r="H1295" s="20" t="str">
        <x:v>待判定</x:v>
      </x:c>
      <x:c r="I1295" s="20"/>
      <x:c r="J1295" s="20" t="str">
        <x:v>未测试</x:v>
      </x:c>
      <x:c r="K1295" s="20"/>
      <x:c r="L1295" s="20"/>
      <x:c r="M1295" s="20"/>
      <x:c r="N1295" s="20"/>
      <x:c r="O1295" s="31"/>
      <x:c r="P1295" s="20"/>
      <x:c r="Q1295" s="20"/>
      <x:c r="R1295" s="20" t="str">
        <x:v>待展开</x:v>
      </x:c>
      <x:c r="S1295" s="20"/>
      <x:c r="T1295" s="31"/>
      <x:c r="U1295" s="30" t="str">
        <x:f>IF(A1295="","缺记录编号",IF(COUNTIFS(PathRecords[记录编号],A1295)&lt;&gt;1,"记录编号重复",IF(OR(B1295="",E1295=""),"缺组合/功能",IF(COUNTIFS(Equipment[组合编号],B1295)&lt;&gt;1,"组合编号无效",IF(COUNTIFS(FunctionMatrix[编号],E1295)=0,"功能编号无效",IF(H1295="不适用",IF(J1295="已实测","适用性冲突",IF(I1295="","待补不适用依据","不适用（非实测）")),IF(J1295="阻塞",IF(I1295="","待补阻塞原因","阻塞（非实测）"),IF(J1295&lt;&gt;"已实测",IF(F1295="","待展开路径","未实测"),IF(H1295&lt;&gt;"适用","待确认适用性",IF(INDEX(Equipment[登记状态（自动）],MATCH(B1295,Equipment[组合编号],0))&lt;&gt;"已登记","待补设备组合",IF(AND(F1295&lt;&gt;"",G1295&lt;&gt;"",K1295&lt;&gt;"",L1295&lt;&gt;"",M1295&lt;&gt;"",N1295&lt;&gt;"",ISNUMBER(O1295),O1295&gt;0,P1295&lt;&gt;""),"记录齐全","待补实测记录")))))))))))</x:f>
        <x:v>待展开路径</x:v>
      </x:c>
    </x:row>
    <x:row r="1296" ht="43.5" customHeight="1">
      <x:c r="A1296" s="20" t="str">
        <x:v>REC-01287</x:v>
      </x:c>
      <x:c r="B1296" s="20" t="str">
        <x:v>P3-B3-01</x:v>
      </x:c>
      <x:c r="C1296" s="30" t="str">
        <x:f>IF(B1296="","",IF(COUNTIFS(Equipment[组合编号],B1296)&lt;&gt;1,"组合编号无效",INDEX(Equipment[PLC组],MATCH(B1296,Equipment[组合编号],0))))</x:f>
        <x:v>欧姆龙</x:v>
      </x:c>
      <x:c r="D1296" s="30" t="str">
        <x:f>IF(B1296="","",IF(COUNTIFS(Equipment[组合编号],B1296)&lt;&gt;1,"组合编号无效",INDEX(Equipment[驱动品牌],MATCH(B1296,Equipment[组合编号],0))))</x:f>
        <x:v>繁易</x:v>
      </x:c>
      <x:c r="E1296" s="20" t="str">
        <x:v>D06</x:v>
      </x:c>
      <x:c r="F1296" s="20"/>
      <x:c r="G1296" s="20"/>
      <x:c r="H1296" s="20" t="str">
        <x:v>待判定</x:v>
      </x:c>
      <x:c r="I1296" s="20"/>
      <x:c r="J1296" s="20" t="str">
        <x:v>未测试</x:v>
      </x:c>
      <x:c r="K1296" s="20"/>
      <x:c r="L1296" s="20"/>
      <x:c r="M1296" s="20"/>
      <x:c r="N1296" s="20"/>
      <x:c r="O1296" s="31"/>
      <x:c r="P1296" s="20"/>
      <x:c r="Q1296" s="20"/>
      <x:c r="R1296" s="20" t="str">
        <x:v>待展开</x:v>
      </x:c>
      <x:c r="S1296" s="20"/>
      <x:c r="T1296" s="31"/>
      <x:c r="U1296" s="30" t="str">
        <x:f>IF(A1296="","缺记录编号",IF(COUNTIFS(PathRecords[记录编号],A1296)&lt;&gt;1,"记录编号重复",IF(OR(B1296="",E1296=""),"缺组合/功能",IF(COUNTIFS(Equipment[组合编号],B1296)&lt;&gt;1,"组合编号无效",IF(COUNTIFS(FunctionMatrix[编号],E1296)=0,"功能编号无效",IF(H1296="不适用",IF(J1296="已实测","适用性冲突",IF(I1296="","待补不适用依据","不适用（非实测）")),IF(J1296="阻塞",IF(I1296="","待补阻塞原因","阻塞（非实测）"),IF(J1296&lt;&gt;"已实测",IF(F1296="","待展开路径","未实测"),IF(H1296&lt;&gt;"适用","待确认适用性",IF(INDEX(Equipment[登记状态（自动）],MATCH(B1296,Equipment[组合编号],0))&lt;&gt;"已登记","待补设备组合",IF(AND(F1296&lt;&gt;"",G1296&lt;&gt;"",K1296&lt;&gt;"",L1296&lt;&gt;"",M1296&lt;&gt;"",N1296&lt;&gt;"",ISNUMBER(O1296),O1296&gt;0,P1296&lt;&gt;""),"记录齐全","待补实测记录")))))))))))</x:f>
        <x:v>待展开路径</x:v>
      </x:c>
    </x:row>
    <x:row r="1297" ht="43.5" customHeight="1">
      <x:c r="A1297" s="20" t="str">
        <x:v>REC-01288</x:v>
      </x:c>
      <x:c r="B1297" s="20" t="str">
        <x:v>P3-B3-01</x:v>
      </x:c>
      <x:c r="C1297" s="30" t="str">
        <x:f>IF(B1297="","",IF(COUNTIFS(Equipment[组合编号],B1297)&lt;&gt;1,"组合编号无效",INDEX(Equipment[PLC组],MATCH(B1297,Equipment[组合编号],0))))</x:f>
        <x:v>欧姆龙</x:v>
      </x:c>
      <x:c r="D1297" s="30" t="str">
        <x:f>IF(B1297="","",IF(COUNTIFS(Equipment[组合编号],B1297)&lt;&gt;1,"组合编号无效",INDEX(Equipment[驱动品牌],MATCH(B1297,Equipment[组合编号],0))))</x:f>
        <x:v>繁易</x:v>
      </x:c>
      <x:c r="E1297" s="20" t="str">
        <x:v>D07</x:v>
      </x:c>
      <x:c r="F1297" s="20"/>
      <x:c r="G1297" s="20"/>
      <x:c r="H1297" s="20" t="str">
        <x:v>待判定</x:v>
      </x:c>
      <x:c r="I1297" s="20"/>
      <x:c r="J1297" s="20" t="str">
        <x:v>未测试</x:v>
      </x:c>
      <x:c r="K1297" s="20"/>
      <x:c r="L1297" s="20"/>
      <x:c r="M1297" s="20"/>
      <x:c r="N1297" s="20"/>
      <x:c r="O1297" s="31"/>
      <x:c r="P1297" s="20"/>
      <x:c r="Q1297" s="20"/>
      <x:c r="R1297" s="20" t="str">
        <x:v>待展开</x:v>
      </x:c>
      <x:c r="S1297" s="20"/>
      <x:c r="T1297" s="31"/>
      <x:c r="U1297" s="30" t="str">
        <x:f>IF(A1297="","缺记录编号",IF(COUNTIFS(PathRecords[记录编号],A1297)&lt;&gt;1,"记录编号重复",IF(OR(B1297="",E1297=""),"缺组合/功能",IF(COUNTIFS(Equipment[组合编号],B1297)&lt;&gt;1,"组合编号无效",IF(COUNTIFS(FunctionMatrix[编号],E1297)=0,"功能编号无效",IF(H1297="不适用",IF(J1297="已实测","适用性冲突",IF(I1297="","待补不适用依据","不适用（非实测）")),IF(J1297="阻塞",IF(I1297="","待补阻塞原因","阻塞（非实测）"),IF(J1297&lt;&gt;"已实测",IF(F1297="","待展开路径","未实测"),IF(H1297&lt;&gt;"适用","待确认适用性",IF(INDEX(Equipment[登记状态（自动）],MATCH(B1297,Equipment[组合编号],0))&lt;&gt;"已登记","待补设备组合",IF(AND(F1297&lt;&gt;"",G1297&lt;&gt;"",K1297&lt;&gt;"",L1297&lt;&gt;"",M1297&lt;&gt;"",N1297&lt;&gt;"",ISNUMBER(O1297),O1297&gt;0,P1297&lt;&gt;""),"记录齐全","待补实测记录")))))))))))</x:f>
        <x:v>待展开路径</x:v>
      </x:c>
    </x:row>
    <x:row r="1298" ht="43.5" customHeight="1">
      <x:c r="A1298" s="20" t="str">
        <x:v>REC-01289</x:v>
      </x:c>
      <x:c r="B1298" s="20" t="str">
        <x:v>P3-B3-01</x:v>
      </x:c>
      <x:c r="C1298" s="30" t="str">
        <x:f>IF(B1298="","",IF(COUNTIFS(Equipment[组合编号],B1298)&lt;&gt;1,"组合编号无效",INDEX(Equipment[PLC组],MATCH(B1298,Equipment[组合编号],0))))</x:f>
        <x:v>欧姆龙</x:v>
      </x:c>
      <x:c r="D1298" s="30" t="str">
        <x:f>IF(B1298="","",IF(COUNTIFS(Equipment[组合编号],B1298)&lt;&gt;1,"组合编号无效",INDEX(Equipment[驱动品牌],MATCH(B1298,Equipment[组合编号],0))))</x:f>
        <x:v>繁易</x:v>
      </x:c>
      <x:c r="E1298" s="20" t="str">
        <x:v>D08</x:v>
      </x:c>
      <x:c r="F1298" s="20"/>
      <x:c r="G1298" s="20"/>
      <x:c r="H1298" s="20" t="str">
        <x:v>待判定</x:v>
      </x:c>
      <x:c r="I1298" s="20"/>
      <x:c r="J1298" s="20" t="str">
        <x:v>未测试</x:v>
      </x:c>
      <x:c r="K1298" s="20"/>
      <x:c r="L1298" s="20"/>
      <x:c r="M1298" s="20"/>
      <x:c r="N1298" s="20"/>
      <x:c r="O1298" s="31"/>
      <x:c r="P1298" s="20"/>
      <x:c r="Q1298" s="20"/>
      <x:c r="R1298" s="20" t="str">
        <x:v>待展开</x:v>
      </x:c>
      <x:c r="S1298" s="20"/>
      <x:c r="T1298" s="31"/>
      <x:c r="U1298" s="30" t="str">
        <x:f>IF(A1298="","缺记录编号",IF(COUNTIFS(PathRecords[记录编号],A1298)&lt;&gt;1,"记录编号重复",IF(OR(B1298="",E1298=""),"缺组合/功能",IF(COUNTIFS(Equipment[组合编号],B1298)&lt;&gt;1,"组合编号无效",IF(COUNTIFS(FunctionMatrix[编号],E1298)=0,"功能编号无效",IF(H1298="不适用",IF(J1298="已实测","适用性冲突",IF(I1298="","待补不适用依据","不适用（非实测）")),IF(J1298="阻塞",IF(I1298="","待补阻塞原因","阻塞（非实测）"),IF(J1298&lt;&gt;"已实测",IF(F1298="","待展开路径","未实测"),IF(H1298&lt;&gt;"适用","待确认适用性",IF(INDEX(Equipment[登记状态（自动）],MATCH(B1298,Equipment[组合编号],0))&lt;&gt;"已登记","待补设备组合",IF(AND(F1298&lt;&gt;"",G1298&lt;&gt;"",K1298&lt;&gt;"",L1298&lt;&gt;"",M1298&lt;&gt;"",N1298&lt;&gt;"",ISNUMBER(O1298),O1298&gt;0,P1298&lt;&gt;""),"记录齐全","待补实测记录")))))))))))</x:f>
        <x:v>待展开路径</x:v>
      </x:c>
    </x:row>
    <x:row r="1299" ht="43.5" customHeight="1">
      <x:c r="A1299" s="20" t="str">
        <x:v>REC-01290</x:v>
      </x:c>
      <x:c r="B1299" s="20" t="str">
        <x:v>P3-B3-01</x:v>
      </x:c>
      <x:c r="C1299" s="30" t="str">
        <x:f>IF(B1299="","",IF(COUNTIFS(Equipment[组合编号],B1299)&lt;&gt;1,"组合编号无效",INDEX(Equipment[PLC组],MATCH(B1299,Equipment[组合编号],0))))</x:f>
        <x:v>欧姆龙</x:v>
      </x:c>
      <x:c r="D1299" s="30" t="str">
        <x:f>IF(B1299="","",IF(COUNTIFS(Equipment[组合编号],B1299)&lt;&gt;1,"组合编号无效",INDEX(Equipment[驱动品牌],MATCH(B1299,Equipment[组合编号],0))))</x:f>
        <x:v>繁易</x:v>
      </x:c>
      <x:c r="E1299" s="20" t="str">
        <x:v>D09</x:v>
      </x:c>
      <x:c r="F1299" s="20"/>
      <x:c r="G1299" s="20"/>
      <x:c r="H1299" s="20" t="str">
        <x:v>待判定</x:v>
      </x:c>
      <x:c r="I1299" s="20"/>
      <x:c r="J1299" s="20" t="str">
        <x:v>未测试</x:v>
      </x:c>
      <x:c r="K1299" s="20"/>
      <x:c r="L1299" s="20"/>
      <x:c r="M1299" s="20"/>
      <x:c r="N1299" s="20"/>
      <x:c r="O1299" s="31"/>
      <x:c r="P1299" s="20"/>
      <x:c r="Q1299" s="20"/>
      <x:c r="R1299" s="20" t="str">
        <x:v>待展开</x:v>
      </x:c>
      <x:c r="S1299" s="20"/>
      <x:c r="T1299" s="31"/>
      <x:c r="U1299" s="30" t="str">
        <x:f>IF(A1299="","缺记录编号",IF(COUNTIFS(PathRecords[记录编号],A1299)&lt;&gt;1,"记录编号重复",IF(OR(B1299="",E1299=""),"缺组合/功能",IF(COUNTIFS(Equipment[组合编号],B1299)&lt;&gt;1,"组合编号无效",IF(COUNTIFS(FunctionMatrix[编号],E1299)=0,"功能编号无效",IF(H1299="不适用",IF(J1299="已实测","适用性冲突",IF(I1299="","待补不适用依据","不适用（非实测）")),IF(J1299="阻塞",IF(I1299="","待补阻塞原因","阻塞（非实测）"),IF(J1299&lt;&gt;"已实测",IF(F1299="","待展开路径","未实测"),IF(H1299&lt;&gt;"适用","待确认适用性",IF(INDEX(Equipment[登记状态（自动）],MATCH(B1299,Equipment[组合编号],0))&lt;&gt;"已登记","待补设备组合",IF(AND(F1299&lt;&gt;"",G1299&lt;&gt;"",K1299&lt;&gt;"",L1299&lt;&gt;"",M1299&lt;&gt;"",N1299&lt;&gt;"",ISNUMBER(O1299),O1299&gt;0,P1299&lt;&gt;""),"记录齐全","待补实测记录")))))))))))</x:f>
        <x:v>待展开路径</x:v>
      </x:c>
    </x:row>
    <x:row r="1300" ht="43.5" customHeight="1">
      <x:c r="A1300" s="20" t="str">
        <x:v>REC-01291</x:v>
      </x:c>
      <x:c r="B1300" s="20" t="str">
        <x:v>P3-B3-01</x:v>
      </x:c>
      <x:c r="C1300" s="30" t="str">
        <x:f>IF(B1300="","",IF(COUNTIFS(Equipment[组合编号],B1300)&lt;&gt;1,"组合编号无效",INDEX(Equipment[PLC组],MATCH(B1300,Equipment[组合编号],0))))</x:f>
        <x:v>欧姆龙</x:v>
      </x:c>
      <x:c r="D1300" s="30" t="str">
        <x:f>IF(B1300="","",IF(COUNTIFS(Equipment[组合编号],B1300)&lt;&gt;1,"组合编号无效",INDEX(Equipment[驱动品牌],MATCH(B1300,Equipment[组合编号],0))))</x:f>
        <x:v>繁易</x:v>
      </x:c>
      <x:c r="E1300" s="20" t="str">
        <x:v>S01</x:v>
      </x:c>
      <x:c r="F1300" s="20"/>
      <x:c r="G1300" s="20"/>
      <x:c r="H1300" s="20" t="str">
        <x:v>待判定</x:v>
      </x:c>
      <x:c r="I1300" s="20"/>
      <x:c r="J1300" s="20" t="str">
        <x:v>未测试</x:v>
      </x:c>
      <x:c r="K1300" s="20"/>
      <x:c r="L1300" s="20"/>
      <x:c r="M1300" s="20"/>
      <x:c r="N1300" s="20"/>
      <x:c r="O1300" s="31"/>
      <x:c r="P1300" s="20"/>
      <x:c r="Q1300" s="20"/>
      <x:c r="R1300" s="20" t="str">
        <x:v>待展开</x:v>
      </x:c>
      <x:c r="S1300" s="20"/>
      <x:c r="T1300" s="31"/>
      <x:c r="U1300" s="30" t="str">
        <x:f>IF(A1300="","缺记录编号",IF(COUNTIFS(PathRecords[记录编号],A1300)&lt;&gt;1,"记录编号重复",IF(OR(B1300="",E1300=""),"缺组合/功能",IF(COUNTIFS(Equipment[组合编号],B1300)&lt;&gt;1,"组合编号无效",IF(COUNTIFS(FunctionMatrix[编号],E1300)=0,"功能编号无效",IF(H1300="不适用",IF(J1300="已实测","适用性冲突",IF(I1300="","待补不适用依据","不适用（非实测）")),IF(J1300="阻塞",IF(I1300="","待补阻塞原因","阻塞（非实测）"),IF(J1300&lt;&gt;"已实测",IF(F1300="","待展开路径","未实测"),IF(H1300&lt;&gt;"适用","待确认适用性",IF(INDEX(Equipment[登记状态（自动）],MATCH(B1300,Equipment[组合编号],0))&lt;&gt;"已登记","待补设备组合",IF(AND(F1300&lt;&gt;"",G1300&lt;&gt;"",K1300&lt;&gt;"",L1300&lt;&gt;"",M1300&lt;&gt;"",N1300&lt;&gt;"",ISNUMBER(O1300),O1300&gt;0,P1300&lt;&gt;""),"记录齐全","待补实测记录")))))))))))</x:f>
        <x:v>待展开路径</x:v>
      </x:c>
    </x:row>
    <x:row r="1301" ht="43.5" customHeight="1">
      <x:c r="A1301" s="20" t="str">
        <x:v>REC-01292</x:v>
      </x:c>
      <x:c r="B1301" s="20" t="str">
        <x:v>P3-B3-01</x:v>
      </x:c>
      <x:c r="C1301" s="30" t="str">
        <x:f>IF(B1301="","",IF(COUNTIFS(Equipment[组合编号],B1301)&lt;&gt;1,"组合编号无效",INDEX(Equipment[PLC组],MATCH(B1301,Equipment[组合编号],0))))</x:f>
        <x:v>欧姆龙</x:v>
      </x:c>
      <x:c r="D1301" s="30" t="str">
        <x:f>IF(B1301="","",IF(COUNTIFS(Equipment[组合编号],B1301)&lt;&gt;1,"组合编号无效",INDEX(Equipment[驱动品牌],MATCH(B1301,Equipment[组合编号],0))))</x:f>
        <x:v>繁易</x:v>
      </x:c>
      <x:c r="E1301" s="20" t="str">
        <x:v>S02</x:v>
      </x:c>
      <x:c r="F1301" s="20"/>
      <x:c r="G1301" s="20"/>
      <x:c r="H1301" s="20" t="str">
        <x:v>待判定</x:v>
      </x:c>
      <x:c r="I1301" s="20"/>
      <x:c r="J1301" s="20" t="str">
        <x:v>未测试</x:v>
      </x:c>
      <x:c r="K1301" s="20"/>
      <x:c r="L1301" s="20"/>
      <x:c r="M1301" s="20"/>
      <x:c r="N1301" s="20"/>
      <x:c r="O1301" s="31"/>
      <x:c r="P1301" s="20"/>
      <x:c r="Q1301" s="20"/>
      <x:c r="R1301" s="20" t="str">
        <x:v>待展开</x:v>
      </x:c>
      <x:c r="S1301" s="20"/>
      <x:c r="T1301" s="31"/>
      <x:c r="U1301" s="30" t="str">
        <x:f>IF(A1301="","缺记录编号",IF(COUNTIFS(PathRecords[记录编号],A1301)&lt;&gt;1,"记录编号重复",IF(OR(B1301="",E1301=""),"缺组合/功能",IF(COUNTIFS(Equipment[组合编号],B1301)&lt;&gt;1,"组合编号无效",IF(COUNTIFS(FunctionMatrix[编号],E1301)=0,"功能编号无效",IF(H1301="不适用",IF(J1301="已实测","适用性冲突",IF(I1301="","待补不适用依据","不适用（非实测）")),IF(J1301="阻塞",IF(I1301="","待补阻塞原因","阻塞（非实测）"),IF(J1301&lt;&gt;"已实测",IF(F1301="","待展开路径","未实测"),IF(H1301&lt;&gt;"适用","待确认适用性",IF(INDEX(Equipment[登记状态（自动）],MATCH(B1301,Equipment[组合编号],0))&lt;&gt;"已登记","待补设备组合",IF(AND(F1301&lt;&gt;"",G1301&lt;&gt;"",K1301&lt;&gt;"",L1301&lt;&gt;"",M1301&lt;&gt;"",N1301&lt;&gt;"",ISNUMBER(O1301),O1301&gt;0,P1301&lt;&gt;""),"记录齐全","待补实测记录")))))))))))</x:f>
        <x:v>待展开路径</x:v>
      </x:c>
    </x:row>
    <x:row r="1302" ht="43.5" customHeight="1">
      <x:c r="A1302" s="20" t="str">
        <x:v>REC-01293</x:v>
      </x:c>
      <x:c r="B1302" s="20" t="str">
        <x:v>P3-B3-01</x:v>
      </x:c>
      <x:c r="C1302" s="30" t="str">
        <x:f>IF(B1302="","",IF(COUNTIFS(Equipment[组合编号],B1302)&lt;&gt;1,"组合编号无效",INDEX(Equipment[PLC组],MATCH(B1302,Equipment[组合编号],0))))</x:f>
        <x:v>欧姆龙</x:v>
      </x:c>
      <x:c r="D1302" s="30" t="str">
        <x:f>IF(B1302="","",IF(COUNTIFS(Equipment[组合编号],B1302)&lt;&gt;1,"组合编号无效",INDEX(Equipment[驱动品牌],MATCH(B1302,Equipment[组合编号],0))))</x:f>
        <x:v>繁易</x:v>
      </x:c>
      <x:c r="E1302" s="20" t="str">
        <x:v>S03</x:v>
      </x:c>
      <x:c r="F1302" s="20"/>
      <x:c r="G1302" s="20"/>
      <x:c r="H1302" s="20" t="str">
        <x:v>待判定</x:v>
      </x:c>
      <x:c r="I1302" s="20"/>
      <x:c r="J1302" s="20" t="str">
        <x:v>未测试</x:v>
      </x:c>
      <x:c r="K1302" s="20"/>
      <x:c r="L1302" s="20"/>
      <x:c r="M1302" s="20"/>
      <x:c r="N1302" s="20"/>
      <x:c r="O1302" s="31"/>
      <x:c r="P1302" s="20"/>
      <x:c r="Q1302" s="20"/>
      <x:c r="R1302" s="20" t="str">
        <x:v>待展开</x:v>
      </x:c>
      <x:c r="S1302" s="20"/>
      <x:c r="T1302" s="31"/>
      <x:c r="U1302" s="30" t="str">
        <x:f>IF(A1302="","缺记录编号",IF(COUNTIFS(PathRecords[记录编号],A1302)&lt;&gt;1,"记录编号重复",IF(OR(B1302="",E1302=""),"缺组合/功能",IF(COUNTIFS(Equipment[组合编号],B1302)&lt;&gt;1,"组合编号无效",IF(COUNTIFS(FunctionMatrix[编号],E1302)=0,"功能编号无效",IF(H1302="不适用",IF(J1302="已实测","适用性冲突",IF(I1302="","待补不适用依据","不适用（非实测）")),IF(J1302="阻塞",IF(I1302="","待补阻塞原因","阻塞（非实测）"),IF(J1302&lt;&gt;"已实测",IF(F1302="","待展开路径","未实测"),IF(H1302&lt;&gt;"适用","待确认适用性",IF(INDEX(Equipment[登记状态（自动）],MATCH(B1302,Equipment[组合编号],0))&lt;&gt;"已登记","待补设备组合",IF(AND(F1302&lt;&gt;"",G1302&lt;&gt;"",K1302&lt;&gt;"",L1302&lt;&gt;"",M1302&lt;&gt;"",N1302&lt;&gt;"",ISNUMBER(O1302),O1302&gt;0,P1302&lt;&gt;""),"记录齐全","待补实测记录")))))))))))</x:f>
        <x:v>待展开路径</x:v>
      </x:c>
    </x:row>
    <x:row r="1303" ht="43.5" customHeight="1">
      <x:c r="A1303" s="20" t="str">
        <x:v>REC-01294</x:v>
      </x:c>
      <x:c r="B1303" s="20" t="str">
        <x:v>P3-B3-01</x:v>
      </x:c>
      <x:c r="C1303" s="30" t="str">
        <x:f>IF(B1303="","",IF(COUNTIFS(Equipment[组合编号],B1303)&lt;&gt;1,"组合编号无效",INDEX(Equipment[PLC组],MATCH(B1303,Equipment[组合编号],0))))</x:f>
        <x:v>欧姆龙</x:v>
      </x:c>
      <x:c r="D1303" s="30" t="str">
        <x:f>IF(B1303="","",IF(COUNTIFS(Equipment[组合编号],B1303)&lt;&gt;1,"组合编号无效",INDEX(Equipment[驱动品牌],MATCH(B1303,Equipment[组合编号],0))))</x:f>
        <x:v>繁易</x:v>
      </x:c>
      <x:c r="E1303" s="20" t="str">
        <x:v>S04</x:v>
      </x:c>
      <x:c r="F1303" s="20"/>
      <x:c r="G1303" s="20"/>
      <x:c r="H1303" s="20" t="str">
        <x:v>待判定</x:v>
      </x:c>
      <x:c r="I1303" s="20"/>
      <x:c r="J1303" s="20" t="str">
        <x:v>未测试</x:v>
      </x:c>
      <x:c r="K1303" s="20"/>
      <x:c r="L1303" s="20"/>
      <x:c r="M1303" s="20"/>
      <x:c r="N1303" s="20"/>
      <x:c r="O1303" s="31"/>
      <x:c r="P1303" s="20"/>
      <x:c r="Q1303" s="20"/>
      <x:c r="R1303" s="20" t="str">
        <x:v>待展开</x:v>
      </x:c>
      <x:c r="S1303" s="20"/>
      <x:c r="T1303" s="31"/>
      <x:c r="U1303" s="30" t="str">
        <x:f>IF(A1303="","缺记录编号",IF(COUNTIFS(PathRecords[记录编号],A1303)&lt;&gt;1,"记录编号重复",IF(OR(B1303="",E1303=""),"缺组合/功能",IF(COUNTIFS(Equipment[组合编号],B1303)&lt;&gt;1,"组合编号无效",IF(COUNTIFS(FunctionMatrix[编号],E1303)=0,"功能编号无效",IF(H1303="不适用",IF(J1303="已实测","适用性冲突",IF(I1303="","待补不适用依据","不适用（非实测）")),IF(J1303="阻塞",IF(I1303="","待补阻塞原因","阻塞（非实测）"),IF(J1303&lt;&gt;"已实测",IF(F1303="","待展开路径","未实测"),IF(H1303&lt;&gt;"适用","待确认适用性",IF(INDEX(Equipment[登记状态（自动）],MATCH(B1303,Equipment[组合编号],0))&lt;&gt;"已登记","待补设备组合",IF(AND(F1303&lt;&gt;"",G1303&lt;&gt;"",K1303&lt;&gt;"",L1303&lt;&gt;"",M1303&lt;&gt;"",N1303&lt;&gt;"",ISNUMBER(O1303),O1303&gt;0,P1303&lt;&gt;""),"记录齐全","待补实测记录")))))))))))</x:f>
        <x:v>待展开路径</x:v>
      </x:c>
    </x:row>
    <x:row r="1304" ht="43.5" customHeight="1">
      <x:c r="A1304" s="20" t="str">
        <x:v>REC-01295</x:v>
      </x:c>
      <x:c r="B1304" s="20" t="str">
        <x:v>P3-B3-01</x:v>
      </x:c>
      <x:c r="C1304" s="30" t="str">
        <x:f>IF(B1304="","",IF(COUNTIFS(Equipment[组合编号],B1304)&lt;&gt;1,"组合编号无效",INDEX(Equipment[PLC组],MATCH(B1304,Equipment[组合编号],0))))</x:f>
        <x:v>欧姆龙</x:v>
      </x:c>
      <x:c r="D1304" s="30" t="str">
        <x:f>IF(B1304="","",IF(COUNTIFS(Equipment[组合编号],B1304)&lt;&gt;1,"组合编号无效",INDEX(Equipment[驱动品牌],MATCH(B1304,Equipment[组合编号],0))))</x:f>
        <x:v>繁易</x:v>
      </x:c>
      <x:c r="E1304" s="20" t="str">
        <x:v>S05</x:v>
      </x:c>
      <x:c r="F1304" s="20"/>
      <x:c r="G1304" s="20"/>
      <x:c r="H1304" s="20" t="str">
        <x:v>待判定</x:v>
      </x:c>
      <x:c r="I1304" s="20"/>
      <x:c r="J1304" s="20" t="str">
        <x:v>未测试</x:v>
      </x:c>
      <x:c r="K1304" s="20"/>
      <x:c r="L1304" s="20"/>
      <x:c r="M1304" s="20"/>
      <x:c r="N1304" s="20"/>
      <x:c r="O1304" s="31"/>
      <x:c r="P1304" s="20"/>
      <x:c r="Q1304" s="20"/>
      <x:c r="R1304" s="20" t="str">
        <x:v>待展开</x:v>
      </x:c>
      <x:c r="S1304" s="20"/>
      <x:c r="T1304" s="31"/>
      <x:c r="U1304" s="30" t="str">
        <x:f>IF(A1304="","缺记录编号",IF(COUNTIFS(PathRecords[记录编号],A1304)&lt;&gt;1,"记录编号重复",IF(OR(B1304="",E1304=""),"缺组合/功能",IF(COUNTIFS(Equipment[组合编号],B1304)&lt;&gt;1,"组合编号无效",IF(COUNTIFS(FunctionMatrix[编号],E1304)=0,"功能编号无效",IF(H1304="不适用",IF(J1304="已实测","适用性冲突",IF(I1304="","待补不适用依据","不适用（非实测）")),IF(J1304="阻塞",IF(I1304="","待补阻塞原因","阻塞（非实测）"),IF(J1304&lt;&gt;"已实测",IF(F1304="","待展开路径","未实测"),IF(H1304&lt;&gt;"适用","待确认适用性",IF(INDEX(Equipment[登记状态（自动）],MATCH(B1304,Equipment[组合编号],0))&lt;&gt;"已登记","待补设备组合",IF(AND(F1304&lt;&gt;"",G1304&lt;&gt;"",K1304&lt;&gt;"",L1304&lt;&gt;"",M1304&lt;&gt;"",N1304&lt;&gt;"",ISNUMBER(O1304),O1304&gt;0,P1304&lt;&gt;""),"记录齐全","待补实测记录")))))))))))</x:f>
        <x:v>待展开路径</x:v>
      </x:c>
    </x:row>
    <x:row r="1305" ht="43.5" customHeight="1">
      <x:c r="A1305" s="20" t="str">
        <x:v>REC-01296</x:v>
      </x:c>
      <x:c r="B1305" s="20" t="str">
        <x:v>P3-B3-01</x:v>
      </x:c>
      <x:c r="C1305" s="30" t="str">
        <x:f>IF(B1305="","",IF(COUNTIFS(Equipment[组合编号],B1305)&lt;&gt;1,"组合编号无效",INDEX(Equipment[PLC组],MATCH(B1305,Equipment[组合编号],0))))</x:f>
        <x:v>欧姆龙</x:v>
      </x:c>
      <x:c r="D1305" s="30" t="str">
        <x:f>IF(B1305="","",IF(COUNTIFS(Equipment[组合编号],B1305)&lt;&gt;1,"组合编号无效",INDEX(Equipment[驱动品牌],MATCH(B1305,Equipment[组合编号],0))))</x:f>
        <x:v>繁易</x:v>
      </x:c>
      <x:c r="E1305" s="20" t="str">
        <x:v>S06</x:v>
      </x:c>
      <x:c r="F1305" s="20"/>
      <x:c r="G1305" s="20"/>
      <x:c r="H1305" s="20" t="str">
        <x:v>待判定</x:v>
      </x:c>
      <x:c r="I1305" s="20"/>
      <x:c r="J1305" s="20" t="str">
        <x:v>未测试</x:v>
      </x:c>
      <x:c r="K1305" s="20"/>
      <x:c r="L1305" s="20"/>
      <x:c r="M1305" s="20"/>
      <x:c r="N1305" s="20"/>
      <x:c r="O1305" s="31"/>
      <x:c r="P1305" s="20"/>
      <x:c r="Q1305" s="20"/>
      <x:c r="R1305" s="20" t="str">
        <x:v>待展开</x:v>
      </x:c>
      <x:c r="S1305" s="20"/>
      <x:c r="T1305" s="31"/>
      <x:c r="U1305" s="30" t="str">
        <x:f>IF(A1305="","缺记录编号",IF(COUNTIFS(PathRecords[记录编号],A1305)&lt;&gt;1,"记录编号重复",IF(OR(B1305="",E1305=""),"缺组合/功能",IF(COUNTIFS(Equipment[组合编号],B1305)&lt;&gt;1,"组合编号无效",IF(COUNTIFS(FunctionMatrix[编号],E1305)=0,"功能编号无效",IF(H1305="不适用",IF(J1305="已实测","适用性冲突",IF(I1305="","待补不适用依据","不适用（非实测）")),IF(J1305="阻塞",IF(I1305="","待补阻塞原因","阻塞（非实测）"),IF(J1305&lt;&gt;"已实测",IF(F1305="","待展开路径","未实测"),IF(H1305&lt;&gt;"适用","待确认适用性",IF(INDEX(Equipment[登记状态（自动）],MATCH(B1305,Equipment[组合编号],0))&lt;&gt;"已登记","待补设备组合",IF(AND(F1305&lt;&gt;"",G1305&lt;&gt;"",K1305&lt;&gt;"",L1305&lt;&gt;"",M1305&lt;&gt;"",N1305&lt;&gt;"",ISNUMBER(O1305),O1305&gt;0,P1305&lt;&gt;""),"记录齐全","待补实测记录")))))))))))</x:f>
        <x:v>待展开路径</x:v>
      </x:c>
    </x:row>
    <x:row r="1306" ht="43.5" customHeight="1">
      <x:c r="A1306" s="20" t="str">
        <x:v>REC-01297</x:v>
      </x:c>
      <x:c r="B1306" s="20" t="str">
        <x:v>P3-B3-01</x:v>
      </x:c>
      <x:c r="C1306" s="30" t="str">
        <x:f>IF(B1306="","",IF(COUNTIFS(Equipment[组合编号],B1306)&lt;&gt;1,"组合编号无效",INDEX(Equipment[PLC组],MATCH(B1306,Equipment[组合编号],0))))</x:f>
        <x:v>欧姆龙</x:v>
      </x:c>
      <x:c r="D1306" s="30" t="str">
        <x:f>IF(B1306="","",IF(COUNTIFS(Equipment[组合编号],B1306)&lt;&gt;1,"组合编号无效",INDEX(Equipment[驱动品牌],MATCH(B1306,Equipment[组合编号],0))))</x:f>
        <x:v>繁易</x:v>
      </x:c>
      <x:c r="E1306" s="20" t="str">
        <x:v>S07</x:v>
      </x:c>
      <x:c r="F1306" s="20"/>
      <x:c r="G1306" s="20"/>
      <x:c r="H1306" s="20" t="str">
        <x:v>待判定</x:v>
      </x:c>
      <x:c r="I1306" s="20"/>
      <x:c r="J1306" s="20" t="str">
        <x:v>未测试</x:v>
      </x:c>
      <x:c r="K1306" s="20"/>
      <x:c r="L1306" s="20"/>
      <x:c r="M1306" s="20"/>
      <x:c r="N1306" s="20"/>
      <x:c r="O1306" s="31"/>
      <x:c r="P1306" s="20"/>
      <x:c r="Q1306" s="20"/>
      <x:c r="R1306" s="20" t="str">
        <x:v>待展开</x:v>
      </x:c>
      <x:c r="S1306" s="20"/>
      <x:c r="T1306" s="31"/>
      <x:c r="U1306" s="30" t="str">
        <x:f>IF(A1306="","缺记录编号",IF(COUNTIFS(PathRecords[记录编号],A1306)&lt;&gt;1,"记录编号重复",IF(OR(B1306="",E1306=""),"缺组合/功能",IF(COUNTIFS(Equipment[组合编号],B1306)&lt;&gt;1,"组合编号无效",IF(COUNTIFS(FunctionMatrix[编号],E1306)=0,"功能编号无效",IF(H1306="不适用",IF(J1306="已实测","适用性冲突",IF(I1306="","待补不适用依据","不适用（非实测）")),IF(J1306="阻塞",IF(I1306="","待补阻塞原因","阻塞（非实测）"),IF(J1306&lt;&gt;"已实测",IF(F1306="","待展开路径","未实测"),IF(H1306&lt;&gt;"适用","待确认适用性",IF(INDEX(Equipment[登记状态（自动）],MATCH(B1306,Equipment[组合编号],0))&lt;&gt;"已登记","待补设备组合",IF(AND(F1306&lt;&gt;"",G1306&lt;&gt;"",K1306&lt;&gt;"",L1306&lt;&gt;"",M1306&lt;&gt;"",N1306&lt;&gt;"",ISNUMBER(O1306),O1306&gt;0,P1306&lt;&gt;""),"记录齐全","待补实测记录")))))))))))</x:f>
        <x:v>待展开路径</x:v>
      </x:c>
    </x:row>
    <x:row r="1307" ht="43.5" customHeight="1">
      <x:c r="A1307" s="20" t="str">
        <x:v>REC-01298</x:v>
      </x:c>
      <x:c r="B1307" s="20" t="str">
        <x:v>P3-B3-01</x:v>
      </x:c>
      <x:c r="C1307" s="30" t="str">
        <x:f>IF(B1307="","",IF(COUNTIFS(Equipment[组合编号],B1307)&lt;&gt;1,"组合编号无效",INDEX(Equipment[PLC组],MATCH(B1307,Equipment[组合编号],0))))</x:f>
        <x:v>欧姆龙</x:v>
      </x:c>
      <x:c r="D1307" s="30" t="str">
        <x:f>IF(B1307="","",IF(COUNTIFS(Equipment[组合编号],B1307)&lt;&gt;1,"组合编号无效",INDEX(Equipment[驱动品牌],MATCH(B1307,Equipment[组合编号],0))))</x:f>
        <x:v>繁易</x:v>
      </x:c>
      <x:c r="E1307" s="20" t="str">
        <x:v>S08</x:v>
      </x:c>
      <x:c r="F1307" s="20"/>
      <x:c r="G1307" s="20"/>
      <x:c r="H1307" s="20" t="str">
        <x:v>待判定</x:v>
      </x:c>
      <x:c r="I1307" s="20"/>
      <x:c r="J1307" s="20" t="str">
        <x:v>未测试</x:v>
      </x:c>
      <x:c r="K1307" s="20"/>
      <x:c r="L1307" s="20"/>
      <x:c r="M1307" s="20"/>
      <x:c r="N1307" s="20"/>
      <x:c r="O1307" s="31"/>
      <x:c r="P1307" s="20"/>
      <x:c r="Q1307" s="20"/>
      <x:c r="R1307" s="20" t="str">
        <x:v>待展开</x:v>
      </x:c>
      <x:c r="S1307" s="20"/>
      <x:c r="T1307" s="31"/>
      <x:c r="U1307" s="30" t="str">
        <x:f>IF(A1307="","缺记录编号",IF(COUNTIFS(PathRecords[记录编号],A1307)&lt;&gt;1,"记录编号重复",IF(OR(B1307="",E1307=""),"缺组合/功能",IF(COUNTIFS(Equipment[组合编号],B1307)&lt;&gt;1,"组合编号无效",IF(COUNTIFS(FunctionMatrix[编号],E1307)=0,"功能编号无效",IF(H1307="不适用",IF(J1307="已实测","适用性冲突",IF(I1307="","待补不适用依据","不适用（非实测）")),IF(J1307="阻塞",IF(I1307="","待补阻塞原因","阻塞（非实测）"),IF(J1307&lt;&gt;"已实测",IF(F1307="","待展开路径","未实测"),IF(H1307&lt;&gt;"适用","待确认适用性",IF(INDEX(Equipment[登记状态（自动）],MATCH(B1307,Equipment[组合编号],0))&lt;&gt;"已登记","待补设备组合",IF(AND(F1307&lt;&gt;"",G1307&lt;&gt;"",K1307&lt;&gt;"",L1307&lt;&gt;"",M1307&lt;&gt;"",N1307&lt;&gt;"",ISNUMBER(O1307),O1307&gt;0,P1307&lt;&gt;""),"记录齐全","待补实测记录")))))))))))</x:f>
        <x:v>待展开路径</x:v>
      </x:c>
    </x:row>
    <x:row r="1308" ht="43.5" customHeight="1">
      <x:c r="A1308" s="20" t="str">
        <x:v>REC-01299</x:v>
      </x:c>
      <x:c r="B1308" s="20" t="str">
        <x:v>P3-B3-01</x:v>
      </x:c>
      <x:c r="C1308" s="30" t="str">
        <x:f>IF(B1308="","",IF(COUNTIFS(Equipment[组合编号],B1308)&lt;&gt;1,"组合编号无效",INDEX(Equipment[PLC组],MATCH(B1308,Equipment[组合编号],0))))</x:f>
        <x:v>欧姆龙</x:v>
      </x:c>
      <x:c r="D1308" s="30" t="str">
        <x:f>IF(B1308="","",IF(COUNTIFS(Equipment[组合编号],B1308)&lt;&gt;1,"组合编号无效",INDEX(Equipment[驱动品牌],MATCH(B1308,Equipment[组合编号],0))))</x:f>
        <x:v>繁易</x:v>
      </x:c>
      <x:c r="E1308" s="20" t="str">
        <x:v>S09</x:v>
      </x:c>
      <x:c r="F1308" s="20"/>
      <x:c r="G1308" s="20"/>
      <x:c r="H1308" s="20" t="str">
        <x:v>待判定</x:v>
      </x:c>
      <x:c r="I1308" s="20"/>
      <x:c r="J1308" s="20" t="str">
        <x:v>未测试</x:v>
      </x:c>
      <x:c r="K1308" s="20"/>
      <x:c r="L1308" s="20"/>
      <x:c r="M1308" s="20"/>
      <x:c r="N1308" s="20"/>
      <x:c r="O1308" s="31"/>
      <x:c r="P1308" s="20"/>
      <x:c r="Q1308" s="20"/>
      <x:c r="R1308" s="20" t="str">
        <x:v>待展开</x:v>
      </x:c>
      <x:c r="S1308" s="20"/>
      <x:c r="T1308" s="31"/>
      <x:c r="U1308" s="30" t="str">
        <x:f>IF(A1308="","缺记录编号",IF(COUNTIFS(PathRecords[记录编号],A1308)&lt;&gt;1,"记录编号重复",IF(OR(B1308="",E1308=""),"缺组合/功能",IF(COUNTIFS(Equipment[组合编号],B1308)&lt;&gt;1,"组合编号无效",IF(COUNTIFS(FunctionMatrix[编号],E1308)=0,"功能编号无效",IF(H1308="不适用",IF(J1308="已实测","适用性冲突",IF(I1308="","待补不适用依据","不适用（非实测）")),IF(J1308="阻塞",IF(I1308="","待补阻塞原因","阻塞（非实测）"),IF(J1308&lt;&gt;"已实测",IF(F1308="","待展开路径","未实测"),IF(H1308&lt;&gt;"适用","待确认适用性",IF(INDEX(Equipment[登记状态（自动）],MATCH(B1308,Equipment[组合编号],0))&lt;&gt;"已登记","待补设备组合",IF(AND(F1308&lt;&gt;"",G1308&lt;&gt;"",K1308&lt;&gt;"",L1308&lt;&gt;"",M1308&lt;&gt;"",N1308&lt;&gt;"",ISNUMBER(O1308),O1308&gt;0,P1308&lt;&gt;""),"记录齐全","待补实测记录")))))))))))</x:f>
        <x:v>待展开路径</x:v>
      </x:c>
    </x:row>
    <x:row r="1309" ht="43.5" customHeight="1">
      <x:c r="A1309" s="20" t="str">
        <x:v>REC-01300</x:v>
      </x:c>
      <x:c r="B1309" s="20" t="str">
        <x:v>P3-B3-01</x:v>
      </x:c>
      <x:c r="C1309" s="30" t="str">
        <x:f>IF(B1309="","",IF(COUNTIFS(Equipment[组合编号],B1309)&lt;&gt;1,"组合编号无效",INDEX(Equipment[PLC组],MATCH(B1309,Equipment[组合编号],0))))</x:f>
        <x:v>欧姆龙</x:v>
      </x:c>
      <x:c r="D1309" s="30" t="str">
        <x:f>IF(B1309="","",IF(COUNTIFS(Equipment[组合编号],B1309)&lt;&gt;1,"组合编号无效",INDEX(Equipment[驱动品牌],MATCH(B1309,Equipment[组合编号],0))))</x:f>
        <x:v>繁易</x:v>
      </x:c>
      <x:c r="E1309" s="20" t="str">
        <x:v>U01</x:v>
      </x:c>
      <x:c r="F1309" s="20"/>
      <x:c r="G1309" s="20"/>
      <x:c r="H1309" s="20" t="str">
        <x:v>待判定</x:v>
      </x:c>
      <x:c r="I1309" s="20"/>
      <x:c r="J1309" s="20" t="str">
        <x:v>未测试</x:v>
      </x:c>
      <x:c r="K1309" s="20"/>
      <x:c r="L1309" s="20"/>
      <x:c r="M1309" s="20"/>
      <x:c r="N1309" s="20"/>
      <x:c r="O1309" s="31"/>
      <x:c r="P1309" s="20"/>
      <x:c r="Q1309" s="20"/>
      <x:c r="R1309" s="20" t="str">
        <x:v>待展开</x:v>
      </x:c>
      <x:c r="S1309" s="20"/>
      <x:c r="T1309" s="31"/>
      <x:c r="U1309" s="30" t="str">
        <x:f>IF(A1309="","缺记录编号",IF(COUNTIFS(PathRecords[记录编号],A1309)&lt;&gt;1,"记录编号重复",IF(OR(B1309="",E1309=""),"缺组合/功能",IF(COUNTIFS(Equipment[组合编号],B1309)&lt;&gt;1,"组合编号无效",IF(COUNTIFS(FunctionMatrix[编号],E1309)=0,"功能编号无效",IF(H1309="不适用",IF(J1309="已实测","适用性冲突",IF(I1309="","待补不适用依据","不适用（非实测）")),IF(J1309="阻塞",IF(I1309="","待补阻塞原因","阻塞（非实测）"),IF(J1309&lt;&gt;"已实测",IF(F1309="","待展开路径","未实测"),IF(H1309&lt;&gt;"适用","待确认适用性",IF(INDEX(Equipment[登记状态（自动）],MATCH(B1309,Equipment[组合编号],0))&lt;&gt;"已登记","待补设备组合",IF(AND(F1309&lt;&gt;"",G1309&lt;&gt;"",K1309&lt;&gt;"",L1309&lt;&gt;"",M1309&lt;&gt;"",N1309&lt;&gt;"",ISNUMBER(O1309),O1309&gt;0,P1309&lt;&gt;""),"记录齐全","待补实测记录")))))))))))</x:f>
        <x:v>待展开路径</x:v>
      </x:c>
    </x:row>
    <x:row r="1310" ht="43.5" customHeight="1">
      <x:c r="A1310" s="20" t="str">
        <x:v>REC-01301</x:v>
      </x:c>
      <x:c r="B1310" s="20" t="str">
        <x:v>P3-B3-01</x:v>
      </x:c>
      <x:c r="C1310" s="30" t="str">
        <x:f>IF(B1310="","",IF(COUNTIFS(Equipment[组合编号],B1310)&lt;&gt;1,"组合编号无效",INDEX(Equipment[PLC组],MATCH(B1310,Equipment[组合编号],0))))</x:f>
        <x:v>欧姆龙</x:v>
      </x:c>
      <x:c r="D1310" s="30" t="str">
        <x:f>IF(B1310="","",IF(COUNTIFS(Equipment[组合编号],B1310)&lt;&gt;1,"组合编号无效",INDEX(Equipment[驱动品牌],MATCH(B1310,Equipment[组合编号],0))))</x:f>
        <x:v>繁易</x:v>
      </x:c>
      <x:c r="E1310" s="20" t="str">
        <x:v>U02</x:v>
      </x:c>
      <x:c r="F1310" s="20"/>
      <x:c r="G1310" s="20"/>
      <x:c r="H1310" s="20" t="str">
        <x:v>待判定</x:v>
      </x:c>
      <x:c r="I1310" s="20"/>
      <x:c r="J1310" s="20" t="str">
        <x:v>未测试</x:v>
      </x:c>
      <x:c r="K1310" s="20"/>
      <x:c r="L1310" s="20"/>
      <x:c r="M1310" s="20"/>
      <x:c r="N1310" s="20"/>
      <x:c r="O1310" s="31"/>
      <x:c r="P1310" s="20"/>
      <x:c r="Q1310" s="20"/>
      <x:c r="R1310" s="20" t="str">
        <x:v>待展开</x:v>
      </x:c>
      <x:c r="S1310" s="20"/>
      <x:c r="T1310" s="31"/>
      <x:c r="U1310" s="30" t="str">
        <x:f>IF(A1310="","缺记录编号",IF(COUNTIFS(PathRecords[记录编号],A1310)&lt;&gt;1,"记录编号重复",IF(OR(B1310="",E1310=""),"缺组合/功能",IF(COUNTIFS(Equipment[组合编号],B1310)&lt;&gt;1,"组合编号无效",IF(COUNTIFS(FunctionMatrix[编号],E1310)=0,"功能编号无效",IF(H1310="不适用",IF(J1310="已实测","适用性冲突",IF(I1310="","待补不适用依据","不适用（非实测）")),IF(J1310="阻塞",IF(I1310="","待补阻塞原因","阻塞（非实测）"),IF(J1310&lt;&gt;"已实测",IF(F1310="","待展开路径","未实测"),IF(H1310&lt;&gt;"适用","待确认适用性",IF(INDEX(Equipment[登记状态（自动）],MATCH(B1310,Equipment[组合编号],0))&lt;&gt;"已登记","待补设备组合",IF(AND(F1310&lt;&gt;"",G1310&lt;&gt;"",K1310&lt;&gt;"",L1310&lt;&gt;"",M1310&lt;&gt;"",N1310&lt;&gt;"",ISNUMBER(O1310),O1310&gt;0,P1310&lt;&gt;""),"记录齐全","待补实测记录")))))))))))</x:f>
        <x:v>待展开路径</x:v>
      </x:c>
    </x:row>
    <x:row r="1311" ht="43.5" customHeight="1">
      <x:c r="A1311" s="20" t="str">
        <x:v>REC-01302</x:v>
      </x:c>
      <x:c r="B1311" s="20" t="str">
        <x:v>P3-B3-01</x:v>
      </x:c>
      <x:c r="C1311" s="30" t="str">
        <x:f>IF(B1311="","",IF(COUNTIFS(Equipment[组合编号],B1311)&lt;&gt;1,"组合编号无效",INDEX(Equipment[PLC组],MATCH(B1311,Equipment[组合编号],0))))</x:f>
        <x:v>欧姆龙</x:v>
      </x:c>
      <x:c r="D1311" s="30" t="str">
        <x:f>IF(B1311="","",IF(COUNTIFS(Equipment[组合编号],B1311)&lt;&gt;1,"组合编号无效",INDEX(Equipment[驱动品牌],MATCH(B1311,Equipment[组合编号],0))))</x:f>
        <x:v>繁易</x:v>
      </x:c>
      <x:c r="E1311" s="20" t="str">
        <x:v>U03</x:v>
      </x:c>
      <x:c r="F1311" s="20"/>
      <x:c r="G1311" s="20"/>
      <x:c r="H1311" s="20" t="str">
        <x:v>待判定</x:v>
      </x:c>
      <x:c r="I1311" s="20"/>
      <x:c r="J1311" s="20" t="str">
        <x:v>未测试</x:v>
      </x:c>
      <x:c r="K1311" s="20"/>
      <x:c r="L1311" s="20"/>
      <x:c r="M1311" s="20"/>
      <x:c r="N1311" s="20"/>
      <x:c r="O1311" s="31"/>
      <x:c r="P1311" s="20"/>
      <x:c r="Q1311" s="20"/>
      <x:c r="R1311" s="20" t="str">
        <x:v>待展开</x:v>
      </x:c>
      <x:c r="S1311" s="20"/>
      <x:c r="T1311" s="31"/>
      <x:c r="U1311" s="30" t="str">
        <x:f>IF(A1311="","缺记录编号",IF(COUNTIFS(PathRecords[记录编号],A1311)&lt;&gt;1,"记录编号重复",IF(OR(B1311="",E1311=""),"缺组合/功能",IF(COUNTIFS(Equipment[组合编号],B1311)&lt;&gt;1,"组合编号无效",IF(COUNTIFS(FunctionMatrix[编号],E1311)=0,"功能编号无效",IF(H1311="不适用",IF(J1311="已实测","适用性冲突",IF(I1311="","待补不适用依据","不适用（非实测）")),IF(J1311="阻塞",IF(I1311="","待补阻塞原因","阻塞（非实测）"),IF(J1311&lt;&gt;"已实测",IF(F1311="","待展开路径","未实测"),IF(H1311&lt;&gt;"适用","待确认适用性",IF(INDEX(Equipment[登记状态（自动）],MATCH(B1311,Equipment[组合编号],0))&lt;&gt;"已登记","待补设备组合",IF(AND(F1311&lt;&gt;"",G1311&lt;&gt;"",K1311&lt;&gt;"",L1311&lt;&gt;"",M1311&lt;&gt;"",N1311&lt;&gt;"",ISNUMBER(O1311),O1311&gt;0,P1311&lt;&gt;""),"记录齐全","待补实测记录")))))))))))</x:f>
        <x:v>待展开路径</x:v>
      </x:c>
    </x:row>
    <x:row r="1312" ht="43.5" customHeight="1">
      <x:c r="A1312" s="20" t="str">
        <x:v>REC-01303</x:v>
      </x:c>
      <x:c r="B1312" s="20" t="str">
        <x:v>P3-B3-01</x:v>
      </x:c>
      <x:c r="C1312" s="30" t="str">
        <x:f>IF(B1312="","",IF(COUNTIFS(Equipment[组合编号],B1312)&lt;&gt;1,"组合编号无效",INDEX(Equipment[PLC组],MATCH(B1312,Equipment[组合编号],0))))</x:f>
        <x:v>欧姆龙</x:v>
      </x:c>
      <x:c r="D1312" s="30" t="str">
        <x:f>IF(B1312="","",IF(COUNTIFS(Equipment[组合编号],B1312)&lt;&gt;1,"组合编号无效",INDEX(Equipment[驱动品牌],MATCH(B1312,Equipment[组合编号],0))))</x:f>
        <x:v>繁易</x:v>
      </x:c>
      <x:c r="E1312" s="20" t="str">
        <x:v>U04</x:v>
      </x:c>
      <x:c r="F1312" s="20"/>
      <x:c r="G1312" s="20"/>
      <x:c r="H1312" s="20" t="str">
        <x:v>待判定</x:v>
      </x:c>
      <x:c r="I1312" s="20"/>
      <x:c r="J1312" s="20" t="str">
        <x:v>未测试</x:v>
      </x:c>
      <x:c r="K1312" s="20"/>
      <x:c r="L1312" s="20"/>
      <x:c r="M1312" s="20"/>
      <x:c r="N1312" s="20"/>
      <x:c r="O1312" s="31"/>
      <x:c r="P1312" s="20"/>
      <x:c r="Q1312" s="20"/>
      <x:c r="R1312" s="20" t="str">
        <x:v>待展开</x:v>
      </x:c>
      <x:c r="S1312" s="20"/>
      <x:c r="T1312" s="31"/>
      <x:c r="U1312" s="30" t="str">
        <x:f>IF(A1312="","缺记录编号",IF(COUNTIFS(PathRecords[记录编号],A1312)&lt;&gt;1,"记录编号重复",IF(OR(B1312="",E1312=""),"缺组合/功能",IF(COUNTIFS(Equipment[组合编号],B1312)&lt;&gt;1,"组合编号无效",IF(COUNTIFS(FunctionMatrix[编号],E1312)=0,"功能编号无效",IF(H1312="不适用",IF(J1312="已实测","适用性冲突",IF(I1312="","待补不适用依据","不适用（非实测）")),IF(J1312="阻塞",IF(I1312="","待补阻塞原因","阻塞（非实测）"),IF(J1312&lt;&gt;"已实测",IF(F1312="","待展开路径","未实测"),IF(H1312&lt;&gt;"适用","待确认适用性",IF(INDEX(Equipment[登记状态（自动）],MATCH(B1312,Equipment[组合编号],0))&lt;&gt;"已登记","待补设备组合",IF(AND(F1312&lt;&gt;"",G1312&lt;&gt;"",K1312&lt;&gt;"",L1312&lt;&gt;"",M1312&lt;&gt;"",N1312&lt;&gt;"",ISNUMBER(O1312),O1312&gt;0,P1312&lt;&gt;""),"记录齐全","待补实测记录")))))))))))</x:f>
        <x:v>待展开路径</x:v>
      </x:c>
    </x:row>
    <x:row r="1313" ht="43.5" customHeight="1">
      <x:c r="A1313" s="20" t="str">
        <x:v>REC-01304</x:v>
      </x:c>
      <x:c r="B1313" s="20" t="str">
        <x:v>P3-B3-01</x:v>
      </x:c>
      <x:c r="C1313" s="30" t="str">
        <x:f>IF(B1313="","",IF(COUNTIFS(Equipment[组合编号],B1313)&lt;&gt;1,"组合编号无效",INDEX(Equipment[PLC组],MATCH(B1313,Equipment[组合编号],0))))</x:f>
        <x:v>欧姆龙</x:v>
      </x:c>
      <x:c r="D1313" s="30" t="str">
        <x:f>IF(B1313="","",IF(COUNTIFS(Equipment[组合编号],B1313)&lt;&gt;1,"组合编号无效",INDEX(Equipment[驱动品牌],MATCH(B1313,Equipment[组合编号],0))))</x:f>
        <x:v>繁易</x:v>
      </x:c>
      <x:c r="E1313" s="20" t="str">
        <x:v>U05</x:v>
      </x:c>
      <x:c r="F1313" s="20"/>
      <x:c r="G1313" s="20"/>
      <x:c r="H1313" s="20" t="str">
        <x:v>待判定</x:v>
      </x:c>
      <x:c r="I1313" s="20"/>
      <x:c r="J1313" s="20" t="str">
        <x:v>未测试</x:v>
      </x:c>
      <x:c r="K1313" s="20"/>
      <x:c r="L1313" s="20"/>
      <x:c r="M1313" s="20"/>
      <x:c r="N1313" s="20"/>
      <x:c r="O1313" s="31"/>
      <x:c r="P1313" s="20"/>
      <x:c r="Q1313" s="20"/>
      <x:c r="R1313" s="20" t="str">
        <x:v>待展开</x:v>
      </x:c>
      <x:c r="S1313" s="20"/>
      <x:c r="T1313" s="31"/>
      <x:c r="U1313" s="30" t="str">
        <x:f>IF(A1313="","缺记录编号",IF(COUNTIFS(PathRecords[记录编号],A1313)&lt;&gt;1,"记录编号重复",IF(OR(B1313="",E1313=""),"缺组合/功能",IF(COUNTIFS(Equipment[组合编号],B1313)&lt;&gt;1,"组合编号无效",IF(COUNTIFS(FunctionMatrix[编号],E1313)=0,"功能编号无效",IF(H1313="不适用",IF(J1313="已实测","适用性冲突",IF(I1313="","待补不适用依据","不适用（非实测）")),IF(J1313="阻塞",IF(I1313="","待补阻塞原因","阻塞（非实测）"),IF(J1313&lt;&gt;"已实测",IF(F1313="","待展开路径","未实测"),IF(H1313&lt;&gt;"适用","待确认适用性",IF(INDEX(Equipment[登记状态（自动）],MATCH(B1313,Equipment[组合编号],0))&lt;&gt;"已登记","待补设备组合",IF(AND(F1313&lt;&gt;"",G1313&lt;&gt;"",K1313&lt;&gt;"",L1313&lt;&gt;"",M1313&lt;&gt;"",N1313&lt;&gt;"",ISNUMBER(O1313),O1313&gt;0,P1313&lt;&gt;""),"记录齐全","待补实测记录")))))))))))</x:f>
        <x:v>待展开路径</x:v>
      </x:c>
    </x:row>
    <x:row r="1314" ht="43.5" customHeight="1">
      <x:c r="A1314" s="20" t="str">
        <x:v>REC-01305</x:v>
      </x:c>
      <x:c r="B1314" s="20" t="str">
        <x:v>P3-B3-01</x:v>
      </x:c>
      <x:c r="C1314" s="30" t="str">
        <x:f>IF(B1314="","",IF(COUNTIFS(Equipment[组合编号],B1314)&lt;&gt;1,"组合编号无效",INDEX(Equipment[PLC组],MATCH(B1314,Equipment[组合编号],0))))</x:f>
        <x:v>欧姆龙</x:v>
      </x:c>
      <x:c r="D1314" s="30" t="str">
        <x:f>IF(B1314="","",IF(COUNTIFS(Equipment[组合编号],B1314)&lt;&gt;1,"组合编号无效",INDEX(Equipment[驱动品牌],MATCH(B1314,Equipment[组合编号],0))))</x:f>
        <x:v>繁易</x:v>
      </x:c>
      <x:c r="E1314" s="20" t="str">
        <x:v>U06</x:v>
      </x:c>
      <x:c r="F1314" s="20"/>
      <x:c r="G1314" s="20"/>
      <x:c r="H1314" s="20" t="str">
        <x:v>待判定</x:v>
      </x:c>
      <x:c r="I1314" s="20"/>
      <x:c r="J1314" s="20" t="str">
        <x:v>未测试</x:v>
      </x:c>
      <x:c r="K1314" s="20"/>
      <x:c r="L1314" s="20"/>
      <x:c r="M1314" s="20"/>
      <x:c r="N1314" s="20"/>
      <x:c r="O1314" s="31"/>
      <x:c r="P1314" s="20"/>
      <x:c r="Q1314" s="20"/>
      <x:c r="R1314" s="20" t="str">
        <x:v>待展开</x:v>
      </x:c>
      <x:c r="S1314" s="20"/>
      <x:c r="T1314" s="31"/>
      <x:c r="U1314" s="30" t="str">
        <x:f>IF(A1314="","缺记录编号",IF(COUNTIFS(PathRecords[记录编号],A1314)&lt;&gt;1,"记录编号重复",IF(OR(B1314="",E1314=""),"缺组合/功能",IF(COUNTIFS(Equipment[组合编号],B1314)&lt;&gt;1,"组合编号无效",IF(COUNTIFS(FunctionMatrix[编号],E1314)=0,"功能编号无效",IF(H1314="不适用",IF(J1314="已实测","适用性冲突",IF(I1314="","待补不适用依据","不适用（非实测）")),IF(J1314="阻塞",IF(I1314="","待补阻塞原因","阻塞（非实测）"),IF(J1314&lt;&gt;"已实测",IF(F1314="","待展开路径","未实测"),IF(H1314&lt;&gt;"适用","待确认适用性",IF(INDEX(Equipment[登记状态（自动）],MATCH(B1314,Equipment[组合编号],0))&lt;&gt;"已登记","待补设备组合",IF(AND(F1314&lt;&gt;"",G1314&lt;&gt;"",K1314&lt;&gt;"",L1314&lt;&gt;"",M1314&lt;&gt;"",N1314&lt;&gt;"",ISNUMBER(O1314),O1314&gt;0,P1314&lt;&gt;""),"记录齐全","待补实测记录")))))))))))</x:f>
        <x:v>待展开路径</x:v>
      </x:c>
    </x:row>
    <x:row r="1315" ht="43.5" customHeight="1">
      <x:c r="A1315" s="20" t="str">
        <x:v>REC-01306</x:v>
      </x:c>
      <x:c r="B1315" s="20" t="str">
        <x:v>P3-B3-01</x:v>
      </x:c>
      <x:c r="C1315" s="30" t="str">
        <x:f>IF(B1315="","",IF(COUNTIFS(Equipment[组合编号],B1315)&lt;&gt;1,"组合编号无效",INDEX(Equipment[PLC组],MATCH(B1315,Equipment[组合编号],0))))</x:f>
        <x:v>欧姆龙</x:v>
      </x:c>
      <x:c r="D1315" s="30" t="str">
        <x:f>IF(B1315="","",IF(COUNTIFS(Equipment[组合编号],B1315)&lt;&gt;1,"组合编号无效",INDEX(Equipment[驱动品牌],MATCH(B1315,Equipment[组合编号],0))))</x:f>
        <x:v>繁易</x:v>
      </x:c>
      <x:c r="E1315" s="20" t="str">
        <x:v>U07</x:v>
      </x:c>
      <x:c r="F1315" s="20"/>
      <x:c r="G1315" s="20"/>
      <x:c r="H1315" s="20" t="str">
        <x:v>待判定</x:v>
      </x:c>
      <x:c r="I1315" s="20"/>
      <x:c r="J1315" s="20" t="str">
        <x:v>未测试</x:v>
      </x:c>
      <x:c r="K1315" s="20"/>
      <x:c r="L1315" s="20"/>
      <x:c r="M1315" s="20"/>
      <x:c r="N1315" s="20"/>
      <x:c r="O1315" s="31"/>
      <x:c r="P1315" s="20"/>
      <x:c r="Q1315" s="20"/>
      <x:c r="R1315" s="20" t="str">
        <x:v>待展开</x:v>
      </x:c>
      <x:c r="S1315" s="20"/>
      <x:c r="T1315" s="31"/>
      <x:c r="U1315" s="30" t="str">
        <x:f>IF(A1315="","缺记录编号",IF(COUNTIFS(PathRecords[记录编号],A1315)&lt;&gt;1,"记录编号重复",IF(OR(B1315="",E1315=""),"缺组合/功能",IF(COUNTIFS(Equipment[组合编号],B1315)&lt;&gt;1,"组合编号无效",IF(COUNTIFS(FunctionMatrix[编号],E1315)=0,"功能编号无效",IF(H1315="不适用",IF(J1315="已实测","适用性冲突",IF(I1315="","待补不适用依据","不适用（非实测）")),IF(J1315="阻塞",IF(I1315="","待补阻塞原因","阻塞（非实测）"),IF(J1315&lt;&gt;"已实测",IF(F1315="","待展开路径","未实测"),IF(H1315&lt;&gt;"适用","待确认适用性",IF(INDEX(Equipment[登记状态（自动）],MATCH(B1315,Equipment[组合编号],0))&lt;&gt;"已登记","待补设备组合",IF(AND(F1315&lt;&gt;"",G1315&lt;&gt;"",K1315&lt;&gt;"",L1315&lt;&gt;"",M1315&lt;&gt;"",N1315&lt;&gt;"",ISNUMBER(O1315),O1315&gt;0,P1315&lt;&gt;""),"记录齐全","待补实测记录")))))))))))</x:f>
        <x:v>待展开路径</x:v>
      </x:c>
    </x:row>
    <x:row r="1316" ht="43.5" customHeight="1">
      <x:c r="A1316" s="20" t="str">
        <x:v>REC-01307</x:v>
      </x:c>
      <x:c r="B1316" s="20" t="str">
        <x:v>P3-B3-01</x:v>
      </x:c>
      <x:c r="C1316" s="30" t="str">
        <x:f>IF(B1316="","",IF(COUNTIFS(Equipment[组合编号],B1316)&lt;&gt;1,"组合编号无效",INDEX(Equipment[PLC组],MATCH(B1316,Equipment[组合编号],0))))</x:f>
        <x:v>欧姆龙</x:v>
      </x:c>
      <x:c r="D1316" s="30" t="str">
        <x:f>IF(B1316="","",IF(COUNTIFS(Equipment[组合编号],B1316)&lt;&gt;1,"组合编号无效",INDEX(Equipment[驱动品牌],MATCH(B1316,Equipment[组合编号],0))))</x:f>
        <x:v>繁易</x:v>
      </x:c>
      <x:c r="E1316" s="20" t="str">
        <x:v>U08</x:v>
      </x:c>
      <x:c r="F1316" s="20"/>
      <x:c r="G1316" s="20"/>
      <x:c r="H1316" s="20" t="str">
        <x:v>待判定</x:v>
      </x:c>
      <x:c r="I1316" s="20"/>
      <x:c r="J1316" s="20" t="str">
        <x:v>未测试</x:v>
      </x:c>
      <x:c r="K1316" s="20"/>
      <x:c r="L1316" s="20"/>
      <x:c r="M1316" s="20"/>
      <x:c r="N1316" s="20"/>
      <x:c r="O1316" s="31"/>
      <x:c r="P1316" s="20"/>
      <x:c r="Q1316" s="20"/>
      <x:c r="R1316" s="20" t="str">
        <x:v>待展开</x:v>
      </x:c>
      <x:c r="S1316" s="20"/>
      <x:c r="T1316" s="31"/>
      <x:c r="U1316" s="30" t="str">
        <x:f>IF(A1316="","缺记录编号",IF(COUNTIFS(PathRecords[记录编号],A1316)&lt;&gt;1,"记录编号重复",IF(OR(B1316="",E1316=""),"缺组合/功能",IF(COUNTIFS(Equipment[组合编号],B1316)&lt;&gt;1,"组合编号无效",IF(COUNTIFS(FunctionMatrix[编号],E1316)=0,"功能编号无效",IF(H1316="不适用",IF(J1316="已实测","适用性冲突",IF(I1316="","待补不适用依据","不适用（非实测）")),IF(J1316="阻塞",IF(I1316="","待补阻塞原因","阻塞（非实测）"),IF(J1316&lt;&gt;"已实测",IF(F1316="","待展开路径","未实测"),IF(H1316&lt;&gt;"适用","待确认适用性",IF(INDEX(Equipment[登记状态（自动）],MATCH(B1316,Equipment[组合编号],0))&lt;&gt;"已登记","待补设备组合",IF(AND(F1316&lt;&gt;"",G1316&lt;&gt;"",K1316&lt;&gt;"",L1316&lt;&gt;"",M1316&lt;&gt;"",N1316&lt;&gt;"",ISNUMBER(O1316),O1316&gt;0,P1316&lt;&gt;""),"记录齐全","待补实测记录")))))))))))</x:f>
        <x:v>待展开路径</x:v>
      </x:c>
    </x:row>
    <x:row r="1317" ht="43.5" customHeight="1">
      <x:c r="A1317" s="20" t="str">
        <x:v>REC-01308</x:v>
      </x:c>
      <x:c r="B1317" s="20" t="str">
        <x:v>P3-B3-01</x:v>
      </x:c>
      <x:c r="C1317" s="30" t="str">
        <x:f>IF(B1317="","",IF(COUNTIFS(Equipment[组合编号],B1317)&lt;&gt;1,"组合编号无效",INDEX(Equipment[PLC组],MATCH(B1317,Equipment[组合编号],0))))</x:f>
        <x:v>欧姆龙</x:v>
      </x:c>
      <x:c r="D1317" s="30" t="str">
        <x:f>IF(B1317="","",IF(COUNTIFS(Equipment[组合编号],B1317)&lt;&gt;1,"组合编号无效",INDEX(Equipment[驱动品牌],MATCH(B1317,Equipment[组合编号],0))))</x:f>
        <x:v>繁易</x:v>
      </x:c>
      <x:c r="E1317" s="20" t="str">
        <x:v>U09</x:v>
      </x:c>
      <x:c r="F1317" s="20"/>
      <x:c r="G1317" s="20"/>
      <x:c r="H1317" s="20" t="str">
        <x:v>待判定</x:v>
      </x:c>
      <x:c r="I1317" s="20"/>
      <x:c r="J1317" s="20" t="str">
        <x:v>未测试</x:v>
      </x:c>
      <x:c r="K1317" s="20"/>
      <x:c r="L1317" s="20"/>
      <x:c r="M1317" s="20"/>
      <x:c r="N1317" s="20"/>
      <x:c r="O1317" s="31"/>
      <x:c r="P1317" s="20"/>
      <x:c r="Q1317" s="20"/>
      <x:c r="R1317" s="20" t="str">
        <x:v>待展开</x:v>
      </x:c>
      <x:c r="S1317" s="20"/>
      <x:c r="T1317" s="31"/>
      <x:c r="U1317" s="30" t="str">
        <x:f>IF(A1317="","缺记录编号",IF(COUNTIFS(PathRecords[记录编号],A1317)&lt;&gt;1,"记录编号重复",IF(OR(B1317="",E1317=""),"缺组合/功能",IF(COUNTIFS(Equipment[组合编号],B1317)&lt;&gt;1,"组合编号无效",IF(COUNTIFS(FunctionMatrix[编号],E1317)=0,"功能编号无效",IF(H1317="不适用",IF(J1317="已实测","适用性冲突",IF(I1317="","待补不适用依据","不适用（非实测）")),IF(J1317="阻塞",IF(I1317="","待补阻塞原因","阻塞（非实测）"),IF(J1317&lt;&gt;"已实测",IF(F1317="","待展开路径","未实测"),IF(H1317&lt;&gt;"适用","待确认适用性",IF(INDEX(Equipment[登记状态（自动）],MATCH(B1317,Equipment[组合编号],0))&lt;&gt;"已登记","待补设备组合",IF(AND(F1317&lt;&gt;"",G1317&lt;&gt;"",K1317&lt;&gt;"",L1317&lt;&gt;"",M1317&lt;&gt;"",N1317&lt;&gt;"",ISNUMBER(O1317),O1317&gt;0,P1317&lt;&gt;""),"记录齐全","待补实测记录")))))))))))</x:f>
        <x:v>待展开路径</x:v>
      </x:c>
    </x:row>
    <x:row r="1318" ht="43.5" customHeight="1">
      <x:c r="A1318" s="20" t="str">
        <x:v>REC-01309</x:v>
      </x:c>
      <x:c r="B1318" s="20" t="str">
        <x:v>P3-B3-01</x:v>
      </x:c>
      <x:c r="C1318" s="30" t="str">
        <x:f>IF(B1318="","",IF(COUNTIFS(Equipment[组合编号],B1318)&lt;&gt;1,"组合编号无效",INDEX(Equipment[PLC组],MATCH(B1318,Equipment[组合编号],0))))</x:f>
        <x:v>欧姆龙</x:v>
      </x:c>
      <x:c r="D1318" s="30" t="str">
        <x:f>IF(B1318="","",IF(COUNTIFS(Equipment[组合编号],B1318)&lt;&gt;1,"组合编号无效",INDEX(Equipment[驱动品牌],MATCH(B1318,Equipment[组合编号],0))))</x:f>
        <x:v>繁易</x:v>
      </x:c>
      <x:c r="E1318" s="20" t="str">
        <x:v>U10</x:v>
      </x:c>
      <x:c r="F1318" s="20"/>
      <x:c r="G1318" s="20"/>
      <x:c r="H1318" s="20" t="str">
        <x:v>待判定</x:v>
      </x:c>
      <x:c r="I1318" s="20"/>
      <x:c r="J1318" s="20" t="str">
        <x:v>未测试</x:v>
      </x:c>
      <x:c r="K1318" s="20"/>
      <x:c r="L1318" s="20"/>
      <x:c r="M1318" s="20"/>
      <x:c r="N1318" s="20"/>
      <x:c r="O1318" s="31"/>
      <x:c r="P1318" s="20"/>
      <x:c r="Q1318" s="20"/>
      <x:c r="R1318" s="20" t="str">
        <x:v>待展开</x:v>
      </x:c>
      <x:c r="S1318" s="20"/>
      <x:c r="T1318" s="31"/>
      <x:c r="U1318" s="30" t="str">
        <x:f>IF(A1318="","缺记录编号",IF(COUNTIFS(PathRecords[记录编号],A1318)&lt;&gt;1,"记录编号重复",IF(OR(B1318="",E1318=""),"缺组合/功能",IF(COUNTIFS(Equipment[组合编号],B1318)&lt;&gt;1,"组合编号无效",IF(COUNTIFS(FunctionMatrix[编号],E1318)=0,"功能编号无效",IF(H1318="不适用",IF(J1318="已实测","适用性冲突",IF(I1318="","待补不适用依据","不适用（非实测）")),IF(J1318="阻塞",IF(I1318="","待补阻塞原因","阻塞（非实测）"),IF(J1318&lt;&gt;"已实测",IF(F1318="","待展开路径","未实测"),IF(H1318&lt;&gt;"适用","待确认适用性",IF(INDEX(Equipment[登记状态（自动）],MATCH(B1318,Equipment[组合编号],0))&lt;&gt;"已登记","待补设备组合",IF(AND(F1318&lt;&gt;"",G1318&lt;&gt;"",K1318&lt;&gt;"",L1318&lt;&gt;"",M1318&lt;&gt;"",N1318&lt;&gt;"",ISNUMBER(O1318),O1318&gt;0,P1318&lt;&gt;""),"记录齐全","待补实测记录")))))))))))</x:f>
        <x:v>待展开路径</x:v>
      </x:c>
    </x:row>
    <x:row r="1319" ht="43.5" customHeight="1">
      <x:c r="A1319" s="20" t="str">
        <x:v>REC-01310</x:v>
      </x:c>
      <x:c r="B1319" s="20" t="str">
        <x:v>P3-B3-01</x:v>
      </x:c>
      <x:c r="C1319" s="30" t="str">
        <x:f>IF(B1319="","",IF(COUNTIFS(Equipment[组合编号],B1319)&lt;&gt;1,"组合编号无效",INDEX(Equipment[PLC组],MATCH(B1319,Equipment[组合编号],0))))</x:f>
        <x:v>欧姆龙</x:v>
      </x:c>
      <x:c r="D1319" s="30" t="str">
        <x:f>IF(B1319="","",IF(COUNTIFS(Equipment[组合编号],B1319)&lt;&gt;1,"组合编号无效",INDEX(Equipment[驱动品牌],MATCH(B1319,Equipment[组合编号],0))))</x:f>
        <x:v>繁易</x:v>
      </x:c>
      <x:c r="E1319" s="20" t="str">
        <x:v>H01</x:v>
      </x:c>
      <x:c r="F1319" s="20"/>
      <x:c r="G1319" s="20"/>
      <x:c r="H1319" s="20" t="str">
        <x:v>待判定</x:v>
      </x:c>
      <x:c r="I1319" s="20"/>
      <x:c r="J1319" s="20" t="str">
        <x:v>未测试</x:v>
      </x:c>
      <x:c r="K1319" s="20"/>
      <x:c r="L1319" s="20"/>
      <x:c r="M1319" s="20"/>
      <x:c r="N1319" s="20"/>
      <x:c r="O1319" s="31"/>
      <x:c r="P1319" s="20"/>
      <x:c r="Q1319" s="20"/>
      <x:c r="R1319" s="20" t="str">
        <x:v>待展开</x:v>
      </x:c>
      <x:c r="S1319" s="20"/>
      <x:c r="T1319" s="31"/>
      <x:c r="U1319" s="30" t="str">
        <x:f>IF(A1319="","缺记录编号",IF(COUNTIFS(PathRecords[记录编号],A1319)&lt;&gt;1,"记录编号重复",IF(OR(B1319="",E1319=""),"缺组合/功能",IF(COUNTIFS(Equipment[组合编号],B1319)&lt;&gt;1,"组合编号无效",IF(COUNTIFS(FunctionMatrix[编号],E1319)=0,"功能编号无效",IF(H1319="不适用",IF(J1319="已实测","适用性冲突",IF(I1319="","待补不适用依据","不适用（非实测）")),IF(J1319="阻塞",IF(I1319="","待补阻塞原因","阻塞（非实测）"),IF(J1319&lt;&gt;"已实测",IF(F1319="","待展开路径","未实测"),IF(H1319&lt;&gt;"适用","待确认适用性",IF(INDEX(Equipment[登记状态（自动）],MATCH(B1319,Equipment[组合编号],0))&lt;&gt;"已登记","待补设备组合",IF(AND(F1319&lt;&gt;"",G1319&lt;&gt;"",K1319&lt;&gt;"",L1319&lt;&gt;"",M1319&lt;&gt;"",N1319&lt;&gt;"",ISNUMBER(O1319),O1319&gt;0,P1319&lt;&gt;""),"记录齐全","待补实测记录")))))))))))</x:f>
        <x:v>待展开路径</x:v>
      </x:c>
    </x:row>
    <x:row r="1320" ht="43.5" customHeight="1">
      <x:c r="A1320" s="20" t="str">
        <x:v>REC-01311</x:v>
      </x:c>
      <x:c r="B1320" s="20" t="str">
        <x:v>P3-B3-01</x:v>
      </x:c>
      <x:c r="C1320" s="30" t="str">
        <x:f>IF(B1320="","",IF(COUNTIFS(Equipment[组合编号],B1320)&lt;&gt;1,"组合编号无效",INDEX(Equipment[PLC组],MATCH(B1320,Equipment[组合编号],0))))</x:f>
        <x:v>欧姆龙</x:v>
      </x:c>
      <x:c r="D1320" s="30" t="str">
        <x:f>IF(B1320="","",IF(COUNTIFS(Equipment[组合编号],B1320)&lt;&gt;1,"组合编号无效",INDEX(Equipment[驱动品牌],MATCH(B1320,Equipment[组合编号],0))))</x:f>
        <x:v>繁易</x:v>
      </x:c>
      <x:c r="E1320" s="20" t="str">
        <x:v>H02</x:v>
      </x:c>
      <x:c r="F1320" s="20"/>
      <x:c r="G1320" s="20"/>
      <x:c r="H1320" s="20" t="str">
        <x:v>待判定</x:v>
      </x:c>
      <x:c r="I1320" s="20"/>
      <x:c r="J1320" s="20" t="str">
        <x:v>未测试</x:v>
      </x:c>
      <x:c r="K1320" s="20"/>
      <x:c r="L1320" s="20"/>
      <x:c r="M1320" s="20"/>
      <x:c r="N1320" s="20"/>
      <x:c r="O1320" s="31"/>
      <x:c r="P1320" s="20"/>
      <x:c r="Q1320" s="20"/>
      <x:c r="R1320" s="20" t="str">
        <x:v>待展开</x:v>
      </x:c>
      <x:c r="S1320" s="20"/>
      <x:c r="T1320" s="31"/>
      <x:c r="U1320" s="30" t="str">
        <x:f>IF(A1320="","缺记录编号",IF(COUNTIFS(PathRecords[记录编号],A1320)&lt;&gt;1,"记录编号重复",IF(OR(B1320="",E1320=""),"缺组合/功能",IF(COUNTIFS(Equipment[组合编号],B1320)&lt;&gt;1,"组合编号无效",IF(COUNTIFS(FunctionMatrix[编号],E1320)=0,"功能编号无效",IF(H1320="不适用",IF(J1320="已实测","适用性冲突",IF(I1320="","待补不适用依据","不适用（非实测）")),IF(J1320="阻塞",IF(I1320="","待补阻塞原因","阻塞（非实测）"),IF(J1320&lt;&gt;"已实测",IF(F1320="","待展开路径","未实测"),IF(H1320&lt;&gt;"适用","待确认适用性",IF(INDEX(Equipment[登记状态（自动）],MATCH(B1320,Equipment[组合编号],0))&lt;&gt;"已登记","待补设备组合",IF(AND(F1320&lt;&gt;"",G1320&lt;&gt;"",K1320&lt;&gt;"",L1320&lt;&gt;"",M1320&lt;&gt;"",N1320&lt;&gt;"",ISNUMBER(O1320),O1320&gt;0,P1320&lt;&gt;""),"记录齐全","待补实测记录")))))))))))</x:f>
        <x:v>待展开路径</x:v>
      </x:c>
    </x:row>
    <x:row r="1321" ht="43.5" customHeight="1">
      <x:c r="A1321" s="20" t="str">
        <x:v>REC-01312</x:v>
      </x:c>
      <x:c r="B1321" s="20" t="str">
        <x:v>P3-B3-01</x:v>
      </x:c>
      <x:c r="C1321" s="30" t="str">
        <x:f>IF(B1321="","",IF(COUNTIFS(Equipment[组合编号],B1321)&lt;&gt;1,"组合编号无效",INDEX(Equipment[PLC组],MATCH(B1321,Equipment[组合编号],0))))</x:f>
        <x:v>欧姆龙</x:v>
      </x:c>
      <x:c r="D1321" s="30" t="str">
        <x:f>IF(B1321="","",IF(COUNTIFS(Equipment[组合编号],B1321)&lt;&gt;1,"组合编号无效",INDEX(Equipment[驱动品牌],MATCH(B1321,Equipment[组合编号],0))))</x:f>
        <x:v>繁易</x:v>
      </x:c>
      <x:c r="E1321" s="20" t="str">
        <x:v>H03</x:v>
      </x:c>
      <x:c r="F1321" s="20"/>
      <x:c r="G1321" s="20"/>
      <x:c r="H1321" s="20" t="str">
        <x:v>待判定</x:v>
      </x:c>
      <x:c r="I1321" s="20"/>
      <x:c r="J1321" s="20" t="str">
        <x:v>未测试</x:v>
      </x:c>
      <x:c r="K1321" s="20"/>
      <x:c r="L1321" s="20"/>
      <x:c r="M1321" s="20"/>
      <x:c r="N1321" s="20"/>
      <x:c r="O1321" s="31"/>
      <x:c r="P1321" s="20"/>
      <x:c r="Q1321" s="20"/>
      <x:c r="R1321" s="20" t="str">
        <x:v>待展开</x:v>
      </x:c>
      <x:c r="S1321" s="20"/>
      <x:c r="T1321" s="31"/>
      <x:c r="U1321" s="30" t="str">
        <x:f>IF(A1321="","缺记录编号",IF(COUNTIFS(PathRecords[记录编号],A1321)&lt;&gt;1,"记录编号重复",IF(OR(B1321="",E1321=""),"缺组合/功能",IF(COUNTIFS(Equipment[组合编号],B1321)&lt;&gt;1,"组合编号无效",IF(COUNTIFS(FunctionMatrix[编号],E1321)=0,"功能编号无效",IF(H1321="不适用",IF(J1321="已实测","适用性冲突",IF(I1321="","待补不适用依据","不适用（非实测）")),IF(J1321="阻塞",IF(I1321="","待补阻塞原因","阻塞（非实测）"),IF(J1321&lt;&gt;"已实测",IF(F1321="","待展开路径","未实测"),IF(H1321&lt;&gt;"适用","待确认适用性",IF(INDEX(Equipment[登记状态（自动）],MATCH(B1321,Equipment[组合编号],0))&lt;&gt;"已登记","待补设备组合",IF(AND(F1321&lt;&gt;"",G1321&lt;&gt;"",K1321&lt;&gt;"",L1321&lt;&gt;"",M1321&lt;&gt;"",N1321&lt;&gt;"",ISNUMBER(O1321),O1321&gt;0,P1321&lt;&gt;""),"记录齐全","待补实测记录")))))))))))</x:f>
        <x:v>待展开路径</x:v>
      </x:c>
    </x:row>
    <x:row r="1322" ht="43.5" customHeight="1">
      <x:c r="A1322" s="20" t="str">
        <x:v>REC-01313</x:v>
      </x:c>
      <x:c r="B1322" s="20" t="str">
        <x:v>P3-B3-01</x:v>
      </x:c>
      <x:c r="C1322" s="30" t="str">
        <x:f>IF(B1322="","",IF(COUNTIFS(Equipment[组合编号],B1322)&lt;&gt;1,"组合编号无效",INDEX(Equipment[PLC组],MATCH(B1322,Equipment[组合编号],0))))</x:f>
        <x:v>欧姆龙</x:v>
      </x:c>
      <x:c r="D1322" s="30" t="str">
        <x:f>IF(B1322="","",IF(COUNTIFS(Equipment[组合编号],B1322)&lt;&gt;1,"组合编号无效",INDEX(Equipment[驱动品牌],MATCH(B1322,Equipment[组合编号],0))))</x:f>
        <x:v>繁易</x:v>
      </x:c>
      <x:c r="E1322" s="20" t="str">
        <x:v>H04</x:v>
      </x:c>
      <x:c r="F1322" s="20"/>
      <x:c r="G1322" s="20"/>
      <x:c r="H1322" s="20" t="str">
        <x:v>待判定</x:v>
      </x:c>
      <x:c r="I1322" s="20"/>
      <x:c r="J1322" s="20" t="str">
        <x:v>未测试</x:v>
      </x:c>
      <x:c r="K1322" s="20"/>
      <x:c r="L1322" s="20"/>
      <x:c r="M1322" s="20"/>
      <x:c r="N1322" s="20"/>
      <x:c r="O1322" s="31"/>
      <x:c r="P1322" s="20"/>
      <x:c r="Q1322" s="20"/>
      <x:c r="R1322" s="20" t="str">
        <x:v>待展开</x:v>
      </x:c>
      <x:c r="S1322" s="20"/>
      <x:c r="T1322" s="31"/>
      <x:c r="U1322" s="30" t="str">
        <x:f>IF(A1322="","缺记录编号",IF(COUNTIFS(PathRecords[记录编号],A1322)&lt;&gt;1,"记录编号重复",IF(OR(B1322="",E1322=""),"缺组合/功能",IF(COUNTIFS(Equipment[组合编号],B1322)&lt;&gt;1,"组合编号无效",IF(COUNTIFS(FunctionMatrix[编号],E1322)=0,"功能编号无效",IF(H1322="不适用",IF(J1322="已实测","适用性冲突",IF(I1322="","待补不适用依据","不适用（非实测）")),IF(J1322="阻塞",IF(I1322="","待补阻塞原因","阻塞（非实测）"),IF(J1322&lt;&gt;"已实测",IF(F1322="","待展开路径","未实测"),IF(H1322&lt;&gt;"适用","待确认适用性",IF(INDEX(Equipment[登记状态（自动）],MATCH(B1322,Equipment[组合编号],0))&lt;&gt;"已登记","待补设备组合",IF(AND(F1322&lt;&gt;"",G1322&lt;&gt;"",K1322&lt;&gt;"",L1322&lt;&gt;"",M1322&lt;&gt;"",N1322&lt;&gt;"",ISNUMBER(O1322),O1322&gt;0,P1322&lt;&gt;""),"记录齐全","待补实测记录")))))))))))</x:f>
        <x:v>待展开路径</x:v>
      </x:c>
    </x:row>
    <x:row r="1323" ht="43.5" customHeight="1">
      <x:c r="A1323" s="20" t="str">
        <x:v>REC-01314</x:v>
      </x:c>
      <x:c r="B1323" s="20" t="str">
        <x:v>P3-B3-01</x:v>
      </x:c>
      <x:c r="C1323" s="30" t="str">
        <x:f>IF(B1323="","",IF(COUNTIFS(Equipment[组合编号],B1323)&lt;&gt;1,"组合编号无效",INDEX(Equipment[PLC组],MATCH(B1323,Equipment[组合编号],0))))</x:f>
        <x:v>欧姆龙</x:v>
      </x:c>
      <x:c r="D1323" s="30" t="str">
        <x:f>IF(B1323="","",IF(COUNTIFS(Equipment[组合编号],B1323)&lt;&gt;1,"组合编号无效",INDEX(Equipment[驱动品牌],MATCH(B1323,Equipment[组合编号],0))))</x:f>
        <x:v>繁易</x:v>
      </x:c>
      <x:c r="E1323" s="20" t="str">
        <x:v>H05</x:v>
      </x:c>
      <x:c r="F1323" s="20"/>
      <x:c r="G1323" s="20"/>
      <x:c r="H1323" s="20" t="str">
        <x:v>待判定</x:v>
      </x:c>
      <x:c r="I1323" s="20"/>
      <x:c r="J1323" s="20" t="str">
        <x:v>未测试</x:v>
      </x:c>
      <x:c r="K1323" s="20"/>
      <x:c r="L1323" s="20"/>
      <x:c r="M1323" s="20"/>
      <x:c r="N1323" s="20"/>
      <x:c r="O1323" s="31"/>
      <x:c r="P1323" s="20"/>
      <x:c r="Q1323" s="20"/>
      <x:c r="R1323" s="20" t="str">
        <x:v>待展开</x:v>
      </x:c>
      <x:c r="S1323" s="20"/>
      <x:c r="T1323" s="31"/>
      <x:c r="U1323" s="30" t="str">
        <x:f>IF(A1323="","缺记录编号",IF(COUNTIFS(PathRecords[记录编号],A1323)&lt;&gt;1,"记录编号重复",IF(OR(B1323="",E1323=""),"缺组合/功能",IF(COUNTIFS(Equipment[组合编号],B1323)&lt;&gt;1,"组合编号无效",IF(COUNTIFS(FunctionMatrix[编号],E1323)=0,"功能编号无效",IF(H1323="不适用",IF(J1323="已实测","适用性冲突",IF(I1323="","待补不适用依据","不适用（非实测）")),IF(J1323="阻塞",IF(I1323="","待补阻塞原因","阻塞（非实测）"),IF(J1323&lt;&gt;"已实测",IF(F1323="","待展开路径","未实测"),IF(H1323&lt;&gt;"适用","待确认适用性",IF(INDEX(Equipment[登记状态（自动）],MATCH(B1323,Equipment[组合编号],0))&lt;&gt;"已登记","待补设备组合",IF(AND(F1323&lt;&gt;"",G1323&lt;&gt;"",K1323&lt;&gt;"",L1323&lt;&gt;"",M1323&lt;&gt;"",N1323&lt;&gt;"",ISNUMBER(O1323),O1323&gt;0,P1323&lt;&gt;""),"记录齐全","待补实测记录")))))))))))</x:f>
        <x:v>待展开路径</x:v>
      </x:c>
    </x:row>
    <x:row r="1324" ht="43.5" customHeight="1">
      <x:c r="A1324" s="20" t="str">
        <x:v>REC-01315</x:v>
      </x:c>
      <x:c r="B1324" s="20" t="str">
        <x:v>P3-B3-01</x:v>
      </x:c>
      <x:c r="C1324" s="30" t="str">
        <x:f>IF(B1324="","",IF(COUNTIFS(Equipment[组合编号],B1324)&lt;&gt;1,"组合编号无效",INDEX(Equipment[PLC组],MATCH(B1324,Equipment[组合编号],0))))</x:f>
        <x:v>欧姆龙</x:v>
      </x:c>
      <x:c r="D1324" s="30" t="str">
        <x:f>IF(B1324="","",IF(COUNTIFS(Equipment[组合编号],B1324)&lt;&gt;1,"组合编号无效",INDEX(Equipment[驱动品牌],MATCH(B1324,Equipment[组合编号],0))))</x:f>
        <x:v>繁易</x:v>
      </x:c>
      <x:c r="E1324" s="20" t="str">
        <x:v>H06</x:v>
      </x:c>
      <x:c r="F1324" s="20"/>
      <x:c r="G1324" s="20"/>
      <x:c r="H1324" s="20" t="str">
        <x:v>待判定</x:v>
      </x:c>
      <x:c r="I1324" s="20"/>
      <x:c r="J1324" s="20" t="str">
        <x:v>未测试</x:v>
      </x:c>
      <x:c r="K1324" s="20"/>
      <x:c r="L1324" s="20"/>
      <x:c r="M1324" s="20"/>
      <x:c r="N1324" s="20"/>
      <x:c r="O1324" s="31"/>
      <x:c r="P1324" s="20"/>
      <x:c r="Q1324" s="20"/>
      <x:c r="R1324" s="20" t="str">
        <x:v>待展开</x:v>
      </x:c>
      <x:c r="S1324" s="20"/>
      <x:c r="T1324" s="31"/>
      <x:c r="U1324" s="30" t="str">
        <x:f>IF(A1324="","缺记录编号",IF(COUNTIFS(PathRecords[记录编号],A1324)&lt;&gt;1,"记录编号重复",IF(OR(B1324="",E1324=""),"缺组合/功能",IF(COUNTIFS(Equipment[组合编号],B1324)&lt;&gt;1,"组合编号无效",IF(COUNTIFS(FunctionMatrix[编号],E1324)=0,"功能编号无效",IF(H1324="不适用",IF(J1324="已实测","适用性冲突",IF(I1324="","待补不适用依据","不适用（非实测）")),IF(J1324="阻塞",IF(I1324="","待补阻塞原因","阻塞（非实测）"),IF(J1324&lt;&gt;"已实测",IF(F1324="","待展开路径","未实测"),IF(H1324&lt;&gt;"适用","待确认适用性",IF(INDEX(Equipment[登记状态（自动）],MATCH(B1324,Equipment[组合编号],0))&lt;&gt;"已登记","待补设备组合",IF(AND(F1324&lt;&gt;"",G1324&lt;&gt;"",K1324&lt;&gt;"",L1324&lt;&gt;"",M1324&lt;&gt;"",N1324&lt;&gt;"",ISNUMBER(O1324),O1324&gt;0,P1324&lt;&gt;""),"记录齐全","待补实测记录")))))))))))</x:f>
        <x:v>待展开路径</x:v>
      </x:c>
    </x:row>
    <x:row r="1325" ht="43.5" customHeight="1">
      <x:c r="A1325" s="20" t="str">
        <x:v>REC-01316</x:v>
      </x:c>
      <x:c r="B1325" s="20" t="str">
        <x:v>P3-B3-01</x:v>
      </x:c>
      <x:c r="C1325" s="30" t="str">
        <x:f>IF(B1325="","",IF(COUNTIFS(Equipment[组合编号],B1325)&lt;&gt;1,"组合编号无效",INDEX(Equipment[PLC组],MATCH(B1325,Equipment[组合编号],0))))</x:f>
        <x:v>欧姆龙</x:v>
      </x:c>
      <x:c r="D1325" s="30" t="str">
        <x:f>IF(B1325="","",IF(COUNTIFS(Equipment[组合编号],B1325)&lt;&gt;1,"组合编号无效",INDEX(Equipment[驱动品牌],MATCH(B1325,Equipment[组合编号],0))))</x:f>
        <x:v>繁易</x:v>
      </x:c>
      <x:c r="E1325" s="20" t="str">
        <x:v>H07</x:v>
      </x:c>
      <x:c r="F1325" s="20"/>
      <x:c r="G1325" s="20"/>
      <x:c r="H1325" s="20" t="str">
        <x:v>待判定</x:v>
      </x:c>
      <x:c r="I1325" s="20"/>
      <x:c r="J1325" s="20" t="str">
        <x:v>未测试</x:v>
      </x:c>
      <x:c r="K1325" s="20"/>
      <x:c r="L1325" s="20"/>
      <x:c r="M1325" s="20"/>
      <x:c r="N1325" s="20"/>
      <x:c r="O1325" s="31"/>
      <x:c r="P1325" s="20"/>
      <x:c r="Q1325" s="20"/>
      <x:c r="R1325" s="20" t="str">
        <x:v>待展开</x:v>
      </x:c>
      <x:c r="S1325" s="20"/>
      <x:c r="T1325" s="31"/>
      <x:c r="U1325" s="30" t="str">
        <x:f>IF(A1325="","缺记录编号",IF(COUNTIFS(PathRecords[记录编号],A1325)&lt;&gt;1,"记录编号重复",IF(OR(B1325="",E1325=""),"缺组合/功能",IF(COUNTIFS(Equipment[组合编号],B1325)&lt;&gt;1,"组合编号无效",IF(COUNTIFS(FunctionMatrix[编号],E1325)=0,"功能编号无效",IF(H1325="不适用",IF(J1325="已实测","适用性冲突",IF(I1325="","待补不适用依据","不适用（非实测）")),IF(J1325="阻塞",IF(I1325="","待补阻塞原因","阻塞（非实测）"),IF(J1325&lt;&gt;"已实测",IF(F1325="","待展开路径","未实测"),IF(H1325&lt;&gt;"适用","待确认适用性",IF(INDEX(Equipment[登记状态（自动）],MATCH(B1325,Equipment[组合编号],0))&lt;&gt;"已登记","待补设备组合",IF(AND(F1325&lt;&gt;"",G1325&lt;&gt;"",K1325&lt;&gt;"",L1325&lt;&gt;"",M1325&lt;&gt;"",N1325&lt;&gt;"",ISNUMBER(O1325),O1325&gt;0,P1325&lt;&gt;""),"记录齐全","待补实测记录")))))))))))</x:f>
        <x:v>待展开路径</x:v>
      </x:c>
    </x:row>
    <x:row r="1326" ht="43.5" customHeight="1">
      <x:c r="A1326" s="20" t="str">
        <x:v>REC-01317</x:v>
      </x:c>
      <x:c r="B1326" s="20" t="str">
        <x:v>P3-B3-01</x:v>
      </x:c>
      <x:c r="C1326" s="30" t="str">
        <x:f>IF(B1326="","",IF(COUNTIFS(Equipment[组合编号],B1326)&lt;&gt;1,"组合编号无效",INDEX(Equipment[PLC组],MATCH(B1326,Equipment[组合编号],0))))</x:f>
        <x:v>欧姆龙</x:v>
      </x:c>
      <x:c r="D1326" s="30" t="str">
        <x:f>IF(B1326="","",IF(COUNTIFS(Equipment[组合编号],B1326)&lt;&gt;1,"组合编号无效",INDEX(Equipment[驱动品牌],MATCH(B1326,Equipment[组合编号],0))))</x:f>
        <x:v>繁易</x:v>
      </x:c>
      <x:c r="E1326" s="20" t="str">
        <x:v>H08</x:v>
      </x:c>
      <x:c r="F1326" s="20"/>
      <x:c r="G1326" s="20"/>
      <x:c r="H1326" s="20" t="str">
        <x:v>待判定</x:v>
      </x:c>
      <x:c r="I1326" s="20"/>
      <x:c r="J1326" s="20" t="str">
        <x:v>未测试</x:v>
      </x:c>
      <x:c r="K1326" s="20"/>
      <x:c r="L1326" s="20"/>
      <x:c r="M1326" s="20"/>
      <x:c r="N1326" s="20"/>
      <x:c r="O1326" s="31"/>
      <x:c r="P1326" s="20"/>
      <x:c r="Q1326" s="20"/>
      <x:c r="R1326" s="20" t="str">
        <x:v>待展开</x:v>
      </x:c>
      <x:c r="S1326" s="20"/>
      <x:c r="T1326" s="31"/>
      <x:c r="U1326" s="30" t="str">
        <x:f>IF(A1326="","缺记录编号",IF(COUNTIFS(PathRecords[记录编号],A1326)&lt;&gt;1,"记录编号重复",IF(OR(B1326="",E1326=""),"缺组合/功能",IF(COUNTIFS(Equipment[组合编号],B1326)&lt;&gt;1,"组合编号无效",IF(COUNTIFS(FunctionMatrix[编号],E1326)=0,"功能编号无效",IF(H1326="不适用",IF(J1326="已实测","适用性冲突",IF(I1326="","待补不适用依据","不适用（非实测）")),IF(J1326="阻塞",IF(I1326="","待补阻塞原因","阻塞（非实测）"),IF(J1326&lt;&gt;"已实测",IF(F1326="","待展开路径","未实测"),IF(H1326&lt;&gt;"适用","待确认适用性",IF(INDEX(Equipment[登记状态（自动）],MATCH(B1326,Equipment[组合编号],0))&lt;&gt;"已登记","待补设备组合",IF(AND(F1326&lt;&gt;"",G1326&lt;&gt;"",K1326&lt;&gt;"",L1326&lt;&gt;"",M1326&lt;&gt;"",N1326&lt;&gt;"",ISNUMBER(O1326),O1326&gt;0,P1326&lt;&gt;""),"记录齐全","待补实测记录")))))))))))</x:f>
        <x:v>待展开路径</x:v>
      </x:c>
    </x:row>
    <x:row r="1327" ht="43.5" customHeight="1">
      <x:c r="A1327" s="20" t="str">
        <x:v>REC-01318</x:v>
      </x:c>
      <x:c r="B1327" s="20" t="str">
        <x:v>P3-B3-01</x:v>
      </x:c>
      <x:c r="C1327" s="30" t="str">
        <x:f>IF(B1327="","",IF(COUNTIFS(Equipment[组合编号],B1327)&lt;&gt;1,"组合编号无效",INDEX(Equipment[PLC组],MATCH(B1327,Equipment[组合编号],0))))</x:f>
        <x:v>欧姆龙</x:v>
      </x:c>
      <x:c r="D1327" s="30" t="str">
        <x:f>IF(B1327="","",IF(COUNTIFS(Equipment[组合编号],B1327)&lt;&gt;1,"组合编号无效",INDEX(Equipment[驱动品牌],MATCH(B1327,Equipment[组合编号],0))))</x:f>
        <x:v>繁易</x:v>
      </x:c>
      <x:c r="E1327" s="20" t="str">
        <x:v>H09</x:v>
      </x:c>
      <x:c r="F1327" s="20"/>
      <x:c r="G1327" s="20"/>
      <x:c r="H1327" s="20" t="str">
        <x:v>待判定</x:v>
      </x:c>
      <x:c r="I1327" s="20"/>
      <x:c r="J1327" s="20" t="str">
        <x:v>未测试</x:v>
      </x:c>
      <x:c r="K1327" s="20"/>
      <x:c r="L1327" s="20"/>
      <x:c r="M1327" s="20"/>
      <x:c r="N1327" s="20"/>
      <x:c r="O1327" s="31"/>
      <x:c r="P1327" s="20"/>
      <x:c r="Q1327" s="20"/>
      <x:c r="R1327" s="20" t="str">
        <x:v>待展开</x:v>
      </x:c>
      <x:c r="S1327" s="20"/>
      <x:c r="T1327" s="31"/>
      <x:c r="U1327" s="30" t="str">
        <x:f>IF(A1327="","缺记录编号",IF(COUNTIFS(PathRecords[记录编号],A1327)&lt;&gt;1,"记录编号重复",IF(OR(B1327="",E1327=""),"缺组合/功能",IF(COUNTIFS(Equipment[组合编号],B1327)&lt;&gt;1,"组合编号无效",IF(COUNTIFS(FunctionMatrix[编号],E1327)=0,"功能编号无效",IF(H1327="不适用",IF(J1327="已实测","适用性冲突",IF(I1327="","待补不适用依据","不适用（非实测）")),IF(J1327="阻塞",IF(I1327="","待补阻塞原因","阻塞（非实测）"),IF(J1327&lt;&gt;"已实测",IF(F1327="","待展开路径","未实测"),IF(H1327&lt;&gt;"适用","待确认适用性",IF(INDEX(Equipment[登记状态（自动）],MATCH(B1327,Equipment[组合编号],0))&lt;&gt;"已登记","待补设备组合",IF(AND(F1327&lt;&gt;"",G1327&lt;&gt;"",K1327&lt;&gt;"",L1327&lt;&gt;"",M1327&lt;&gt;"",N1327&lt;&gt;"",ISNUMBER(O1327),O1327&gt;0,P1327&lt;&gt;""),"记录齐全","待补实测记录")))))))))))</x:f>
        <x:v>待展开路径</x:v>
      </x:c>
    </x:row>
    <x:row r="1328" ht="43.5" customHeight="1">
      <x:c r="A1328" s="20" t="str">
        <x:v>REC-01319</x:v>
      </x:c>
      <x:c r="B1328" s="20" t="str">
        <x:v>P3-B3-01</x:v>
      </x:c>
      <x:c r="C1328" s="30" t="str">
        <x:f>IF(B1328="","",IF(COUNTIFS(Equipment[组合编号],B1328)&lt;&gt;1,"组合编号无效",INDEX(Equipment[PLC组],MATCH(B1328,Equipment[组合编号],0))))</x:f>
        <x:v>欧姆龙</x:v>
      </x:c>
      <x:c r="D1328" s="30" t="str">
        <x:f>IF(B1328="","",IF(COUNTIFS(Equipment[组合编号],B1328)&lt;&gt;1,"组合编号无效",INDEX(Equipment[驱动品牌],MATCH(B1328,Equipment[组合编号],0))))</x:f>
        <x:v>繁易</x:v>
      </x:c>
      <x:c r="E1328" s="20" t="str">
        <x:v>H10</x:v>
      </x:c>
      <x:c r="F1328" s="20"/>
      <x:c r="G1328" s="20"/>
      <x:c r="H1328" s="20" t="str">
        <x:v>待判定</x:v>
      </x:c>
      <x:c r="I1328" s="20"/>
      <x:c r="J1328" s="20" t="str">
        <x:v>未测试</x:v>
      </x:c>
      <x:c r="K1328" s="20"/>
      <x:c r="L1328" s="20"/>
      <x:c r="M1328" s="20"/>
      <x:c r="N1328" s="20"/>
      <x:c r="O1328" s="31"/>
      <x:c r="P1328" s="20"/>
      <x:c r="Q1328" s="20"/>
      <x:c r="R1328" s="20" t="str">
        <x:v>待展开</x:v>
      </x:c>
      <x:c r="S1328" s="20"/>
      <x:c r="T1328" s="31"/>
      <x:c r="U1328" s="30" t="str">
        <x:f>IF(A1328="","缺记录编号",IF(COUNTIFS(PathRecords[记录编号],A1328)&lt;&gt;1,"记录编号重复",IF(OR(B1328="",E1328=""),"缺组合/功能",IF(COUNTIFS(Equipment[组合编号],B1328)&lt;&gt;1,"组合编号无效",IF(COUNTIFS(FunctionMatrix[编号],E1328)=0,"功能编号无效",IF(H1328="不适用",IF(J1328="已实测","适用性冲突",IF(I1328="","待补不适用依据","不适用（非实测）")),IF(J1328="阻塞",IF(I1328="","待补阻塞原因","阻塞（非实测）"),IF(J1328&lt;&gt;"已实测",IF(F1328="","待展开路径","未实测"),IF(H1328&lt;&gt;"适用","待确认适用性",IF(INDEX(Equipment[登记状态（自动）],MATCH(B1328,Equipment[组合编号],0))&lt;&gt;"已登记","待补设备组合",IF(AND(F1328&lt;&gt;"",G1328&lt;&gt;"",K1328&lt;&gt;"",L1328&lt;&gt;"",M1328&lt;&gt;"",N1328&lt;&gt;"",ISNUMBER(O1328),O1328&gt;0,P1328&lt;&gt;""),"记录齐全","待补实测记录")))))))))))</x:f>
        <x:v>待展开路径</x:v>
      </x:c>
    </x:row>
    <x:row r="1329" ht="43.5" customHeight="1">
      <x:c r="A1329" s="20" t="str">
        <x:v>REC-01320</x:v>
      </x:c>
      <x:c r="B1329" s="20" t="str">
        <x:v>P3-B3-01</x:v>
      </x:c>
      <x:c r="C1329" s="30" t="str">
        <x:f>IF(B1329="","",IF(COUNTIFS(Equipment[组合编号],B1329)&lt;&gt;1,"组合编号无效",INDEX(Equipment[PLC组],MATCH(B1329,Equipment[组合编号],0))))</x:f>
        <x:v>欧姆龙</x:v>
      </x:c>
      <x:c r="D1329" s="30" t="str">
        <x:f>IF(B1329="","",IF(COUNTIFS(Equipment[组合编号],B1329)&lt;&gt;1,"组合编号无效",INDEX(Equipment[驱动品牌],MATCH(B1329,Equipment[组合编号],0))))</x:f>
        <x:v>繁易</x:v>
      </x:c>
      <x:c r="E1329" s="20" t="str">
        <x:v>H11</x:v>
      </x:c>
      <x:c r="F1329" s="20"/>
      <x:c r="G1329" s="20"/>
      <x:c r="H1329" s="20" t="str">
        <x:v>待判定</x:v>
      </x:c>
      <x:c r="I1329" s="20"/>
      <x:c r="J1329" s="20" t="str">
        <x:v>未测试</x:v>
      </x:c>
      <x:c r="K1329" s="20"/>
      <x:c r="L1329" s="20"/>
      <x:c r="M1329" s="20"/>
      <x:c r="N1329" s="20"/>
      <x:c r="O1329" s="31"/>
      <x:c r="P1329" s="20"/>
      <x:c r="Q1329" s="20"/>
      <x:c r="R1329" s="20" t="str">
        <x:v>待展开</x:v>
      </x:c>
      <x:c r="S1329" s="20"/>
      <x:c r="T1329" s="31"/>
      <x:c r="U1329" s="30" t="str">
        <x:f>IF(A1329="","缺记录编号",IF(COUNTIFS(PathRecords[记录编号],A1329)&lt;&gt;1,"记录编号重复",IF(OR(B1329="",E1329=""),"缺组合/功能",IF(COUNTIFS(Equipment[组合编号],B1329)&lt;&gt;1,"组合编号无效",IF(COUNTIFS(FunctionMatrix[编号],E1329)=0,"功能编号无效",IF(H1329="不适用",IF(J1329="已实测","适用性冲突",IF(I1329="","待补不适用依据","不适用（非实测）")),IF(J1329="阻塞",IF(I1329="","待补阻塞原因","阻塞（非实测）"),IF(J1329&lt;&gt;"已实测",IF(F1329="","待展开路径","未实测"),IF(H1329&lt;&gt;"适用","待确认适用性",IF(INDEX(Equipment[登记状态（自动）],MATCH(B1329,Equipment[组合编号],0))&lt;&gt;"已登记","待补设备组合",IF(AND(F1329&lt;&gt;"",G1329&lt;&gt;"",K1329&lt;&gt;"",L1329&lt;&gt;"",M1329&lt;&gt;"",N1329&lt;&gt;"",ISNUMBER(O1329),O1329&gt;0,P1329&lt;&gt;""),"记录齐全","待补实测记录")))))))))))</x:f>
        <x:v>待展开路径</x:v>
      </x:c>
    </x:row>
    <x:row r="1330" ht="43.5" customHeight="1">
      <x:c r="A1330" s="20" t="str">
        <x:v>REC-01321</x:v>
      </x:c>
      <x:c r="B1330" s="20" t="str">
        <x:v>P3-B3-01</x:v>
      </x:c>
      <x:c r="C1330" s="30" t="str">
        <x:f>IF(B1330="","",IF(COUNTIFS(Equipment[组合编号],B1330)&lt;&gt;1,"组合编号无效",INDEX(Equipment[PLC组],MATCH(B1330,Equipment[组合编号],0))))</x:f>
        <x:v>欧姆龙</x:v>
      </x:c>
      <x:c r="D1330" s="30" t="str">
        <x:f>IF(B1330="","",IF(COUNTIFS(Equipment[组合编号],B1330)&lt;&gt;1,"组合编号无效",INDEX(Equipment[驱动品牌],MATCH(B1330,Equipment[组合编号],0))))</x:f>
        <x:v>繁易</x:v>
      </x:c>
      <x:c r="E1330" s="20" t="str">
        <x:v>N01</x:v>
      </x:c>
      <x:c r="F1330" s="20"/>
      <x:c r="G1330" s="20"/>
      <x:c r="H1330" s="20" t="str">
        <x:v>待判定</x:v>
      </x:c>
      <x:c r="I1330" s="20"/>
      <x:c r="J1330" s="20" t="str">
        <x:v>未测试</x:v>
      </x:c>
      <x:c r="K1330" s="20"/>
      <x:c r="L1330" s="20"/>
      <x:c r="M1330" s="20"/>
      <x:c r="N1330" s="20"/>
      <x:c r="O1330" s="31"/>
      <x:c r="P1330" s="20"/>
      <x:c r="Q1330" s="20"/>
      <x:c r="R1330" s="20" t="str">
        <x:v>待展开</x:v>
      </x:c>
      <x:c r="S1330" s="20"/>
      <x:c r="T1330" s="31"/>
      <x:c r="U1330" s="30" t="str">
        <x:f>IF(A1330="","缺记录编号",IF(COUNTIFS(PathRecords[记录编号],A1330)&lt;&gt;1,"记录编号重复",IF(OR(B1330="",E1330=""),"缺组合/功能",IF(COUNTIFS(Equipment[组合编号],B1330)&lt;&gt;1,"组合编号无效",IF(COUNTIFS(FunctionMatrix[编号],E1330)=0,"功能编号无效",IF(H1330="不适用",IF(J1330="已实测","适用性冲突",IF(I1330="","待补不适用依据","不适用（非实测）")),IF(J1330="阻塞",IF(I1330="","待补阻塞原因","阻塞（非实测）"),IF(J1330&lt;&gt;"已实测",IF(F1330="","待展开路径","未实测"),IF(H1330&lt;&gt;"适用","待确认适用性",IF(INDEX(Equipment[登记状态（自动）],MATCH(B1330,Equipment[组合编号],0))&lt;&gt;"已登记","待补设备组合",IF(AND(F1330&lt;&gt;"",G1330&lt;&gt;"",K1330&lt;&gt;"",L1330&lt;&gt;"",M1330&lt;&gt;"",N1330&lt;&gt;"",ISNUMBER(O1330),O1330&gt;0,P1330&lt;&gt;""),"记录齐全","待补实测记录")))))))))))</x:f>
        <x:v>待展开路径</x:v>
      </x:c>
    </x:row>
    <x:row r="1331" ht="43.5" customHeight="1">
      <x:c r="A1331" s="20" t="str">
        <x:v>REC-01322</x:v>
      </x:c>
      <x:c r="B1331" s="20" t="str">
        <x:v>P3-B3-01</x:v>
      </x:c>
      <x:c r="C1331" s="30" t="str">
        <x:f>IF(B1331="","",IF(COUNTIFS(Equipment[组合编号],B1331)&lt;&gt;1,"组合编号无效",INDEX(Equipment[PLC组],MATCH(B1331,Equipment[组合编号],0))))</x:f>
        <x:v>欧姆龙</x:v>
      </x:c>
      <x:c r="D1331" s="30" t="str">
        <x:f>IF(B1331="","",IF(COUNTIFS(Equipment[组合编号],B1331)&lt;&gt;1,"组合编号无效",INDEX(Equipment[驱动品牌],MATCH(B1331,Equipment[组合编号],0))))</x:f>
        <x:v>繁易</x:v>
      </x:c>
      <x:c r="E1331" s="20" t="str">
        <x:v>N02</x:v>
      </x:c>
      <x:c r="F1331" s="20"/>
      <x:c r="G1331" s="20"/>
      <x:c r="H1331" s="20" t="str">
        <x:v>待判定</x:v>
      </x:c>
      <x:c r="I1331" s="20"/>
      <x:c r="J1331" s="20" t="str">
        <x:v>未测试</x:v>
      </x:c>
      <x:c r="K1331" s="20"/>
      <x:c r="L1331" s="20"/>
      <x:c r="M1331" s="20"/>
      <x:c r="N1331" s="20"/>
      <x:c r="O1331" s="31"/>
      <x:c r="P1331" s="20"/>
      <x:c r="Q1331" s="20"/>
      <x:c r="R1331" s="20" t="str">
        <x:v>待展开</x:v>
      </x:c>
      <x:c r="S1331" s="20"/>
      <x:c r="T1331" s="31"/>
      <x:c r="U1331" s="30" t="str">
        <x:f>IF(A1331="","缺记录编号",IF(COUNTIFS(PathRecords[记录编号],A1331)&lt;&gt;1,"记录编号重复",IF(OR(B1331="",E1331=""),"缺组合/功能",IF(COUNTIFS(Equipment[组合编号],B1331)&lt;&gt;1,"组合编号无效",IF(COUNTIFS(FunctionMatrix[编号],E1331)=0,"功能编号无效",IF(H1331="不适用",IF(J1331="已实测","适用性冲突",IF(I1331="","待补不适用依据","不适用（非实测）")),IF(J1331="阻塞",IF(I1331="","待补阻塞原因","阻塞（非实测）"),IF(J1331&lt;&gt;"已实测",IF(F1331="","待展开路径","未实测"),IF(H1331&lt;&gt;"适用","待确认适用性",IF(INDEX(Equipment[登记状态（自动）],MATCH(B1331,Equipment[组合编号],0))&lt;&gt;"已登记","待补设备组合",IF(AND(F1331&lt;&gt;"",G1331&lt;&gt;"",K1331&lt;&gt;"",L1331&lt;&gt;"",M1331&lt;&gt;"",N1331&lt;&gt;"",ISNUMBER(O1331),O1331&gt;0,P1331&lt;&gt;""),"记录齐全","待补实测记录")))))))))))</x:f>
        <x:v>待展开路径</x:v>
      </x:c>
    </x:row>
    <x:row r="1332" ht="43.5" customHeight="1">
      <x:c r="A1332" s="20" t="str">
        <x:v>REC-01323</x:v>
      </x:c>
      <x:c r="B1332" s="20" t="str">
        <x:v>P3-B3-01</x:v>
      </x:c>
      <x:c r="C1332" s="30" t="str">
        <x:f>IF(B1332="","",IF(COUNTIFS(Equipment[组合编号],B1332)&lt;&gt;1,"组合编号无效",INDEX(Equipment[PLC组],MATCH(B1332,Equipment[组合编号],0))))</x:f>
        <x:v>欧姆龙</x:v>
      </x:c>
      <x:c r="D1332" s="30" t="str">
        <x:f>IF(B1332="","",IF(COUNTIFS(Equipment[组合编号],B1332)&lt;&gt;1,"组合编号无效",INDEX(Equipment[驱动品牌],MATCH(B1332,Equipment[组合编号],0))))</x:f>
        <x:v>繁易</x:v>
      </x:c>
      <x:c r="E1332" s="20" t="str">
        <x:v>N03</x:v>
      </x:c>
      <x:c r="F1332" s="20"/>
      <x:c r="G1332" s="20"/>
      <x:c r="H1332" s="20" t="str">
        <x:v>待判定</x:v>
      </x:c>
      <x:c r="I1332" s="20"/>
      <x:c r="J1332" s="20" t="str">
        <x:v>未测试</x:v>
      </x:c>
      <x:c r="K1332" s="20"/>
      <x:c r="L1332" s="20"/>
      <x:c r="M1332" s="20"/>
      <x:c r="N1332" s="20"/>
      <x:c r="O1332" s="31"/>
      <x:c r="P1332" s="20"/>
      <x:c r="Q1332" s="20"/>
      <x:c r="R1332" s="20" t="str">
        <x:v>待展开</x:v>
      </x:c>
      <x:c r="S1332" s="20"/>
      <x:c r="T1332" s="31"/>
      <x:c r="U1332" s="30" t="str">
        <x:f>IF(A1332="","缺记录编号",IF(COUNTIFS(PathRecords[记录编号],A1332)&lt;&gt;1,"记录编号重复",IF(OR(B1332="",E1332=""),"缺组合/功能",IF(COUNTIFS(Equipment[组合编号],B1332)&lt;&gt;1,"组合编号无效",IF(COUNTIFS(FunctionMatrix[编号],E1332)=0,"功能编号无效",IF(H1332="不适用",IF(J1332="已实测","适用性冲突",IF(I1332="","待补不适用依据","不适用（非实测）")),IF(J1332="阻塞",IF(I1332="","待补阻塞原因","阻塞（非实测）"),IF(J1332&lt;&gt;"已实测",IF(F1332="","待展开路径","未实测"),IF(H1332&lt;&gt;"适用","待确认适用性",IF(INDEX(Equipment[登记状态（自动）],MATCH(B1332,Equipment[组合编号],0))&lt;&gt;"已登记","待补设备组合",IF(AND(F1332&lt;&gt;"",G1332&lt;&gt;"",K1332&lt;&gt;"",L1332&lt;&gt;"",M1332&lt;&gt;"",N1332&lt;&gt;"",ISNUMBER(O1332),O1332&gt;0,P1332&lt;&gt;""),"记录齐全","待补实测记录")))))))))))</x:f>
        <x:v>待展开路径</x:v>
      </x:c>
    </x:row>
    <x:row r="1333" ht="43.5" customHeight="1">
      <x:c r="A1333" s="20" t="str">
        <x:v>REC-01324</x:v>
      </x:c>
      <x:c r="B1333" s="20" t="str">
        <x:v>P3-B3-01</x:v>
      </x:c>
      <x:c r="C1333" s="30" t="str">
        <x:f>IF(B1333="","",IF(COUNTIFS(Equipment[组合编号],B1333)&lt;&gt;1,"组合编号无效",INDEX(Equipment[PLC组],MATCH(B1333,Equipment[组合编号],0))))</x:f>
        <x:v>欧姆龙</x:v>
      </x:c>
      <x:c r="D1333" s="30" t="str">
        <x:f>IF(B1333="","",IF(COUNTIFS(Equipment[组合编号],B1333)&lt;&gt;1,"组合编号无效",INDEX(Equipment[驱动品牌],MATCH(B1333,Equipment[组合编号],0))))</x:f>
        <x:v>繁易</x:v>
      </x:c>
      <x:c r="E1333" s="20" t="str">
        <x:v>N04</x:v>
      </x:c>
      <x:c r="F1333" s="20"/>
      <x:c r="G1333" s="20"/>
      <x:c r="H1333" s="20" t="str">
        <x:v>待判定</x:v>
      </x:c>
      <x:c r="I1333" s="20"/>
      <x:c r="J1333" s="20" t="str">
        <x:v>未测试</x:v>
      </x:c>
      <x:c r="K1333" s="20"/>
      <x:c r="L1333" s="20"/>
      <x:c r="M1333" s="20"/>
      <x:c r="N1333" s="20"/>
      <x:c r="O1333" s="31"/>
      <x:c r="P1333" s="20"/>
      <x:c r="Q1333" s="20"/>
      <x:c r="R1333" s="20" t="str">
        <x:v>待展开</x:v>
      </x:c>
      <x:c r="S1333" s="20"/>
      <x:c r="T1333" s="31"/>
      <x:c r="U1333" s="30" t="str">
        <x:f>IF(A1333="","缺记录编号",IF(COUNTIFS(PathRecords[记录编号],A1333)&lt;&gt;1,"记录编号重复",IF(OR(B1333="",E1333=""),"缺组合/功能",IF(COUNTIFS(Equipment[组合编号],B1333)&lt;&gt;1,"组合编号无效",IF(COUNTIFS(FunctionMatrix[编号],E1333)=0,"功能编号无效",IF(H1333="不适用",IF(J1333="已实测","适用性冲突",IF(I1333="","待补不适用依据","不适用（非实测）")),IF(J1333="阻塞",IF(I1333="","待补阻塞原因","阻塞（非实测）"),IF(J1333&lt;&gt;"已实测",IF(F1333="","待展开路径","未实测"),IF(H1333&lt;&gt;"适用","待确认适用性",IF(INDEX(Equipment[登记状态（自动）],MATCH(B1333,Equipment[组合编号],0))&lt;&gt;"已登记","待补设备组合",IF(AND(F1333&lt;&gt;"",G1333&lt;&gt;"",K1333&lt;&gt;"",L1333&lt;&gt;"",M1333&lt;&gt;"",N1333&lt;&gt;"",ISNUMBER(O1333),O1333&gt;0,P1333&lt;&gt;""),"记录齐全","待补实测记录")))))))))))</x:f>
        <x:v>待展开路径</x:v>
      </x:c>
    </x:row>
    <x:row r="1334" ht="43.5" customHeight="1">
      <x:c r="A1334" s="20" t="str">
        <x:v>REC-01325</x:v>
      </x:c>
      <x:c r="B1334" s="20" t="str">
        <x:v>P3-B3-01</x:v>
      </x:c>
      <x:c r="C1334" s="30" t="str">
        <x:f>IF(B1334="","",IF(COUNTIFS(Equipment[组合编号],B1334)&lt;&gt;1,"组合编号无效",INDEX(Equipment[PLC组],MATCH(B1334,Equipment[组合编号],0))))</x:f>
        <x:v>欧姆龙</x:v>
      </x:c>
      <x:c r="D1334" s="30" t="str">
        <x:f>IF(B1334="","",IF(COUNTIFS(Equipment[组合编号],B1334)&lt;&gt;1,"组合编号无效",INDEX(Equipment[驱动品牌],MATCH(B1334,Equipment[组合编号],0))))</x:f>
        <x:v>繁易</x:v>
      </x:c>
      <x:c r="E1334" s="20" t="str">
        <x:v>N05</x:v>
      </x:c>
      <x:c r="F1334" s="20"/>
      <x:c r="G1334" s="20"/>
      <x:c r="H1334" s="20" t="str">
        <x:v>待判定</x:v>
      </x:c>
      <x:c r="I1334" s="20"/>
      <x:c r="J1334" s="20" t="str">
        <x:v>未测试</x:v>
      </x:c>
      <x:c r="K1334" s="20"/>
      <x:c r="L1334" s="20"/>
      <x:c r="M1334" s="20"/>
      <x:c r="N1334" s="20"/>
      <x:c r="O1334" s="31"/>
      <x:c r="P1334" s="20"/>
      <x:c r="Q1334" s="20"/>
      <x:c r="R1334" s="20" t="str">
        <x:v>待展开</x:v>
      </x:c>
      <x:c r="S1334" s="20"/>
      <x:c r="T1334" s="31"/>
      <x:c r="U1334" s="30" t="str">
        <x:f>IF(A1334="","缺记录编号",IF(COUNTIFS(PathRecords[记录编号],A1334)&lt;&gt;1,"记录编号重复",IF(OR(B1334="",E1334=""),"缺组合/功能",IF(COUNTIFS(Equipment[组合编号],B1334)&lt;&gt;1,"组合编号无效",IF(COUNTIFS(FunctionMatrix[编号],E1334)=0,"功能编号无效",IF(H1334="不适用",IF(J1334="已实测","适用性冲突",IF(I1334="","待补不适用依据","不适用（非实测）")),IF(J1334="阻塞",IF(I1334="","待补阻塞原因","阻塞（非实测）"),IF(J1334&lt;&gt;"已实测",IF(F1334="","待展开路径","未实测"),IF(H1334&lt;&gt;"适用","待确认适用性",IF(INDEX(Equipment[登记状态（自动）],MATCH(B1334,Equipment[组合编号],0))&lt;&gt;"已登记","待补设备组合",IF(AND(F1334&lt;&gt;"",G1334&lt;&gt;"",K1334&lt;&gt;"",L1334&lt;&gt;"",M1334&lt;&gt;"",N1334&lt;&gt;"",ISNUMBER(O1334),O1334&gt;0,P1334&lt;&gt;""),"记录齐全","待补实测记录")))))))))))</x:f>
        <x:v>待展开路径</x:v>
      </x:c>
    </x:row>
    <x:row r="1335" ht="43.5" customHeight="1">
      <x:c r="A1335" s="20" t="str">
        <x:v>REC-01326</x:v>
      </x:c>
      <x:c r="B1335" s="20" t="str">
        <x:v>P3-B3-01</x:v>
      </x:c>
      <x:c r="C1335" s="30" t="str">
        <x:f>IF(B1335="","",IF(COUNTIFS(Equipment[组合编号],B1335)&lt;&gt;1,"组合编号无效",INDEX(Equipment[PLC组],MATCH(B1335,Equipment[组合编号],0))))</x:f>
        <x:v>欧姆龙</x:v>
      </x:c>
      <x:c r="D1335" s="30" t="str">
        <x:f>IF(B1335="","",IF(COUNTIFS(Equipment[组合编号],B1335)&lt;&gt;1,"组合编号无效",INDEX(Equipment[驱动品牌],MATCH(B1335,Equipment[组合编号],0))))</x:f>
        <x:v>繁易</x:v>
      </x:c>
      <x:c r="E1335" s="20" t="str">
        <x:v>N06</x:v>
      </x:c>
      <x:c r="F1335" s="20"/>
      <x:c r="G1335" s="20"/>
      <x:c r="H1335" s="20" t="str">
        <x:v>待判定</x:v>
      </x:c>
      <x:c r="I1335" s="20"/>
      <x:c r="J1335" s="20" t="str">
        <x:v>未测试</x:v>
      </x:c>
      <x:c r="K1335" s="20"/>
      <x:c r="L1335" s="20"/>
      <x:c r="M1335" s="20"/>
      <x:c r="N1335" s="20"/>
      <x:c r="O1335" s="31"/>
      <x:c r="P1335" s="20"/>
      <x:c r="Q1335" s="20"/>
      <x:c r="R1335" s="20" t="str">
        <x:v>待展开</x:v>
      </x:c>
      <x:c r="S1335" s="20"/>
      <x:c r="T1335" s="31"/>
      <x:c r="U1335" s="30" t="str">
        <x:f>IF(A1335="","缺记录编号",IF(COUNTIFS(PathRecords[记录编号],A1335)&lt;&gt;1,"记录编号重复",IF(OR(B1335="",E1335=""),"缺组合/功能",IF(COUNTIFS(Equipment[组合编号],B1335)&lt;&gt;1,"组合编号无效",IF(COUNTIFS(FunctionMatrix[编号],E1335)=0,"功能编号无效",IF(H1335="不适用",IF(J1335="已实测","适用性冲突",IF(I1335="","待补不适用依据","不适用（非实测）")),IF(J1335="阻塞",IF(I1335="","待补阻塞原因","阻塞（非实测）"),IF(J1335&lt;&gt;"已实测",IF(F1335="","待展开路径","未实测"),IF(H1335&lt;&gt;"适用","待确认适用性",IF(INDEX(Equipment[登记状态（自动）],MATCH(B1335,Equipment[组合编号],0))&lt;&gt;"已登记","待补设备组合",IF(AND(F1335&lt;&gt;"",G1335&lt;&gt;"",K1335&lt;&gt;"",L1335&lt;&gt;"",M1335&lt;&gt;"",N1335&lt;&gt;"",ISNUMBER(O1335),O1335&gt;0,P1335&lt;&gt;""),"记录齐全","待补实测记录")))))))))))</x:f>
        <x:v>待展开路径</x:v>
      </x:c>
    </x:row>
    <x:row r="1336" ht="43.5" customHeight="1">
      <x:c r="A1336" s="20" t="str">
        <x:v>REC-01327</x:v>
      </x:c>
      <x:c r="B1336" s="20" t="str">
        <x:v>P3-B3-01</x:v>
      </x:c>
      <x:c r="C1336" s="30" t="str">
        <x:f>IF(B1336="","",IF(COUNTIFS(Equipment[组合编号],B1336)&lt;&gt;1,"组合编号无效",INDEX(Equipment[PLC组],MATCH(B1336,Equipment[组合编号],0))))</x:f>
        <x:v>欧姆龙</x:v>
      </x:c>
      <x:c r="D1336" s="30" t="str">
        <x:f>IF(B1336="","",IF(COUNTIFS(Equipment[组合编号],B1336)&lt;&gt;1,"组合编号无效",INDEX(Equipment[驱动品牌],MATCH(B1336,Equipment[组合编号],0))))</x:f>
        <x:v>繁易</x:v>
      </x:c>
      <x:c r="E1336" s="20" t="str">
        <x:v>N07</x:v>
      </x:c>
      <x:c r="F1336" s="20"/>
      <x:c r="G1336" s="20"/>
      <x:c r="H1336" s="20" t="str">
        <x:v>待判定</x:v>
      </x:c>
      <x:c r="I1336" s="20"/>
      <x:c r="J1336" s="20" t="str">
        <x:v>未测试</x:v>
      </x:c>
      <x:c r="K1336" s="20"/>
      <x:c r="L1336" s="20"/>
      <x:c r="M1336" s="20"/>
      <x:c r="N1336" s="20"/>
      <x:c r="O1336" s="31"/>
      <x:c r="P1336" s="20"/>
      <x:c r="Q1336" s="20"/>
      <x:c r="R1336" s="20" t="str">
        <x:v>待展开</x:v>
      </x:c>
      <x:c r="S1336" s="20"/>
      <x:c r="T1336" s="31"/>
      <x:c r="U1336" s="30" t="str">
        <x:f>IF(A1336="","缺记录编号",IF(COUNTIFS(PathRecords[记录编号],A1336)&lt;&gt;1,"记录编号重复",IF(OR(B1336="",E1336=""),"缺组合/功能",IF(COUNTIFS(Equipment[组合编号],B1336)&lt;&gt;1,"组合编号无效",IF(COUNTIFS(FunctionMatrix[编号],E1336)=0,"功能编号无效",IF(H1336="不适用",IF(J1336="已实测","适用性冲突",IF(I1336="","待补不适用依据","不适用（非实测）")),IF(J1336="阻塞",IF(I1336="","待补阻塞原因","阻塞（非实测）"),IF(J1336&lt;&gt;"已实测",IF(F1336="","待展开路径","未实测"),IF(H1336&lt;&gt;"适用","待确认适用性",IF(INDEX(Equipment[登记状态（自动）],MATCH(B1336,Equipment[组合编号],0))&lt;&gt;"已登记","待补设备组合",IF(AND(F1336&lt;&gt;"",G1336&lt;&gt;"",K1336&lt;&gt;"",L1336&lt;&gt;"",M1336&lt;&gt;"",N1336&lt;&gt;"",ISNUMBER(O1336),O1336&gt;0,P1336&lt;&gt;""),"记录齐全","待补实测记录")))))))))))</x:f>
        <x:v>待展开路径</x:v>
      </x:c>
    </x:row>
    <x:row r="1337" ht="43.5" customHeight="1">
      <x:c r="A1337" s="20" t="str">
        <x:v>REC-01328</x:v>
      </x:c>
      <x:c r="B1337" s="20" t="str">
        <x:v>P3-B3-01</x:v>
      </x:c>
      <x:c r="C1337" s="30" t="str">
        <x:f>IF(B1337="","",IF(COUNTIFS(Equipment[组合编号],B1337)&lt;&gt;1,"组合编号无效",INDEX(Equipment[PLC组],MATCH(B1337,Equipment[组合编号],0))))</x:f>
        <x:v>欧姆龙</x:v>
      </x:c>
      <x:c r="D1337" s="30" t="str">
        <x:f>IF(B1337="","",IF(COUNTIFS(Equipment[组合编号],B1337)&lt;&gt;1,"组合编号无效",INDEX(Equipment[驱动品牌],MATCH(B1337,Equipment[组合编号],0))))</x:f>
        <x:v>繁易</x:v>
      </x:c>
      <x:c r="E1337" s="20" t="str">
        <x:v>N08</x:v>
      </x:c>
      <x:c r="F1337" s="20"/>
      <x:c r="G1337" s="20"/>
      <x:c r="H1337" s="20" t="str">
        <x:v>待判定</x:v>
      </x:c>
      <x:c r="I1337" s="20"/>
      <x:c r="J1337" s="20" t="str">
        <x:v>未测试</x:v>
      </x:c>
      <x:c r="K1337" s="20"/>
      <x:c r="L1337" s="20"/>
      <x:c r="M1337" s="20"/>
      <x:c r="N1337" s="20"/>
      <x:c r="O1337" s="31"/>
      <x:c r="P1337" s="20"/>
      <x:c r="Q1337" s="20"/>
      <x:c r="R1337" s="20" t="str">
        <x:v>待展开</x:v>
      </x:c>
      <x:c r="S1337" s="20"/>
      <x:c r="T1337" s="31"/>
      <x:c r="U1337" s="30" t="str">
        <x:f>IF(A1337="","缺记录编号",IF(COUNTIFS(PathRecords[记录编号],A1337)&lt;&gt;1,"记录编号重复",IF(OR(B1337="",E1337=""),"缺组合/功能",IF(COUNTIFS(Equipment[组合编号],B1337)&lt;&gt;1,"组合编号无效",IF(COUNTIFS(FunctionMatrix[编号],E1337)=0,"功能编号无效",IF(H1337="不适用",IF(J1337="已实测","适用性冲突",IF(I1337="","待补不适用依据","不适用（非实测）")),IF(J1337="阻塞",IF(I1337="","待补阻塞原因","阻塞（非实测）"),IF(J1337&lt;&gt;"已实测",IF(F1337="","待展开路径","未实测"),IF(H1337&lt;&gt;"适用","待确认适用性",IF(INDEX(Equipment[登记状态（自动）],MATCH(B1337,Equipment[组合编号],0))&lt;&gt;"已登记","待补设备组合",IF(AND(F1337&lt;&gt;"",G1337&lt;&gt;"",K1337&lt;&gt;"",L1337&lt;&gt;"",M1337&lt;&gt;"",N1337&lt;&gt;"",ISNUMBER(O1337),O1337&gt;0,P1337&lt;&gt;""),"记录齐全","待补实测记录")))))))))))</x:f>
        <x:v>待展开路径</x:v>
      </x:c>
    </x:row>
    <x:row r="1338" ht="43.5" customHeight="1">
      <x:c r="A1338" s="20" t="str">
        <x:v>REC-01329</x:v>
      </x:c>
      <x:c r="B1338" s="20" t="str">
        <x:v>P3-B3-01</x:v>
      </x:c>
      <x:c r="C1338" s="30" t="str">
        <x:f>IF(B1338="","",IF(COUNTIFS(Equipment[组合编号],B1338)&lt;&gt;1,"组合编号无效",INDEX(Equipment[PLC组],MATCH(B1338,Equipment[组合编号],0))))</x:f>
        <x:v>欧姆龙</x:v>
      </x:c>
      <x:c r="D1338" s="30" t="str">
        <x:f>IF(B1338="","",IF(COUNTIFS(Equipment[组合编号],B1338)&lt;&gt;1,"组合编号无效",INDEX(Equipment[驱动品牌],MATCH(B1338,Equipment[组合编号],0))))</x:f>
        <x:v>繁易</x:v>
      </x:c>
      <x:c r="E1338" s="20" t="str">
        <x:v>N09</x:v>
      </x:c>
      <x:c r="F1338" s="20"/>
      <x:c r="G1338" s="20"/>
      <x:c r="H1338" s="20" t="str">
        <x:v>待判定</x:v>
      </x:c>
      <x:c r="I1338" s="20"/>
      <x:c r="J1338" s="20" t="str">
        <x:v>未测试</x:v>
      </x:c>
      <x:c r="K1338" s="20"/>
      <x:c r="L1338" s="20"/>
      <x:c r="M1338" s="20"/>
      <x:c r="N1338" s="20"/>
      <x:c r="O1338" s="31"/>
      <x:c r="P1338" s="20"/>
      <x:c r="Q1338" s="20"/>
      <x:c r="R1338" s="20" t="str">
        <x:v>待展开</x:v>
      </x:c>
      <x:c r="S1338" s="20"/>
      <x:c r="T1338" s="31"/>
      <x:c r="U1338" s="30" t="str">
        <x:f>IF(A1338="","缺记录编号",IF(COUNTIFS(PathRecords[记录编号],A1338)&lt;&gt;1,"记录编号重复",IF(OR(B1338="",E1338=""),"缺组合/功能",IF(COUNTIFS(Equipment[组合编号],B1338)&lt;&gt;1,"组合编号无效",IF(COUNTIFS(FunctionMatrix[编号],E1338)=0,"功能编号无效",IF(H1338="不适用",IF(J1338="已实测","适用性冲突",IF(I1338="","待补不适用依据","不适用（非实测）")),IF(J1338="阻塞",IF(I1338="","待补阻塞原因","阻塞（非实测）"),IF(J1338&lt;&gt;"已实测",IF(F1338="","待展开路径","未实测"),IF(H1338&lt;&gt;"适用","待确认适用性",IF(INDEX(Equipment[登记状态（自动）],MATCH(B1338,Equipment[组合编号],0))&lt;&gt;"已登记","待补设备组合",IF(AND(F1338&lt;&gt;"",G1338&lt;&gt;"",K1338&lt;&gt;"",L1338&lt;&gt;"",M1338&lt;&gt;"",N1338&lt;&gt;"",ISNUMBER(O1338),O1338&gt;0,P1338&lt;&gt;""),"记录齐全","待补实测记录")))))))))))</x:f>
        <x:v>待展开路径</x:v>
      </x:c>
    </x:row>
    <x:row r="1339" ht="43.5" customHeight="1">
      <x:c r="A1339" s="20" t="str">
        <x:v>REC-01330</x:v>
      </x:c>
      <x:c r="B1339" s="20" t="str">
        <x:v>P3-B3-01</x:v>
      </x:c>
      <x:c r="C1339" s="30" t="str">
        <x:f>IF(B1339="","",IF(COUNTIFS(Equipment[组合编号],B1339)&lt;&gt;1,"组合编号无效",INDEX(Equipment[PLC组],MATCH(B1339,Equipment[组合编号],0))))</x:f>
        <x:v>欧姆龙</x:v>
      </x:c>
      <x:c r="D1339" s="30" t="str">
        <x:f>IF(B1339="","",IF(COUNTIFS(Equipment[组合编号],B1339)&lt;&gt;1,"组合编号无效",INDEX(Equipment[驱动品牌],MATCH(B1339,Equipment[组合编号],0))))</x:f>
        <x:v>繁易</x:v>
      </x:c>
      <x:c r="E1339" s="20" t="str">
        <x:v>N10</x:v>
      </x:c>
      <x:c r="F1339" s="20"/>
      <x:c r="G1339" s="20"/>
      <x:c r="H1339" s="20" t="str">
        <x:v>待判定</x:v>
      </x:c>
      <x:c r="I1339" s="20"/>
      <x:c r="J1339" s="20" t="str">
        <x:v>未测试</x:v>
      </x:c>
      <x:c r="K1339" s="20"/>
      <x:c r="L1339" s="20"/>
      <x:c r="M1339" s="20"/>
      <x:c r="N1339" s="20"/>
      <x:c r="O1339" s="31"/>
      <x:c r="P1339" s="20"/>
      <x:c r="Q1339" s="20"/>
      <x:c r="R1339" s="20" t="str">
        <x:v>待展开</x:v>
      </x:c>
      <x:c r="S1339" s="20"/>
      <x:c r="T1339" s="31"/>
      <x:c r="U1339" s="30" t="str">
        <x:f>IF(A1339="","缺记录编号",IF(COUNTIFS(PathRecords[记录编号],A1339)&lt;&gt;1,"记录编号重复",IF(OR(B1339="",E1339=""),"缺组合/功能",IF(COUNTIFS(Equipment[组合编号],B1339)&lt;&gt;1,"组合编号无效",IF(COUNTIFS(FunctionMatrix[编号],E1339)=0,"功能编号无效",IF(H1339="不适用",IF(J1339="已实测","适用性冲突",IF(I1339="","待补不适用依据","不适用（非实测）")),IF(J1339="阻塞",IF(I1339="","待补阻塞原因","阻塞（非实测）"),IF(J1339&lt;&gt;"已实测",IF(F1339="","待展开路径","未实测"),IF(H1339&lt;&gt;"适用","待确认适用性",IF(INDEX(Equipment[登记状态（自动）],MATCH(B1339,Equipment[组合编号],0))&lt;&gt;"已登记","待补设备组合",IF(AND(F1339&lt;&gt;"",G1339&lt;&gt;"",K1339&lt;&gt;"",L1339&lt;&gt;"",M1339&lt;&gt;"",N1339&lt;&gt;"",ISNUMBER(O1339),O1339&gt;0,P1339&lt;&gt;""),"记录齐全","待补实测记录")))))))))))</x:f>
        <x:v>待展开路径</x:v>
      </x:c>
    </x:row>
    <x:row r="1340" ht="43.5" customHeight="1">
      <x:c r="A1340" s="20" t="str">
        <x:v>REC-01331</x:v>
      </x:c>
      <x:c r="B1340" s="20" t="str">
        <x:v>P3-B3-01</x:v>
      </x:c>
      <x:c r="C1340" s="30" t="str">
        <x:f>IF(B1340="","",IF(COUNTIFS(Equipment[组合编号],B1340)&lt;&gt;1,"组合编号无效",INDEX(Equipment[PLC组],MATCH(B1340,Equipment[组合编号],0))))</x:f>
        <x:v>欧姆龙</x:v>
      </x:c>
      <x:c r="D1340" s="30" t="str">
        <x:f>IF(B1340="","",IF(COUNTIFS(Equipment[组合编号],B1340)&lt;&gt;1,"组合编号无效",INDEX(Equipment[驱动品牌],MATCH(B1340,Equipment[组合编号],0))))</x:f>
        <x:v>繁易</x:v>
      </x:c>
      <x:c r="E1340" s="20" t="str">
        <x:v>N11</x:v>
      </x:c>
      <x:c r="F1340" s="20"/>
      <x:c r="G1340" s="20"/>
      <x:c r="H1340" s="20" t="str">
        <x:v>待判定</x:v>
      </x:c>
      <x:c r="I1340" s="20"/>
      <x:c r="J1340" s="20" t="str">
        <x:v>未测试</x:v>
      </x:c>
      <x:c r="K1340" s="20"/>
      <x:c r="L1340" s="20"/>
      <x:c r="M1340" s="20"/>
      <x:c r="N1340" s="20"/>
      <x:c r="O1340" s="31"/>
      <x:c r="P1340" s="20"/>
      <x:c r="Q1340" s="20"/>
      <x:c r="R1340" s="20" t="str">
        <x:v>待展开</x:v>
      </x:c>
      <x:c r="S1340" s="20"/>
      <x:c r="T1340" s="31"/>
      <x:c r="U1340" s="30" t="str">
        <x:f>IF(A1340="","缺记录编号",IF(COUNTIFS(PathRecords[记录编号],A1340)&lt;&gt;1,"记录编号重复",IF(OR(B1340="",E1340=""),"缺组合/功能",IF(COUNTIFS(Equipment[组合编号],B1340)&lt;&gt;1,"组合编号无效",IF(COUNTIFS(FunctionMatrix[编号],E1340)=0,"功能编号无效",IF(H1340="不适用",IF(J1340="已实测","适用性冲突",IF(I1340="","待补不适用依据","不适用（非实测）")),IF(J1340="阻塞",IF(I1340="","待补阻塞原因","阻塞（非实测）"),IF(J1340&lt;&gt;"已实测",IF(F1340="","待展开路径","未实测"),IF(H1340&lt;&gt;"适用","待确认适用性",IF(INDEX(Equipment[登记状态（自动）],MATCH(B1340,Equipment[组合编号],0))&lt;&gt;"已登记","待补设备组合",IF(AND(F1340&lt;&gt;"",G1340&lt;&gt;"",K1340&lt;&gt;"",L1340&lt;&gt;"",M1340&lt;&gt;"",N1340&lt;&gt;"",ISNUMBER(O1340),O1340&gt;0,P1340&lt;&gt;""),"记录齐全","待补实测记录")))))))))))</x:f>
        <x:v>待展开路径</x:v>
      </x:c>
    </x:row>
    <x:row r="1341" ht="43.5" customHeight="1">
      <x:c r="A1341" s="20" t="str">
        <x:v>REC-01332</x:v>
      </x:c>
      <x:c r="B1341" s="20" t="str">
        <x:v>P3-B3-01</x:v>
      </x:c>
      <x:c r="C1341" s="30" t="str">
        <x:f>IF(B1341="","",IF(COUNTIFS(Equipment[组合编号],B1341)&lt;&gt;1,"组合编号无效",INDEX(Equipment[PLC组],MATCH(B1341,Equipment[组合编号],0))))</x:f>
        <x:v>欧姆龙</x:v>
      </x:c>
      <x:c r="D1341" s="30" t="str">
        <x:f>IF(B1341="","",IF(COUNTIFS(Equipment[组合编号],B1341)&lt;&gt;1,"组合编号无效",INDEX(Equipment[驱动品牌],MATCH(B1341,Equipment[组合编号],0))))</x:f>
        <x:v>繁易</x:v>
      </x:c>
      <x:c r="E1341" s="20" t="str">
        <x:v>N12</x:v>
      </x:c>
      <x:c r="F1341" s="20"/>
      <x:c r="G1341" s="20"/>
      <x:c r="H1341" s="20" t="str">
        <x:v>待判定</x:v>
      </x:c>
      <x:c r="I1341" s="20"/>
      <x:c r="J1341" s="20" t="str">
        <x:v>未测试</x:v>
      </x:c>
      <x:c r="K1341" s="20"/>
      <x:c r="L1341" s="20"/>
      <x:c r="M1341" s="20"/>
      <x:c r="N1341" s="20"/>
      <x:c r="O1341" s="31"/>
      <x:c r="P1341" s="20"/>
      <x:c r="Q1341" s="20"/>
      <x:c r="R1341" s="20" t="str">
        <x:v>待展开</x:v>
      </x:c>
      <x:c r="S1341" s="20"/>
      <x:c r="T1341" s="31"/>
      <x:c r="U1341" s="30" t="str">
        <x:f>IF(A1341="","缺记录编号",IF(COUNTIFS(PathRecords[记录编号],A1341)&lt;&gt;1,"记录编号重复",IF(OR(B1341="",E1341=""),"缺组合/功能",IF(COUNTIFS(Equipment[组合编号],B1341)&lt;&gt;1,"组合编号无效",IF(COUNTIFS(FunctionMatrix[编号],E1341)=0,"功能编号无效",IF(H1341="不适用",IF(J1341="已实测","适用性冲突",IF(I1341="","待补不适用依据","不适用（非实测）")),IF(J1341="阻塞",IF(I1341="","待补阻塞原因","阻塞（非实测）"),IF(J1341&lt;&gt;"已实测",IF(F1341="","待展开路径","未实测"),IF(H1341&lt;&gt;"适用","待确认适用性",IF(INDEX(Equipment[登记状态（自动）],MATCH(B1341,Equipment[组合编号],0))&lt;&gt;"已登记","待补设备组合",IF(AND(F1341&lt;&gt;"",G1341&lt;&gt;"",K1341&lt;&gt;"",L1341&lt;&gt;"",M1341&lt;&gt;"",N1341&lt;&gt;"",ISNUMBER(O1341),O1341&gt;0,P1341&lt;&gt;""),"记录齐全","待补实测记录")))))))))))</x:f>
        <x:v>待展开路径</x:v>
      </x:c>
    </x:row>
    <x:row r="1342" ht="43.5" customHeight="1">
      <x:c r="A1342" s="20" t="str">
        <x:v>REC-01333</x:v>
      </x:c>
      <x:c r="B1342" s="20" t="str">
        <x:v>P3-B3-01</x:v>
      </x:c>
      <x:c r="C1342" s="30" t="str">
        <x:f>IF(B1342="","",IF(COUNTIFS(Equipment[组合编号],B1342)&lt;&gt;1,"组合编号无效",INDEX(Equipment[PLC组],MATCH(B1342,Equipment[组合编号],0))))</x:f>
        <x:v>欧姆龙</x:v>
      </x:c>
      <x:c r="D1342" s="30" t="str">
        <x:f>IF(B1342="","",IF(COUNTIFS(Equipment[组合编号],B1342)&lt;&gt;1,"组合编号无效",INDEX(Equipment[驱动品牌],MATCH(B1342,Equipment[组合编号],0))))</x:f>
        <x:v>繁易</x:v>
      </x:c>
      <x:c r="E1342" s="20" t="str">
        <x:v>P01</x:v>
      </x:c>
      <x:c r="F1342" s="20"/>
      <x:c r="G1342" s="20"/>
      <x:c r="H1342" s="20" t="str">
        <x:v>待判定</x:v>
      </x:c>
      <x:c r="I1342" s="20"/>
      <x:c r="J1342" s="20" t="str">
        <x:v>未测试</x:v>
      </x:c>
      <x:c r="K1342" s="20"/>
      <x:c r="L1342" s="20"/>
      <x:c r="M1342" s="20"/>
      <x:c r="N1342" s="20"/>
      <x:c r="O1342" s="31"/>
      <x:c r="P1342" s="20"/>
      <x:c r="Q1342" s="20"/>
      <x:c r="R1342" s="20" t="str">
        <x:v>待展开</x:v>
      </x:c>
      <x:c r="S1342" s="20"/>
      <x:c r="T1342" s="31"/>
      <x:c r="U1342" s="30" t="str">
        <x:f>IF(A1342="","缺记录编号",IF(COUNTIFS(PathRecords[记录编号],A1342)&lt;&gt;1,"记录编号重复",IF(OR(B1342="",E1342=""),"缺组合/功能",IF(COUNTIFS(Equipment[组合编号],B1342)&lt;&gt;1,"组合编号无效",IF(COUNTIFS(FunctionMatrix[编号],E1342)=0,"功能编号无效",IF(H1342="不适用",IF(J1342="已实测","适用性冲突",IF(I1342="","待补不适用依据","不适用（非实测）")),IF(J1342="阻塞",IF(I1342="","待补阻塞原因","阻塞（非实测）"),IF(J1342&lt;&gt;"已实测",IF(F1342="","待展开路径","未实测"),IF(H1342&lt;&gt;"适用","待确认适用性",IF(INDEX(Equipment[登记状态（自动）],MATCH(B1342,Equipment[组合编号],0))&lt;&gt;"已登记","待补设备组合",IF(AND(F1342&lt;&gt;"",G1342&lt;&gt;"",K1342&lt;&gt;"",L1342&lt;&gt;"",M1342&lt;&gt;"",N1342&lt;&gt;"",ISNUMBER(O1342),O1342&gt;0,P1342&lt;&gt;""),"记录齐全","待补实测记录")))))))))))</x:f>
        <x:v>待展开路径</x:v>
      </x:c>
    </x:row>
    <x:row r="1343" ht="43.5" customHeight="1">
      <x:c r="A1343" s="20" t="str">
        <x:v>REC-01334</x:v>
      </x:c>
      <x:c r="B1343" s="20" t="str">
        <x:v>P3-B3-01</x:v>
      </x:c>
      <x:c r="C1343" s="30" t="str">
        <x:f>IF(B1343="","",IF(COUNTIFS(Equipment[组合编号],B1343)&lt;&gt;1,"组合编号无效",INDEX(Equipment[PLC组],MATCH(B1343,Equipment[组合编号],0))))</x:f>
        <x:v>欧姆龙</x:v>
      </x:c>
      <x:c r="D1343" s="30" t="str">
        <x:f>IF(B1343="","",IF(COUNTIFS(Equipment[组合编号],B1343)&lt;&gt;1,"组合编号无效",INDEX(Equipment[驱动品牌],MATCH(B1343,Equipment[组合编号],0))))</x:f>
        <x:v>繁易</x:v>
      </x:c>
      <x:c r="E1343" s="20" t="str">
        <x:v>P02</x:v>
      </x:c>
      <x:c r="F1343" s="20"/>
      <x:c r="G1343" s="20"/>
      <x:c r="H1343" s="20" t="str">
        <x:v>待判定</x:v>
      </x:c>
      <x:c r="I1343" s="20"/>
      <x:c r="J1343" s="20" t="str">
        <x:v>未测试</x:v>
      </x:c>
      <x:c r="K1343" s="20"/>
      <x:c r="L1343" s="20"/>
      <x:c r="M1343" s="20"/>
      <x:c r="N1343" s="20"/>
      <x:c r="O1343" s="31"/>
      <x:c r="P1343" s="20"/>
      <x:c r="Q1343" s="20"/>
      <x:c r="R1343" s="20" t="str">
        <x:v>待展开</x:v>
      </x:c>
      <x:c r="S1343" s="20"/>
      <x:c r="T1343" s="31"/>
      <x:c r="U1343" s="30" t="str">
        <x:f>IF(A1343="","缺记录编号",IF(COUNTIFS(PathRecords[记录编号],A1343)&lt;&gt;1,"记录编号重复",IF(OR(B1343="",E1343=""),"缺组合/功能",IF(COUNTIFS(Equipment[组合编号],B1343)&lt;&gt;1,"组合编号无效",IF(COUNTIFS(FunctionMatrix[编号],E1343)=0,"功能编号无效",IF(H1343="不适用",IF(J1343="已实测","适用性冲突",IF(I1343="","待补不适用依据","不适用（非实测）")),IF(J1343="阻塞",IF(I1343="","待补阻塞原因","阻塞（非实测）"),IF(J1343&lt;&gt;"已实测",IF(F1343="","待展开路径","未实测"),IF(H1343&lt;&gt;"适用","待确认适用性",IF(INDEX(Equipment[登记状态（自动）],MATCH(B1343,Equipment[组合编号],0))&lt;&gt;"已登记","待补设备组合",IF(AND(F1343&lt;&gt;"",G1343&lt;&gt;"",K1343&lt;&gt;"",L1343&lt;&gt;"",M1343&lt;&gt;"",N1343&lt;&gt;"",ISNUMBER(O1343),O1343&gt;0,P1343&lt;&gt;""),"记录齐全","待补实测记录")))))))))))</x:f>
        <x:v>待展开路径</x:v>
      </x:c>
    </x:row>
    <x:row r="1344" ht="43.5" customHeight="1">
      <x:c r="A1344" s="20" t="str">
        <x:v>REC-01335</x:v>
      </x:c>
      <x:c r="B1344" s="20" t="str">
        <x:v>P3-B3-01</x:v>
      </x:c>
      <x:c r="C1344" s="30" t="str">
        <x:f>IF(B1344="","",IF(COUNTIFS(Equipment[组合编号],B1344)&lt;&gt;1,"组合编号无效",INDEX(Equipment[PLC组],MATCH(B1344,Equipment[组合编号],0))))</x:f>
        <x:v>欧姆龙</x:v>
      </x:c>
      <x:c r="D1344" s="30" t="str">
        <x:f>IF(B1344="","",IF(COUNTIFS(Equipment[组合编号],B1344)&lt;&gt;1,"组合编号无效",INDEX(Equipment[驱动品牌],MATCH(B1344,Equipment[组合编号],0))))</x:f>
        <x:v>繁易</x:v>
      </x:c>
      <x:c r="E1344" s="20" t="str">
        <x:v>P03</x:v>
      </x:c>
      <x:c r="F1344" s="20"/>
      <x:c r="G1344" s="20"/>
      <x:c r="H1344" s="20" t="str">
        <x:v>待判定</x:v>
      </x:c>
      <x:c r="I1344" s="20"/>
      <x:c r="J1344" s="20" t="str">
        <x:v>未测试</x:v>
      </x:c>
      <x:c r="K1344" s="20"/>
      <x:c r="L1344" s="20"/>
      <x:c r="M1344" s="20"/>
      <x:c r="N1344" s="20"/>
      <x:c r="O1344" s="31"/>
      <x:c r="P1344" s="20"/>
      <x:c r="Q1344" s="20"/>
      <x:c r="R1344" s="20" t="str">
        <x:v>待展开</x:v>
      </x:c>
      <x:c r="S1344" s="20"/>
      <x:c r="T1344" s="31"/>
      <x:c r="U1344" s="30" t="str">
        <x:f>IF(A1344="","缺记录编号",IF(COUNTIFS(PathRecords[记录编号],A1344)&lt;&gt;1,"记录编号重复",IF(OR(B1344="",E1344=""),"缺组合/功能",IF(COUNTIFS(Equipment[组合编号],B1344)&lt;&gt;1,"组合编号无效",IF(COUNTIFS(FunctionMatrix[编号],E1344)=0,"功能编号无效",IF(H1344="不适用",IF(J1344="已实测","适用性冲突",IF(I1344="","待补不适用依据","不适用（非实测）")),IF(J1344="阻塞",IF(I1344="","待补阻塞原因","阻塞（非实测）"),IF(J1344&lt;&gt;"已实测",IF(F1344="","待展开路径","未实测"),IF(H1344&lt;&gt;"适用","待确认适用性",IF(INDEX(Equipment[登记状态（自动）],MATCH(B1344,Equipment[组合编号],0))&lt;&gt;"已登记","待补设备组合",IF(AND(F1344&lt;&gt;"",G1344&lt;&gt;"",K1344&lt;&gt;"",L1344&lt;&gt;"",M1344&lt;&gt;"",N1344&lt;&gt;"",ISNUMBER(O1344),O1344&gt;0,P1344&lt;&gt;""),"记录齐全","待补实测记录")))))))))))</x:f>
        <x:v>待展开路径</x:v>
      </x:c>
    </x:row>
    <x:row r="1345" ht="43.5" customHeight="1">
      <x:c r="A1345" s="20" t="str">
        <x:v>REC-01336</x:v>
      </x:c>
      <x:c r="B1345" s="20" t="str">
        <x:v>P3-B3-01</x:v>
      </x:c>
      <x:c r="C1345" s="30" t="str">
        <x:f>IF(B1345="","",IF(COUNTIFS(Equipment[组合编号],B1345)&lt;&gt;1,"组合编号无效",INDEX(Equipment[PLC组],MATCH(B1345,Equipment[组合编号],0))))</x:f>
        <x:v>欧姆龙</x:v>
      </x:c>
      <x:c r="D1345" s="30" t="str">
        <x:f>IF(B1345="","",IF(COUNTIFS(Equipment[组合编号],B1345)&lt;&gt;1,"组合编号无效",INDEX(Equipment[驱动品牌],MATCH(B1345,Equipment[组合编号],0))))</x:f>
        <x:v>繁易</x:v>
      </x:c>
      <x:c r="E1345" s="20" t="str">
        <x:v>P04</x:v>
      </x:c>
      <x:c r="F1345" s="20"/>
      <x:c r="G1345" s="20"/>
      <x:c r="H1345" s="20" t="str">
        <x:v>待判定</x:v>
      </x:c>
      <x:c r="I1345" s="20"/>
      <x:c r="J1345" s="20" t="str">
        <x:v>未测试</x:v>
      </x:c>
      <x:c r="K1345" s="20"/>
      <x:c r="L1345" s="20"/>
      <x:c r="M1345" s="20"/>
      <x:c r="N1345" s="20"/>
      <x:c r="O1345" s="31"/>
      <x:c r="P1345" s="20"/>
      <x:c r="Q1345" s="20"/>
      <x:c r="R1345" s="20" t="str">
        <x:v>待展开</x:v>
      </x:c>
      <x:c r="S1345" s="20"/>
      <x:c r="T1345" s="31"/>
      <x:c r="U1345" s="30" t="str">
        <x:f>IF(A1345="","缺记录编号",IF(COUNTIFS(PathRecords[记录编号],A1345)&lt;&gt;1,"记录编号重复",IF(OR(B1345="",E1345=""),"缺组合/功能",IF(COUNTIFS(Equipment[组合编号],B1345)&lt;&gt;1,"组合编号无效",IF(COUNTIFS(FunctionMatrix[编号],E1345)=0,"功能编号无效",IF(H1345="不适用",IF(J1345="已实测","适用性冲突",IF(I1345="","待补不适用依据","不适用（非实测）")),IF(J1345="阻塞",IF(I1345="","待补阻塞原因","阻塞（非实测）"),IF(J1345&lt;&gt;"已实测",IF(F1345="","待展开路径","未实测"),IF(H1345&lt;&gt;"适用","待确认适用性",IF(INDEX(Equipment[登记状态（自动）],MATCH(B1345,Equipment[组合编号],0))&lt;&gt;"已登记","待补设备组合",IF(AND(F1345&lt;&gt;"",G1345&lt;&gt;"",K1345&lt;&gt;"",L1345&lt;&gt;"",M1345&lt;&gt;"",N1345&lt;&gt;"",ISNUMBER(O1345),O1345&gt;0,P1345&lt;&gt;""),"记录齐全","待补实测记录")))))))))))</x:f>
        <x:v>待展开路径</x:v>
      </x:c>
    </x:row>
    <x:row r="1346" ht="43.5" customHeight="1">
      <x:c r="A1346" s="20" t="str">
        <x:v>REC-01337</x:v>
      </x:c>
      <x:c r="B1346" s="20" t="str">
        <x:v>P3-B3-01</x:v>
      </x:c>
      <x:c r="C1346" s="30" t="str">
        <x:f>IF(B1346="","",IF(COUNTIFS(Equipment[组合编号],B1346)&lt;&gt;1,"组合编号无效",INDEX(Equipment[PLC组],MATCH(B1346,Equipment[组合编号],0))))</x:f>
        <x:v>欧姆龙</x:v>
      </x:c>
      <x:c r="D1346" s="30" t="str">
        <x:f>IF(B1346="","",IF(COUNTIFS(Equipment[组合编号],B1346)&lt;&gt;1,"组合编号无效",INDEX(Equipment[驱动品牌],MATCH(B1346,Equipment[组合编号],0))))</x:f>
        <x:v>繁易</x:v>
      </x:c>
      <x:c r="E1346" s="20" t="str">
        <x:v>P05</x:v>
      </x:c>
      <x:c r="F1346" s="20"/>
      <x:c r="G1346" s="20"/>
      <x:c r="H1346" s="20" t="str">
        <x:v>待判定</x:v>
      </x:c>
      <x:c r="I1346" s="20"/>
      <x:c r="J1346" s="20" t="str">
        <x:v>未测试</x:v>
      </x:c>
      <x:c r="K1346" s="20"/>
      <x:c r="L1346" s="20"/>
      <x:c r="M1346" s="20"/>
      <x:c r="N1346" s="20"/>
      <x:c r="O1346" s="31"/>
      <x:c r="P1346" s="20"/>
      <x:c r="Q1346" s="20"/>
      <x:c r="R1346" s="20" t="str">
        <x:v>待展开</x:v>
      </x:c>
      <x:c r="S1346" s="20"/>
      <x:c r="T1346" s="31"/>
      <x:c r="U1346" s="30" t="str">
        <x:f>IF(A1346="","缺记录编号",IF(COUNTIFS(PathRecords[记录编号],A1346)&lt;&gt;1,"记录编号重复",IF(OR(B1346="",E1346=""),"缺组合/功能",IF(COUNTIFS(Equipment[组合编号],B1346)&lt;&gt;1,"组合编号无效",IF(COUNTIFS(FunctionMatrix[编号],E1346)=0,"功能编号无效",IF(H1346="不适用",IF(J1346="已实测","适用性冲突",IF(I1346="","待补不适用依据","不适用（非实测）")),IF(J1346="阻塞",IF(I1346="","待补阻塞原因","阻塞（非实测）"),IF(J1346&lt;&gt;"已实测",IF(F1346="","待展开路径","未实测"),IF(H1346&lt;&gt;"适用","待确认适用性",IF(INDEX(Equipment[登记状态（自动）],MATCH(B1346,Equipment[组合编号],0))&lt;&gt;"已登记","待补设备组合",IF(AND(F1346&lt;&gt;"",G1346&lt;&gt;"",K1346&lt;&gt;"",L1346&lt;&gt;"",M1346&lt;&gt;"",N1346&lt;&gt;"",ISNUMBER(O1346),O1346&gt;0,P1346&lt;&gt;""),"记录齐全","待补实测记录")))))))))))</x:f>
        <x:v>待展开路径</x:v>
      </x:c>
    </x:row>
    <x:row r="1347" ht="43.5" customHeight="1">
      <x:c r="A1347" s="20" t="str">
        <x:v>REC-01338</x:v>
      </x:c>
      <x:c r="B1347" s="20" t="str">
        <x:v>P3-B3-01</x:v>
      </x:c>
      <x:c r="C1347" s="30" t="str">
        <x:f>IF(B1347="","",IF(COUNTIFS(Equipment[组合编号],B1347)&lt;&gt;1,"组合编号无效",INDEX(Equipment[PLC组],MATCH(B1347,Equipment[组合编号],0))))</x:f>
        <x:v>欧姆龙</x:v>
      </x:c>
      <x:c r="D1347" s="30" t="str">
        <x:f>IF(B1347="","",IF(COUNTIFS(Equipment[组合编号],B1347)&lt;&gt;1,"组合编号无效",INDEX(Equipment[驱动品牌],MATCH(B1347,Equipment[组合编号],0))))</x:f>
        <x:v>繁易</x:v>
      </x:c>
      <x:c r="E1347" s="20" t="str">
        <x:v>P06</x:v>
      </x:c>
      <x:c r="F1347" s="20"/>
      <x:c r="G1347" s="20"/>
      <x:c r="H1347" s="20" t="str">
        <x:v>待判定</x:v>
      </x:c>
      <x:c r="I1347" s="20"/>
      <x:c r="J1347" s="20" t="str">
        <x:v>未测试</x:v>
      </x:c>
      <x:c r="K1347" s="20"/>
      <x:c r="L1347" s="20"/>
      <x:c r="M1347" s="20"/>
      <x:c r="N1347" s="20"/>
      <x:c r="O1347" s="31"/>
      <x:c r="P1347" s="20"/>
      <x:c r="Q1347" s="20"/>
      <x:c r="R1347" s="20" t="str">
        <x:v>待展开</x:v>
      </x:c>
      <x:c r="S1347" s="20"/>
      <x:c r="T1347" s="31"/>
      <x:c r="U1347" s="30" t="str">
        <x:f>IF(A1347="","缺记录编号",IF(COUNTIFS(PathRecords[记录编号],A1347)&lt;&gt;1,"记录编号重复",IF(OR(B1347="",E1347=""),"缺组合/功能",IF(COUNTIFS(Equipment[组合编号],B1347)&lt;&gt;1,"组合编号无效",IF(COUNTIFS(FunctionMatrix[编号],E1347)=0,"功能编号无效",IF(H1347="不适用",IF(J1347="已实测","适用性冲突",IF(I1347="","待补不适用依据","不适用（非实测）")),IF(J1347="阻塞",IF(I1347="","待补阻塞原因","阻塞（非实测）"),IF(J1347&lt;&gt;"已实测",IF(F1347="","待展开路径","未实测"),IF(H1347&lt;&gt;"适用","待确认适用性",IF(INDEX(Equipment[登记状态（自动）],MATCH(B1347,Equipment[组合编号],0))&lt;&gt;"已登记","待补设备组合",IF(AND(F1347&lt;&gt;"",G1347&lt;&gt;"",K1347&lt;&gt;"",L1347&lt;&gt;"",M1347&lt;&gt;"",N1347&lt;&gt;"",ISNUMBER(O1347),O1347&gt;0,P1347&lt;&gt;""),"记录齐全","待补实测记录")))))))))))</x:f>
        <x:v>待展开路径</x:v>
      </x:c>
    </x:row>
    <x:row r="1348" ht="43.5" customHeight="1">
      <x:c r="A1348" s="20" t="str">
        <x:v>REC-01339</x:v>
      </x:c>
      <x:c r="B1348" s="20" t="str">
        <x:v>P3-B3-01</x:v>
      </x:c>
      <x:c r="C1348" s="30" t="str">
        <x:f>IF(B1348="","",IF(COUNTIFS(Equipment[组合编号],B1348)&lt;&gt;1,"组合编号无效",INDEX(Equipment[PLC组],MATCH(B1348,Equipment[组合编号],0))))</x:f>
        <x:v>欧姆龙</x:v>
      </x:c>
      <x:c r="D1348" s="30" t="str">
        <x:f>IF(B1348="","",IF(COUNTIFS(Equipment[组合编号],B1348)&lt;&gt;1,"组合编号无效",INDEX(Equipment[驱动品牌],MATCH(B1348,Equipment[组合编号],0))))</x:f>
        <x:v>繁易</x:v>
      </x:c>
      <x:c r="E1348" s="20" t="str">
        <x:v>P07</x:v>
      </x:c>
      <x:c r="F1348" s="20"/>
      <x:c r="G1348" s="20"/>
      <x:c r="H1348" s="20" t="str">
        <x:v>待判定</x:v>
      </x:c>
      <x:c r="I1348" s="20"/>
      <x:c r="J1348" s="20" t="str">
        <x:v>未测试</x:v>
      </x:c>
      <x:c r="K1348" s="20"/>
      <x:c r="L1348" s="20"/>
      <x:c r="M1348" s="20"/>
      <x:c r="N1348" s="20"/>
      <x:c r="O1348" s="31"/>
      <x:c r="P1348" s="20"/>
      <x:c r="Q1348" s="20"/>
      <x:c r="R1348" s="20" t="str">
        <x:v>待展开</x:v>
      </x:c>
      <x:c r="S1348" s="20"/>
      <x:c r="T1348" s="31"/>
      <x:c r="U1348" s="30" t="str">
        <x:f>IF(A1348="","缺记录编号",IF(COUNTIFS(PathRecords[记录编号],A1348)&lt;&gt;1,"记录编号重复",IF(OR(B1348="",E1348=""),"缺组合/功能",IF(COUNTIFS(Equipment[组合编号],B1348)&lt;&gt;1,"组合编号无效",IF(COUNTIFS(FunctionMatrix[编号],E1348)=0,"功能编号无效",IF(H1348="不适用",IF(J1348="已实测","适用性冲突",IF(I1348="","待补不适用依据","不适用（非实测）")),IF(J1348="阻塞",IF(I1348="","待补阻塞原因","阻塞（非实测）"),IF(J1348&lt;&gt;"已实测",IF(F1348="","待展开路径","未实测"),IF(H1348&lt;&gt;"适用","待确认适用性",IF(INDEX(Equipment[登记状态（自动）],MATCH(B1348,Equipment[组合编号],0))&lt;&gt;"已登记","待补设备组合",IF(AND(F1348&lt;&gt;"",G1348&lt;&gt;"",K1348&lt;&gt;"",L1348&lt;&gt;"",M1348&lt;&gt;"",N1348&lt;&gt;"",ISNUMBER(O1348),O1348&gt;0,P1348&lt;&gt;""),"记录齐全","待补实测记录")))))))))))</x:f>
        <x:v>待展开路径</x:v>
      </x:c>
    </x:row>
    <x:row r="1349" ht="43.5" customHeight="1">
      <x:c r="A1349" s="20" t="str">
        <x:v>REC-01340</x:v>
      </x:c>
      <x:c r="B1349" s="20" t="str">
        <x:v>P3-B3-01</x:v>
      </x:c>
      <x:c r="C1349" s="30" t="str">
        <x:f>IF(B1349="","",IF(COUNTIFS(Equipment[组合编号],B1349)&lt;&gt;1,"组合编号无效",INDEX(Equipment[PLC组],MATCH(B1349,Equipment[组合编号],0))))</x:f>
        <x:v>欧姆龙</x:v>
      </x:c>
      <x:c r="D1349" s="30" t="str">
        <x:f>IF(B1349="","",IF(COUNTIFS(Equipment[组合编号],B1349)&lt;&gt;1,"组合编号无效",INDEX(Equipment[驱动品牌],MATCH(B1349,Equipment[组合编号],0))))</x:f>
        <x:v>繁易</x:v>
      </x:c>
      <x:c r="E1349" s="20" t="str">
        <x:v>P08</x:v>
      </x:c>
      <x:c r="F1349" s="20"/>
      <x:c r="G1349" s="20"/>
      <x:c r="H1349" s="20" t="str">
        <x:v>待判定</x:v>
      </x:c>
      <x:c r="I1349" s="20"/>
      <x:c r="J1349" s="20" t="str">
        <x:v>未测试</x:v>
      </x:c>
      <x:c r="K1349" s="20"/>
      <x:c r="L1349" s="20"/>
      <x:c r="M1349" s="20"/>
      <x:c r="N1349" s="20"/>
      <x:c r="O1349" s="31"/>
      <x:c r="P1349" s="20"/>
      <x:c r="Q1349" s="20"/>
      <x:c r="R1349" s="20" t="str">
        <x:v>待展开</x:v>
      </x:c>
      <x:c r="S1349" s="20"/>
      <x:c r="T1349" s="31"/>
      <x:c r="U1349" s="30" t="str">
        <x:f>IF(A1349="","缺记录编号",IF(COUNTIFS(PathRecords[记录编号],A1349)&lt;&gt;1,"记录编号重复",IF(OR(B1349="",E1349=""),"缺组合/功能",IF(COUNTIFS(Equipment[组合编号],B1349)&lt;&gt;1,"组合编号无效",IF(COUNTIFS(FunctionMatrix[编号],E1349)=0,"功能编号无效",IF(H1349="不适用",IF(J1349="已实测","适用性冲突",IF(I1349="","待补不适用依据","不适用（非实测）")),IF(J1349="阻塞",IF(I1349="","待补阻塞原因","阻塞（非实测）"),IF(J1349&lt;&gt;"已实测",IF(F1349="","待展开路径","未实测"),IF(H1349&lt;&gt;"适用","待确认适用性",IF(INDEX(Equipment[登记状态（自动）],MATCH(B1349,Equipment[组合编号],0))&lt;&gt;"已登记","待补设备组合",IF(AND(F1349&lt;&gt;"",G1349&lt;&gt;"",K1349&lt;&gt;"",L1349&lt;&gt;"",M1349&lt;&gt;"",N1349&lt;&gt;"",ISNUMBER(O1349),O1349&gt;0,P1349&lt;&gt;""),"记录齐全","待补实测记录")))))))))))</x:f>
        <x:v>待展开路径</x:v>
      </x:c>
    </x:row>
    <x:row r="1350" ht="43.5" customHeight="1">
      <x:c r="A1350" s="20" t="str">
        <x:v>REC-01341</x:v>
      </x:c>
      <x:c r="B1350" s="20" t="str">
        <x:v>P3-B3-01</x:v>
      </x:c>
      <x:c r="C1350" s="30" t="str">
        <x:f>IF(B1350="","",IF(COUNTIFS(Equipment[组合编号],B1350)&lt;&gt;1,"组合编号无效",INDEX(Equipment[PLC组],MATCH(B1350,Equipment[组合编号],0))))</x:f>
        <x:v>欧姆龙</x:v>
      </x:c>
      <x:c r="D1350" s="30" t="str">
        <x:f>IF(B1350="","",IF(COUNTIFS(Equipment[组合编号],B1350)&lt;&gt;1,"组合编号无效",INDEX(Equipment[驱动品牌],MATCH(B1350,Equipment[组合编号],0))))</x:f>
        <x:v>繁易</x:v>
      </x:c>
      <x:c r="E1350" s="20" t="str">
        <x:v>P09</x:v>
      </x:c>
      <x:c r="F1350" s="20"/>
      <x:c r="G1350" s="20"/>
      <x:c r="H1350" s="20" t="str">
        <x:v>待判定</x:v>
      </x:c>
      <x:c r="I1350" s="20"/>
      <x:c r="J1350" s="20" t="str">
        <x:v>未测试</x:v>
      </x:c>
      <x:c r="K1350" s="20"/>
      <x:c r="L1350" s="20"/>
      <x:c r="M1350" s="20"/>
      <x:c r="N1350" s="20"/>
      <x:c r="O1350" s="31"/>
      <x:c r="P1350" s="20"/>
      <x:c r="Q1350" s="20"/>
      <x:c r="R1350" s="20" t="str">
        <x:v>待展开</x:v>
      </x:c>
      <x:c r="S1350" s="20"/>
      <x:c r="T1350" s="31"/>
      <x:c r="U1350" s="30" t="str">
        <x:f>IF(A1350="","缺记录编号",IF(COUNTIFS(PathRecords[记录编号],A1350)&lt;&gt;1,"记录编号重复",IF(OR(B1350="",E1350=""),"缺组合/功能",IF(COUNTIFS(Equipment[组合编号],B1350)&lt;&gt;1,"组合编号无效",IF(COUNTIFS(FunctionMatrix[编号],E1350)=0,"功能编号无效",IF(H1350="不适用",IF(J1350="已实测","适用性冲突",IF(I1350="","待补不适用依据","不适用（非实测）")),IF(J1350="阻塞",IF(I1350="","待补阻塞原因","阻塞（非实测）"),IF(J1350&lt;&gt;"已实测",IF(F1350="","待展开路径","未实测"),IF(H1350&lt;&gt;"适用","待确认适用性",IF(INDEX(Equipment[登记状态（自动）],MATCH(B1350,Equipment[组合编号],0))&lt;&gt;"已登记","待补设备组合",IF(AND(F1350&lt;&gt;"",G1350&lt;&gt;"",K1350&lt;&gt;"",L1350&lt;&gt;"",M1350&lt;&gt;"",N1350&lt;&gt;"",ISNUMBER(O1350),O1350&gt;0,P1350&lt;&gt;""),"记录齐全","待补实测记录")))))))))))</x:f>
        <x:v>待展开路径</x:v>
      </x:c>
    </x:row>
    <x:row r="1351" ht="43.5" customHeight="1">
      <x:c r="A1351" s="20" t="str">
        <x:v>REC-01342</x:v>
      </x:c>
      <x:c r="B1351" s="20" t="str">
        <x:v>P3-B3-01</x:v>
      </x:c>
      <x:c r="C1351" s="30" t="str">
        <x:f>IF(B1351="","",IF(COUNTIFS(Equipment[组合编号],B1351)&lt;&gt;1,"组合编号无效",INDEX(Equipment[PLC组],MATCH(B1351,Equipment[组合编号],0))))</x:f>
        <x:v>欧姆龙</x:v>
      </x:c>
      <x:c r="D1351" s="30" t="str">
        <x:f>IF(B1351="","",IF(COUNTIFS(Equipment[组合编号],B1351)&lt;&gt;1,"组合编号无效",INDEX(Equipment[驱动品牌],MATCH(B1351,Equipment[组合编号],0))))</x:f>
        <x:v>繁易</x:v>
      </x:c>
      <x:c r="E1351" s="20" t="str">
        <x:v>P10</x:v>
      </x:c>
      <x:c r="F1351" s="20"/>
      <x:c r="G1351" s="20"/>
      <x:c r="H1351" s="20" t="str">
        <x:v>待判定</x:v>
      </x:c>
      <x:c r="I1351" s="20"/>
      <x:c r="J1351" s="20" t="str">
        <x:v>未测试</x:v>
      </x:c>
      <x:c r="K1351" s="20"/>
      <x:c r="L1351" s="20"/>
      <x:c r="M1351" s="20"/>
      <x:c r="N1351" s="20"/>
      <x:c r="O1351" s="31"/>
      <x:c r="P1351" s="20"/>
      <x:c r="Q1351" s="20"/>
      <x:c r="R1351" s="20" t="str">
        <x:v>待展开</x:v>
      </x:c>
      <x:c r="S1351" s="20"/>
      <x:c r="T1351" s="31"/>
      <x:c r="U1351" s="30" t="str">
        <x:f>IF(A1351="","缺记录编号",IF(COUNTIFS(PathRecords[记录编号],A1351)&lt;&gt;1,"记录编号重复",IF(OR(B1351="",E1351=""),"缺组合/功能",IF(COUNTIFS(Equipment[组合编号],B1351)&lt;&gt;1,"组合编号无效",IF(COUNTIFS(FunctionMatrix[编号],E1351)=0,"功能编号无效",IF(H1351="不适用",IF(J1351="已实测","适用性冲突",IF(I1351="","待补不适用依据","不适用（非实测）")),IF(J1351="阻塞",IF(I1351="","待补阻塞原因","阻塞（非实测）"),IF(J1351&lt;&gt;"已实测",IF(F1351="","待展开路径","未实测"),IF(H1351&lt;&gt;"适用","待确认适用性",IF(INDEX(Equipment[登记状态（自动）],MATCH(B1351,Equipment[组合编号],0))&lt;&gt;"已登记","待补设备组合",IF(AND(F1351&lt;&gt;"",G1351&lt;&gt;"",K1351&lt;&gt;"",L1351&lt;&gt;"",M1351&lt;&gt;"",N1351&lt;&gt;"",ISNUMBER(O1351),O1351&gt;0,P1351&lt;&gt;""),"记录齐全","待补实测记录")))))))))))</x:f>
        <x:v>待展开路径</x:v>
      </x:c>
    </x:row>
    <x:row r="1352" ht="43.5" customHeight="1">
      <x:c r="A1352" s="20" t="str">
        <x:v>REC-01343</x:v>
      </x:c>
      <x:c r="B1352" s="20" t="str">
        <x:v>P3-B3-01</x:v>
      </x:c>
      <x:c r="C1352" s="30" t="str">
        <x:f>IF(B1352="","",IF(COUNTIFS(Equipment[组合编号],B1352)&lt;&gt;1,"组合编号无效",INDEX(Equipment[PLC组],MATCH(B1352,Equipment[组合编号],0))))</x:f>
        <x:v>欧姆龙</x:v>
      </x:c>
      <x:c r="D1352" s="30" t="str">
        <x:f>IF(B1352="","",IF(COUNTIFS(Equipment[组合编号],B1352)&lt;&gt;1,"组合编号无效",INDEX(Equipment[驱动品牌],MATCH(B1352,Equipment[组合编号],0))))</x:f>
        <x:v>繁易</x:v>
      </x:c>
      <x:c r="E1352" s="20" t="str">
        <x:v>A01</x:v>
      </x:c>
      <x:c r="F1352" s="20"/>
      <x:c r="G1352" s="20"/>
      <x:c r="H1352" s="20" t="str">
        <x:v>待判定</x:v>
      </x:c>
      <x:c r="I1352" s="20"/>
      <x:c r="J1352" s="20" t="str">
        <x:v>未测试</x:v>
      </x:c>
      <x:c r="K1352" s="20"/>
      <x:c r="L1352" s="20"/>
      <x:c r="M1352" s="20"/>
      <x:c r="N1352" s="20"/>
      <x:c r="O1352" s="31"/>
      <x:c r="P1352" s="20"/>
      <x:c r="Q1352" s="20"/>
      <x:c r="R1352" s="20" t="str">
        <x:v>待展开</x:v>
      </x:c>
      <x:c r="S1352" s="20"/>
      <x:c r="T1352" s="31"/>
      <x:c r="U1352" s="30" t="str">
        <x:f>IF(A1352="","缺记录编号",IF(COUNTIFS(PathRecords[记录编号],A1352)&lt;&gt;1,"记录编号重复",IF(OR(B1352="",E1352=""),"缺组合/功能",IF(COUNTIFS(Equipment[组合编号],B1352)&lt;&gt;1,"组合编号无效",IF(COUNTIFS(FunctionMatrix[编号],E1352)=0,"功能编号无效",IF(H1352="不适用",IF(J1352="已实测","适用性冲突",IF(I1352="","待补不适用依据","不适用（非实测）")),IF(J1352="阻塞",IF(I1352="","待补阻塞原因","阻塞（非实测）"),IF(J1352&lt;&gt;"已实测",IF(F1352="","待展开路径","未实测"),IF(H1352&lt;&gt;"适用","待确认适用性",IF(INDEX(Equipment[登记状态（自动）],MATCH(B1352,Equipment[组合编号],0))&lt;&gt;"已登记","待补设备组合",IF(AND(F1352&lt;&gt;"",G1352&lt;&gt;"",K1352&lt;&gt;"",L1352&lt;&gt;"",M1352&lt;&gt;"",N1352&lt;&gt;"",ISNUMBER(O1352),O1352&gt;0,P1352&lt;&gt;""),"记录齐全","待补实测记录")))))))))))</x:f>
        <x:v>待展开路径</x:v>
      </x:c>
    </x:row>
    <x:row r="1353" ht="43.5" customHeight="1">
      <x:c r="A1353" s="20" t="str">
        <x:v>REC-01344</x:v>
      </x:c>
      <x:c r="B1353" s="20" t="str">
        <x:v>P3-B3-01</x:v>
      </x:c>
      <x:c r="C1353" s="30" t="str">
        <x:f>IF(B1353="","",IF(COUNTIFS(Equipment[组合编号],B1353)&lt;&gt;1,"组合编号无效",INDEX(Equipment[PLC组],MATCH(B1353,Equipment[组合编号],0))))</x:f>
        <x:v>欧姆龙</x:v>
      </x:c>
      <x:c r="D1353" s="30" t="str">
        <x:f>IF(B1353="","",IF(COUNTIFS(Equipment[组合编号],B1353)&lt;&gt;1,"组合编号无效",INDEX(Equipment[驱动品牌],MATCH(B1353,Equipment[组合编号],0))))</x:f>
        <x:v>繁易</x:v>
      </x:c>
      <x:c r="E1353" s="20" t="str">
        <x:v>A02</x:v>
      </x:c>
      <x:c r="F1353" s="20"/>
      <x:c r="G1353" s="20"/>
      <x:c r="H1353" s="20" t="str">
        <x:v>待判定</x:v>
      </x:c>
      <x:c r="I1353" s="20"/>
      <x:c r="J1353" s="20" t="str">
        <x:v>未测试</x:v>
      </x:c>
      <x:c r="K1353" s="20"/>
      <x:c r="L1353" s="20"/>
      <x:c r="M1353" s="20"/>
      <x:c r="N1353" s="20"/>
      <x:c r="O1353" s="31"/>
      <x:c r="P1353" s="20"/>
      <x:c r="Q1353" s="20"/>
      <x:c r="R1353" s="20" t="str">
        <x:v>待展开</x:v>
      </x:c>
      <x:c r="S1353" s="20"/>
      <x:c r="T1353" s="31"/>
      <x:c r="U1353" s="30" t="str">
        <x:f>IF(A1353="","缺记录编号",IF(COUNTIFS(PathRecords[记录编号],A1353)&lt;&gt;1,"记录编号重复",IF(OR(B1353="",E1353=""),"缺组合/功能",IF(COUNTIFS(Equipment[组合编号],B1353)&lt;&gt;1,"组合编号无效",IF(COUNTIFS(FunctionMatrix[编号],E1353)=0,"功能编号无效",IF(H1353="不适用",IF(J1353="已实测","适用性冲突",IF(I1353="","待补不适用依据","不适用（非实测）")),IF(J1353="阻塞",IF(I1353="","待补阻塞原因","阻塞（非实测）"),IF(J1353&lt;&gt;"已实测",IF(F1353="","待展开路径","未实测"),IF(H1353&lt;&gt;"适用","待确认适用性",IF(INDEX(Equipment[登记状态（自动）],MATCH(B1353,Equipment[组合编号],0))&lt;&gt;"已登记","待补设备组合",IF(AND(F1353&lt;&gt;"",G1353&lt;&gt;"",K1353&lt;&gt;"",L1353&lt;&gt;"",M1353&lt;&gt;"",N1353&lt;&gt;"",ISNUMBER(O1353),O1353&gt;0,P1353&lt;&gt;""),"记录齐全","待补实测记录")))))))))))</x:f>
        <x:v>待展开路径</x:v>
      </x:c>
    </x:row>
    <x:row r="1354" ht="43.5" customHeight="1">
      <x:c r="A1354" s="20" t="str">
        <x:v>REC-01345</x:v>
      </x:c>
      <x:c r="B1354" s="20" t="str">
        <x:v>P3-B3-01</x:v>
      </x:c>
      <x:c r="C1354" s="30" t="str">
        <x:f>IF(B1354="","",IF(COUNTIFS(Equipment[组合编号],B1354)&lt;&gt;1,"组合编号无效",INDEX(Equipment[PLC组],MATCH(B1354,Equipment[组合编号],0))))</x:f>
        <x:v>欧姆龙</x:v>
      </x:c>
      <x:c r="D1354" s="30" t="str">
        <x:f>IF(B1354="","",IF(COUNTIFS(Equipment[组合编号],B1354)&lt;&gt;1,"组合编号无效",INDEX(Equipment[驱动品牌],MATCH(B1354,Equipment[组合编号],0))))</x:f>
        <x:v>繁易</x:v>
      </x:c>
      <x:c r="E1354" s="20" t="str">
        <x:v>A03</x:v>
      </x:c>
      <x:c r="F1354" s="20"/>
      <x:c r="G1354" s="20"/>
      <x:c r="H1354" s="20" t="str">
        <x:v>待判定</x:v>
      </x:c>
      <x:c r="I1354" s="20"/>
      <x:c r="J1354" s="20" t="str">
        <x:v>未测试</x:v>
      </x:c>
      <x:c r="K1354" s="20"/>
      <x:c r="L1354" s="20"/>
      <x:c r="M1354" s="20"/>
      <x:c r="N1354" s="20"/>
      <x:c r="O1354" s="31"/>
      <x:c r="P1354" s="20"/>
      <x:c r="Q1354" s="20"/>
      <x:c r="R1354" s="20" t="str">
        <x:v>待展开</x:v>
      </x:c>
      <x:c r="S1354" s="20"/>
      <x:c r="T1354" s="31"/>
      <x:c r="U1354" s="30" t="str">
        <x:f>IF(A1354="","缺记录编号",IF(COUNTIFS(PathRecords[记录编号],A1354)&lt;&gt;1,"记录编号重复",IF(OR(B1354="",E1354=""),"缺组合/功能",IF(COUNTIFS(Equipment[组合编号],B1354)&lt;&gt;1,"组合编号无效",IF(COUNTIFS(FunctionMatrix[编号],E1354)=0,"功能编号无效",IF(H1354="不适用",IF(J1354="已实测","适用性冲突",IF(I1354="","待补不适用依据","不适用（非实测）")),IF(J1354="阻塞",IF(I1354="","待补阻塞原因","阻塞（非实测）"),IF(J1354&lt;&gt;"已实测",IF(F1354="","待展开路径","未实测"),IF(H1354&lt;&gt;"适用","待确认适用性",IF(INDEX(Equipment[登记状态（自动）],MATCH(B1354,Equipment[组合编号],0))&lt;&gt;"已登记","待补设备组合",IF(AND(F1354&lt;&gt;"",G1354&lt;&gt;"",K1354&lt;&gt;"",L1354&lt;&gt;"",M1354&lt;&gt;"",N1354&lt;&gt;"",ISNUMBER(O1354),O1354&gt;0,P1354&lt;&gt;""),"记录齐全","待补实测记录")))))))))))</x:f>
        <x:v>待展开路径</x:v>
      </x:c>
    </x:row>
    <x:row r="1355" ht="43.5" customHeight="1">
      <x:c r="A1355" s="20" t="str">
        <x:v>REC-01346</x:v>
      </x:c>
      <x:c r="B1355" s="20" t="str">
        <x:v>P3-B3-01</x:v>
      </x:c>
      <x:c r="C1355" s="30" t="str">
        <x:f>IF(B1355="","",IF(COUNTIFS(Equipment[组合编号],B1355)&lt;&gt;1,"组合编号无效",INDEX(Equipment[PLC组],MATCH(B1355,Equipment[组合编号],0))))</x:f>
        <x:v>欧姆龙</x:v>
      </x:c>
      <x:c r="D1355" s="30" t="str">
        <x:f>IF(B1355="","",IF(COUNTIFS(Equipment[组合编号],B1355)&lt;&gt;1,"组合编号无效",INDEX(Equipment[驱动品牌],MATCH(B1355,Equipment[组合编号],0))))</x:f>
        <x:v>繁易</x:v>
      </x:c>
      <x:c r="E1355" s="20" t="str">
        <x:v>A04</x:v>
      </x:c>
      <x:c r="F1355" s="20"/>
      <x:c r="G1355" s="20"/>
      <x:c r="H1355" s="20" t="str">
        <x:v>待判定</x:v>
      </x:c>
      <x:c r="I1355" s="20"/>
      <x:c r="J1355" s="20" t="str">
        <x:v>未测试</x:v>
      </x:c>
      <x:c r="K1355" s="20"/>
      <x:c r="L1355" s="20"/>
      <x:c r="M1355" s="20"/>
      <x:c r="N1355" s="20"/>
      <x:c r="O1355" s="31"/>
      <x:c r="P1355" s="20"/>
      <x:c r="Q1355" s="20"/>
      <x:c r="R1355" s="20" t="str">
        <x:v>待展开</x:v>
      </x:c>
      <x:c r="S1355" s="20"/>
      <x:c r="T1355" s="31"/>
      <x:c r="U1355" s="30" t="str">
        <x:f>IF(A1355="","缺记录编号",IF(COUNTIFS(PathRecords[记录编号],A1355)&lt;&gt;1,"记录编号重复",IF(OR(B1355="",E1355=""),"缺组合/功能",IF(COUNTIFS(Equipment[组合编号],B1355)&lt;&gt;1,"组合编号无效",IF(COUNTIFS(FunctionMatrix[编号],E1355)=0,"功能编号无效",IF(H1355="不适用",IF(J1355="已实测","适用性冲突",IF(I1355="","待补不适用依据","不适用（非实测）")),IF(J1355="阻塞",IF(I1355="","待补阻塞原因","阻塞（非实测）"),IF(J1355&lt;&gt;"已实测",IF(F1355="","待展开路径","未实测"),IF(H1355&lt;&gt;"适用","待确认适用性",IF(INDEX(Equipment[登记状态（自动）],MATCH(B1355,Equipment[组合编号],0))&lt;&gt;"已登记","待补设备组合",IF(AND(F1355&lt;&gt;"",G1355&lt;&gt;"",K1355&lt;&gt;"",L1355&lt;&gt;"",M1355&lt;&gt;"",N1355&lt;&gt;"",ISNUMBER(O1355),O1355&gt;0,P1355&lt;&gt;""),"记录齐全","待补实测记录")))))))))))</x:f>
        <x:v>待展开路径</x:v>
      </x:c>
    </x:row>
    <x:row r="1356" ht="43.5" customHeight="1">
      <x:c r="A1356" s="20" t="str">
        <x:v>REC-01347</x:v>
      </x:c>
      <x:c r="B1356" s="20" t="str">
        <x:v>P3-B3-01</x:v>
      </x:c>
      <x:c r="C1356" s="30" t="str">
        <x:f>IF(B1356="","",IF(COUNTIFS(Equipment[组合编号],B1356)&lt;&gt;1,"组合编号无效",INDEX(Equipment[PLC组],MATCH(B1356,Equipment[组合编号],0))))</x:f>
        <x:v>欧姆龙</x:v>
      </x:c>
      <x:c r="D1356" s="30" t="str">
        <x:f>IF(B1356="","",IF(COUNTIFS(Equipment[组合编号],B1356)&lt;&gt;1,"组合编号无效",INDEX(Equipment[驱动品牌],MATCH(B1356,Equipment[组合编号],0))))</x:f>
        <x:v>繁易</x:v>
      </x:c>
      <x:c r="E1356" s="20" t="str">
        <x:v>A05</x:v>
      </x:c>
      <x:c r="F1356" s="20"/>
      <x:c r="G1356" s="20"/>
      <x:c r="H1356" s="20" t="str">
        <x:v>待判定</x:v>
      </x:c>
      <x:c r="I1356" s="20"/>
      <x:c r="J1356" s="20" t="str">
        <x:v>未测试</x:v>
      </x:c>
      <x:c r="K1356" s="20"/>
      <x:c r="L1356" s="20"/>
      <x:c r="M1356" s="20"/>
      <x:c r="N1356" s="20"/>
      <x:c r="O1356" s="31"/>
      <x:c r="P1356" s="20"/>
      <x:c r="Q1356" s="20"/>
      <x:c r="R1356" s="20" t="str">
        <x:v>待展开</x:v>
      </x:c>
      <x:c r="S1356" s="20"/>
      <x:c r="T1356" s="31"/>
      <x:c r="U1356" s="30" t="str">
        <x:f>IF(A1356="","缺记录编号",IF(COUNTIFS(PathRecords[记录编号],A1356)&lt;&gt;1,"记录编号重复",IF(OR(B1356="",E1356=""),"缺组合/功能",IF(COUNTIFS(Equipment[组合编号],B1356)&lt;&gt;1,"组合编号无效",IF(COUNTIFS(FunctionMatrix[编号],E1356)=0,"功能编号无效",IF(H1356="不适用",IF(J1356="已实测","适用性冲突",IF(I1356="","待补不适用依据","不适用（非实测）")),IF(J1356="阻塞",IF(I1356="","待补阻塞原因","阻塞（非实测）"),IF(J1356&lt;&gt;"已实测",IF(F1356="","待展开路径","未实测"),IF(H1356&lt;&gt;"适用","待确认适用性",IF(INDEX(Equipment[登记状态（自动）],MATCH(B1356,Equipment[组合编号],0))&lt;&gt;"已登记","待补设备组合",IF(AND(F1356&lt;&gt;"",G1356&lt;&gt;"",K1356&lt;&gt;"",L1356&lt;&gt;"",M1356&lt;&gt;"",N1356&lt;&gt;"",ISNUMBER(O1356),O1356&gt;0,P1356&lt;&gt;""),"记录齐全","待补实测记录")))))))))))</x:f>
        <x:v>待展开路径</x:v>
      </x:c>
    </x:row>
    <x:row r="1357" ht="43.5" customHeight="1">
      <x:c r="A1357" s="20" t="str">
        <x:v>REC-01348</x:v>
      </x:c>
      <x:c r="B1357" s="20" t="str">
        <x:v>P3-B3-01</x:v>
      </x:c>
      <x:c r="C1357" s="30" t="str">
        <x:f>IF(B1357="","",IF(COUNTIFS(Equipment[组合编号],B1357)&lt;&gt;1,"组合编号无效",INDEX(Equipment[PLC组],MATCH(B1357,Equipment[组合编号],0))))</x:f>
        <x:v>欧姆龙</x:v>
      </x:c>
      <x:c r="D1357" s="30" t="str">
        <x:f>IF(B1357="","",IF(COUNTIFS(Equipment[组合编号],B1357)&lt;&gt;1,"组合编号无效",INDEX(Equipment[驱动品牌],MATCH(B1357,Equipment[组合编号],0))))</x:f>
        <x:v>繁易</x:v>
      </x:c>
      <x:c r="E1357" s="20" t="str">
        <x:v>A06</x:v>
      </x:c>
      <x:c r="F1357" s="20"/>
      <x:c r="G1357" s="20"/>
      <x:c r="H1357" s="20" t="str">
        <x:v>待判定</x:v>
      </x:c>
      <x:c r="I1357" s="20"/>
      <x:c r="J1357" s="20" t="str">
        <x:v>未测试</x:v>
      </x:c>
      <x:c r="K1357" s="20"/>
      <x:c r="L1357" s="20"/>
      <x:c r="M1357" s="20"/>
      <x:c r="N1357" s="20"/>
      <x:c r="O1357" s="31"/>
      <x:c r="P1357" s="20"/>
      <x:c r="Q1357" s="20"/>
      <x:c r="R1357" s="20" t="str">
        <x:v>待展开</x:v>
      </x:c>
      <x:c r="S1357" s="20"/>
      <x:c r="T1357" s="31"/>
      <x:c r="U1357" s="30" t="str">
        <x:f>IF(A1357="","缺记录编号",IF(COUNTIFS(PathRecords[记录编号],A1357)&lt;&gt;1,"记录编号重复",IF(OR(B1357="",E1357=""),"缺组合/功能",IF(COUNTIFS(Equipment[组合编号],B1357)&lt;&gt;1,"组合编号无效",IF(COUNTIFS(FunctionMatrix[编号],E1357)=0,"功能编号无效",IF(H1357="不适用",IF(J1357="已实测","适用性冲突",IF(I1357="","待补不适用依据","不适用（非实测）")),IF(J1357="阻塞",IF(I1357="","待补阻塞原因","阻塞（非实测）"),IF(J1357&lt;&gt;"已实测",IF(F1357="","待展开路径","未实测"),IF(H1357&lt;&gt;"适用","待确认适用性",IF(INDEX(Equipment[登记状态（自动）],MATCH(B1357,Equipment[组合编号],0))&lt;&gt;"已登记","待补设备组合",IF(AND(F1357&lt;&gt;"",G1357&lt;&gt;"",K1357&lt;&gt;"",L1357&lt;&gt;"",M1357&lt;&gt;"",N1357&lt;&gt;"",ISNUMBER(O1357),O1357&gt;0,P1357&lt;&gt;""),"记录齐全","待补实测记录")))))))))))</x:f>
        <x:v>待展开路径</x:v>
      </x:c>
    </x:row>
    <x:row r="1358" ht="43.5" customHeight="1">
      <x:c r="A1358" s="20" t="str">
        <x:v>REC-01349</x:v>
      </x:c>
      <x:c r="B1358" s="20" t="str">
        <x:v>P3-B3-01</x:v>
      </x:c>
      <x:c r="C1358" s="30" t="str">
        <x:f>IF(B1358="","",IF(COUNTIFS(Equipment[组合编号],B1358)&lt;&gt;1,"组合编号无效",INDEX(Equipment[PLC组],MATCH(B1358,Equipment[组合编号],0))))</x:f>
        <x:v>欧姆龙</x:v>
      </x:c>
      <x:c r="D1358" s="30" t="str">
        <x:f>IF(B1358="","",IF(COUNTIFS(Equipment[组合编号],B1358)&lt;&gt;1,"组合编号无效",INDEX(Equipment[驱动品牌],MATCH(B1358,Equipment[组合编号],0))))</x:f>
        <x:v>繁易</x:v>
      </x:c>
      <x:c r="E1358" s="20" t="str">
        <x:v>A07</x:v>
      </x:c>
      <x:c r="F1358" s="20"/>
      <x:c r="G1358" s="20"/>
      <x:c r="H1358" s="20" t="str">
        <x:v>待判定</x:v>
      </x:c>
      <x:c r="I1358" s="20"/>
      <x:c r="J1358" s="20" t="str">
        <x:v>未测试</x:v>
      </x:c>
      <x:c r="K1358" s="20"/>
      <x:c r="L1358" s="20"/>
      <x:c r="M1358" s="20"/>
      <x:c r="N1358" s="20"/>
      <x:c r="O1358" s="31"/>
      <x:c r="P1358" s="20"/>
      <x:c r="Q1358" s="20"/>
      <x:c r="R1358" s="20" t="str">
        <x:v>待展开</x:v>
      </x:c>
      <x:c r="S1358" s="20"/>
      <x:c r="T1358" s="31"/>
      <x:c r="U1358" s="30" t="str">
        <x:f>IF(A1358="","缺记录编号",IF(COUNTIFS(PathRecords[记录编号],A1358)&lt;&gt;1,"记录编号重复",IF(OR(B1358="",E1358=""),"缺组合/功能",IF(COUNTIFS(Equipment[组合编号],B1358)&lt;&gt;1,"组合编号无效",IF(COUNTIFS(FunctionMatrix[编号],E1358)=0,"功能编号无效",IF(H1358="不适用",IF(J1358="已实测","适用性冲突",IF(I1358="","待补不适用依据","不适用（非实测）")),IF(J1358="阻塞",IF(I1358="","待补阻塞原因","阻塞（非实测）"),IF(J1358&lt;&gt;"已实测",IF(F1358="","待展开路径","未实测"),IF(H1358&lt;&gt;"适用","待确认适用性",IF(INDEX(Equipment[登记状态（自动）],MATCH(B1358,Equipment[组合编号],0))&lt;&gt;"已登记","待补设备组合",IF(AND(F1358&lt;&gt;"",G1358&lt;&gt;"",K1358&lt;&gt;"",L1358&lt;&gt;"",M1358&lt;&gt;"",N1358&lt;&gt;"",ISNUMBER(O1358),O1358&gt;0,P1358&lt;&gt;""),"记录齐全","待补实测记录")))))))))))</x:f>
        <x:v>待展开路径</x:v>
      </x:c>
    </x:row>
    <x:row r="1359" ht="43.5" customHeight="1">
      <x:c r="A1359" s="20" t="str">
        <x:v>REC-01350</x:v>
      </x:c>
      <x:c r="B1359" s="20" t="str">
        <x:v>P3-B3-01</x:v>
      </x:c>
      <x:c r="C1359" s="30" t="str">
        <x:f>IF(B1359="","",IF(COUNTIFS(Equipment[组合编号],B1359)&lt;&gt;1,"组合编号无效",INDEX(Equipment[PLC组],MATCH(B1359,Equipment[组合编号],0))))</x:f>
        <x:v>欧姆龙</x:v>
      </x:c>
      <x:c r="D1359" s="30" t="str">
        <x:f>IF(B1359="","",IF(COUNTIFS(Equipment[组合编号],B1359)&lt;&gt;1,"组合编号无效",INDEX(Equipment[驱动品牌],MATCH(B1359,Equipment[组合编号],0))))</x:f>
        <x:v>繁易</x:v>
      </x:c>
      <x:c r="E1359" s="20" t="str">
        <x:v>A08</x:v>
      </x:c>
      <x:c r="F1359" s="20"/>
      <x:c r="G1359" s="20"/>
      <x:c r="H1359" s="20" t="str">
        <x:v>待判定</x:v>
      </x:c>
      <x:c r="I1359" s="20"/>
      <x:c r="J1359" s="20" t="str">
        <x:v>未测试</x:v>
      </x:c>
      <x:c r="K1359" s="20"/>
      <x:c r="L1359" s="20"/>
      <x:c r="M1359" s="20"/>
      <x:c r="N1359" s="20"/>
      <x:c r="O1359" s="31"/>
      <x:c r="P1359" s="20"/>
      <x:c r="Q1359" s="20"/>
      <x:c r="R1359" s="20" t="str">
        <x:v>待展开</x:v>
      </x:c>
      <x:c r="S1359" s="20"/>
      <x:c r="T1359" s="31"/>
      <x:c r="U1359" s="30" t="str">
        <x:f>IF(A1359="","缺记录编号",IF(COUNTIFS(PathRecords[记录编号],A1359)&lt;&gt;1,"记录编号重复",IF(OR(B1359="",E1359=""),"缺组合/功能",IF(COUNTIFS(Equipment[组合编号],B1359)&lt;&gt;1,"组合编号无效",IF(COUNTIFS(FunctionMatrix[编号],E1359)=0,"功能编号无效",IF(H1359="不适用",IF(J1359="已实测","适用性冲突",IF(I1359="","待补不适用依据","不适用（非实测）")),IF(J1359="阻塞",IF(I1359="","待补阻塞原因","阻塞（非实测）"),IF(J1359&lt;&gt;"已实测",IF(F1359="","待展开路径","未实测"),IF(H1359&lt;&gt;"适用","待确认适用性",IF(INDEX(Equipment[登记状态（自动）],MATCH(B1359,Equipment[组合编号],0))&lt;&gt;"已登记","待补设备组合",IF(AND(F1359&lt;&gt;"",G1359&lt;&gt;"",K1359&lt;&gt;"",L1359&lt;&gt;"",M1359&lt;&gt;"",N1359&lt;&gt;"",ISNUMBER(O1359),O1359&gt;0,P1359&lt;&gt;""),"记录齐全","待补实测记录")))))))))))</x:f>
        <x:v>待展开路径</x:v>
      </x:c>
    </x:row>
    <x:row r="1360" ht="43.5" customHeight="1">
      <x:c r="A1360" s="20" t="str">
        <x:v>REC-01351</x:v>
      </x:c>
      <x:c r="B1360" s="20" t="str">
        <x:v>P3-B3-01</x:v>
      </x:c>
      <x:c r="C1360" s="30" t="str">
        <x:f>IF(B1360="","",IF(COUNTIFS(Equipment[组合编号],B1360)&lt;&gt;1,"组合编号无效",INDEX(Equipment[PLC组],MATCH(B1360,Equipment[组合编号],0))))</x:f>
        <x:v>欧姆龙</x:v>
      </x:c>
      <x:c r="D1360" s="30" t="str">
        <x:f>IF(B1360="","",IF(COUNTIFS(Equipment[组合编号],B1360)&lt;&gt;1,"组合编号无效",INDEX(Equipment[驱动品牌],MATCH(B1360,Equipment[组合编号],0))))</x:f>
        <x:v>繁易</x:v>
      </x:c>
      <x:c r="E1360" s="20" t="str">
        <x:v>A09</x:v>
      </x:c>
      <x:c r="F1360" s="20"/>
      <x:c r="G1360" s="20"/>
      <x:c r="H1360" s="20" t="str">
        <x:v>待判定</x:v>
      </x:c>
      <x:c r="I1360" s="20"/>
      <x:c r="J1360" s="20" t="str">
        <x:v>未测试</x:v>
      </x:c>
      <x:c r="K1360" s="20"/>
      <x:c r="L1360" s="20"/>
      <x:c r="M1360" s="20"/>
      <x:c r="N1360" s="20"/>
      <x:c r="O1360" s="31"/>
      <x:c r="P1360" s="20"/>
      <x:c r="Q1360" s="20"/>
      <x:c r="R1360" s="20" t="str">
        <x:v>待展开</x:v>
      </x:c>
      <x:c r="S1360" s="20"/>
      <x:c r="T1360" s="31"/>
      <x:c r="U1360" s="30" t="str">
        <x:f>IF(A1360="","缺记录编号",IF(COUNTIFS(PathRecords[记录编号],A1360)&lt;&gt;1,"记录编号重复",IF(OR(B1360="",E1360=""),"缺组合/功能",IF(COUNTIFS(Equipment[组合编号],B1360)&lt;&gt;1,"组合编号无效",IF(COUNTIFS(FunctionMatrix[编号],E1360)=0,"功能编号无效",IF(H1360="不适用",IF(J1360="已实测","适用性冲突",IF(I1360="","待补不适用依据","不适用（非实测）")),IF(J1360="阻塞",IF(I1360="","待补阻塞原因","阻塞（非实测）"),IF(J1360&lt;&gt;"已实测",IF(F1360="","待展开路径","未实测"),IF(H1360&lt;&gt;"适用","待确认适用性",IF(INDEX(Equipment[登记状态（自动）],MATCH(B1360,Equipment[组合编号],0))&lt;&gt;"已登记","待补设备组合",IF(AND(F1360&lt;&gt;"",G1360&lt;&gt;"",K1360&lt;&gt;"",L1360&lt;&gt;"",M1360&lt;&gt;"",N1360&lt;&gt;"",ISNUMBER(O1360),O1360&gt;0,P1360&lt;&gt;""),"记录齐全","待补实测记录")))))))))))</x:f>
        <x:v>待展开路径</x:v>
      </x:c>
    </x:row>
    <x:row r="1361" ht="43.5" customHeight="1">
      <x:c r="A1361" s="20" t="str">
        <x:v>REC-01352</x:v>
      </x:c>
      <x:c r="B1361" s="20" t="str">
        <x:v>P3-B3-01</x:v>
      </x:c>
      <x:c r="C1361" s="30" t="str">
        <x:f>IF(B1361="","",IF(COUNTIFS(Equipment[组合编号],B1361)&lt;&gt;1,"组合编号无效",INDEX(Equipment[PLC组],MATCH(B1361,Equipment[组合编号],0))))</x:f>
        <x:v>欧姆龙</x:v>
      </x:c>
      <x:c r="D1361" s="30" t="str">
        <x:f>IF(B1361="","",IF(COUNTIFS(Equipment[组合编号],B1361)&lt;&gt;1,"组合编号无效",INDEX(Equipment[驱动品牌],MATCH(B1361,Equipment[组合编号],0))))</x:f>
        <x:v>繁易</x:v>
      </x:c>
      <x:c r="E1361" s="20" t="str">
        <x:v>C01</x:v>
      </x:c>
      <x:c r="F1361" s="20"/>
      <x:c r="G1361" s="20"/>
      <x:c r="H1361" s="20" t="str">
        <x:v>待判定</x:v>
      </x:c>
      <x:c r="I1361" s="20"/>
      <x:c r="J1361" s="20" t="str">
        <x:v>未测试</x:v>
      </x:c>
      <x:c r="K1361" s="20"/>
      <x:c r="L1361" s="20"/>
      <x:c r="M1361" s="20"/>
      <x:c r="N1361" s="20"/>
      <x:c r="O1361" s="31"/>
      <x:c r="P1361" s="20"/>
      <x:c r="Q1361" s="20"/>
      <x:c r="R1361" s="20" t="str">
        <x:v>待展开</x:v>
      </x:c>
      <x:c r="S1361" s="20"/>
      <x:c r="T1361" s="31"/>
      <x:c r="U1361" s="30" t="str">
        <x:f>IF(A1361="","缺记录编号",IF(COUNTIFS(PathRecords[记录编号],A1361)&lt;&gt;1,"记录编号重复",IF(OR(B1361="",E1361=""),"缺组合/功能",IF(COUNTIFS(Equipment[组合编号],B1361)&lt;&gt;1,"组合编号无效",IF(COUNTIFS(FunctionMatrix[编号],E1361)=0,"功能编号无效",IF(H1361="不适用",IF(J1361="已实测","适用性冲突",IF(I1361="","待补不适用依据","不适用（非实测）")),IF(J1361="阻塞",IF(I1361="","待补阻塞原因","阻塞（非实测）"),IF(J1361&lt;&gt;"已实测",IF(F1361="","待展开路径","未实测"),IF(H1361&lt;&gt;"适用","待确认适用性",IF(INDEX(Equipment[登记状态（自动）],MATCH(B1361,Equipment[组合编号],0))&lt;&gt;"已登记","待补设备组合",IF(AND(F1361&lt;&gt;"",G1361&lt;&gt;"",K1361&lt;&gt;"",L1361&lt;&gt;"",M1361&lt;&gt;"",N1361&lt;&gt;"",ISNUMBER(O1361),O1361&gt;0,P1361&lt;&gt;""),"记录齐全","待补实测记录")))))))))))</x:f>
        <x:v>待展开路径</x:v>
      </x:c>
    </x:row>
    <x:row r="1362" ht="43.5" customHeight="1">
      <x:c r="A1362" s="20" t="str">
        <x:v>REC-01353</x:v>
      </x:c>
      <x:c r="B1362" s="20" t="str">
        <x:v>P3-B3-01</x:v>
      </x:c>
      <x:c r="C1362" s="30" t="str">
        <x:f>IF(B1362="","",IF(COUNTIFS(Equipment[组合编号],B1362)&lt;&gt;1,"组合编号无效",INDEX(Equipment[PLC组],MATCH(B1362,Equipment[组合编号],0))))</x:f>
        <x:v>欧姆龙</x:v>
      </x:c>
      <x:c r="D1362" s="30" t="str">
        <x:f>IF(B1362="","",IF(COUNTIFS(Equipment[组合编号],B1362)&lt;&gt;1,"组合编号无效",INDEX(Equipment[驱动品牌],MATCH(B1362,Equipment[组合编号],0))))</x:f>
        <x:v>繁易</x:v>
      </x:c>
      <x:c r="E1362" s="20" t="str">
        <x:v>C02</x:v>
      </x:c>
      <x:c r="F1362" s="20"/>
      <x:c r="G1362" s="20"/>
      <x:c r="H1362" s="20" t="str">
        <x:v>待判定</x:v>
      </x:c>
      <x:c r="I1362" s="20"/>
      <x:c r="J1362" s="20" t="str">
        <x:v>未测试</x:v>
      </x:c>
      <x:c r="K1362" s="20"/>
      <x:c r="L1362" s="20"/>
      <x:c r="M1362" s="20"/>
      <x:c r="N1362" s="20"/>
      <x:c r="O1362" s="31"/>
      <x:c r="P1362" s="20"/>
      <x:c r="Q1362" s="20"/>
      <x:c r="R1362" s="20" t="str">
        <x:v>待展开</x:v>
      </x:c>
      <x:c r="S1362" s="20"/>
      <x:c r="T1362" s="31"/>
      <x:c r="U1362" s="30" t="str">
        <x:f>IF(A1362="","缺记录编号",IF(COUNTIFS(PathRecords[记录编号],A1362)&lt;&gt;1,"记录编号重复",IF(OR(B1362="",E1362=""),"缺组合/功能",IF(COUNTIFS(Equipment[组合编号],B1362)&lt;&gt;1,"组合编号无效",IF(COUNTIFS(FunctionMatrix[编号],E1362)=0,"功能编号无效",IF(H1362="不适用",IF(J1362="已实测","适用性冲突",IF(I1362="","待补不适用依据","不适用（非实测）")),IF(J1362="阻塞",IF(I1362="","待补阻塞原因","阻塞（非实测）"),IF(J1362&lt;&gt;"已实测",IF(F1362="","待展开路径","未实测"),IF(H1362&lt;&gt;"适用","待确认适用性",IF(INDEX(Equipment[登记状态（自动）],MATCH(B1362,Equipment[组合编号],0))&lt;&gt;"已登记","待补设备组合",IF(AND(F1362&lt;&gt;"",G1362&lt;&gt;"",K1362&lt;&gt;"",L1362&lt;&gt;"",M1362&lt;&gt;"",N1362&lt;&gt;"",ISNUMBER(O1362),O1362&gt;0,P1362&lt;&gt;""),"记录齐全","待补实测记录")))))))))))</x:f>
        <x:v>待展开路径</x:v>
      </x:c>
    </x:row>
    <x:row r="1363" ht="43.5" customHeight="1">
      <x:c r="A1363" s="20" t="str">
        <x:v>REC-01354</x:v>
      </x:c>
      <x:c r="B1363" s="20" t="str">
        <x:v>P3-B3-01</x:v>
      </x:c>
      <x:c r="C1363" s="30" t="str">
        <x:f>IF(B1363="","",IF(COUNTIFS(Equipment[组合编号],B1363)&lt;&gt;1,"组合编号无效",INDEX(Equipment[PLC组],MATCH(B1363,Equipment[组合编号],0))))</x:f>
        <x:v>欧姆龙</x:v>
      </x:c>
      <x:c r="D1363" s="30" t="str">
        <x:f>IF(B1363="","",IF(COUNTIFS(Equipment[组合编号],B1363)&lt;&gt;1,"组合编号无效",INDEX(Equipment[驱动品牌],MATCH(B1363,Equipment[组合编号],0))))</x:f>
        <x:v>繁易</x:v>
      </x:c>
      <x:c r="E1363" s="20" t="str">
        <x:v>C03</x:v>
      </x:c>
      <x:c r="F1363" s="20"/>
      <x:c r="G1363" s="20"/>
      <x:c r="H1363" s="20" t="str">
        <x:v>待判定</x:v>
      </x:c>
      <x:c r="I1363" s="20"/>
      <x:c r="J1363" s="20" t="str">
        <x:v>未测试</x:v>
      </x:c>
      <x:c r="K1363" s="20"/>
      <x:c r="L1363" s="20"/>
      <x:c r="M1363" s="20"/>
      <x:c r="N1363" s="20"/>
      <x:c r="O1363" s="31"/>
      <x:c r="P1363" s="20"/>
      <x:c r="Q1363" s="20"/>
      <x:c r="R1363" s="20" t="str">
        <x:v>待展开</x:v>
      </x:c>
      <x:c r="S1363" s="20"/>
      <x:c r="T1363" s="31"/>
      <x:c r="U1363" s="30" t="str">
        <x:f>IF(A1363="","缺记录编号",IF(COUNTIFS(PathRecords[记录编号],A1363)&lt;&gt;1,"记录编号重复",IF(OR(B1363="",E1363=""),"缺组合/功能",IF(COUNTIFS(Equipment[组合编号],B1363)&lt;&gt;1,"组合编号无效",IF(COUNTIFS(FunctionMatrix[编号],E1363)=0,"功能编号无效",IF(H1363="不适用",IF(J1363="已实测","适用性冲突",IF(I1363="","待补不适用依据","不适用（非实测）")),IF(J1363="阻塞",IF(I1363="","待补阻塞原因","阻塞（非实测）"),IF(J1363&lt;&gt;"已实测",IF(F1363="","待展开路径","未实测"),IF(H1363&lt;&gt;"适用","待确认适用性",IF(INDEX(Equipment[登记状态（自动）],MATCH(B1363,Equipment[组合编号],0))&lt;&gt;"已登记","待补设备组合",IF(AND(F1363&lt;&gt;"",G1363&lt;&gt;"",K1363&lt;&gt;"",L1363&lt;&gt;"",M1363&lt;&gt;"",N1363&lt;&gt;"",ISNUMBER(O1363),O1363&gt;0,P1363&lt;&gt;""),"记录齐全","待补实测记录")))))))))))</x:f>
        <x:v>待展开路径</x:v>
      </x:c>
    </x:row>
    <x:row r="1364" ht="43.5" customHeight="1">
      <x:c r="A1364" s="20" t="str">
        <x:v>REC-01355</x:v>
      </x:c>
      <x:c r="B1364" s="20" t="str">
        <x:v>P3-B3-01</x:v>
      </x:c>
      <x:c r="C1364" s="30" t="str">
        <x:f>IF(B1364="","",IF(COUNTIFS(Equipment[组合编号],B1364)&lt;&gt;1,"组合编号无效",INDEX(Equipment[PLC组],MATCH(B1364,Equipment[组合编号],0))))</x:f>
        <x:v>欧姆龙</x:v>
      </x:c>
      <x:c r="D1364" s="30" t="str">
        <x:f>IF(B1364="","",IF(COUNTIFS(Equipment[组合编号],B1364)&lt;&gt;1,"组合编号无效",INDEX(Equipment[驱动品牌],MATCH(B1364,Equipment[组合编号],0))))</x:f>
        <x:v>繁易</x:v>
      </x:c>
      <x:c r="E1364" s="20" t="str">
        <x:v>C04</x:v>
      </x:c>
      <x:c r="F1364" s="20"/>
      <x:c r="G1364" s="20"/>
      <x:c r="H1364" s="20" t="str">
        <x:v>待判定</x:v>
      </x:c>
      <x:c r="I1364" s="20"/>
      <x:c r="J1364" s="20" t="str">
        <x:v>未测试</x:v>
      </x:c>
      <x:c r="K1364" s="20"/>
      <x:c r="L1364" s="20"/>
      <x:c r="M1364" s="20"/>
      <x:c r="N1364" s="20"/>
      <x:c r="O1364" s="31"/>
      <x:c r="P1364" s="20"/>
      <x:c r="Q1364" s="20"/>
      <x:c r="R1364" s="20" t="str">
        <x:v>待展开</x:v>
      </x:c>
      <x:c r="S1364" s="20"/>
      <x:c r="T1364" s="31"/>
      <x:c r="U1364" s="30" t="str">
        <x:f>IF(A1364="","缺记录编号",IF(COUNTIFS(PathRecords[记录编号],A1364)&lt;&gt;1,"记录编号重复",IF(OR(B1364="",E1364=""),"缺组合/功能",IF(COUNTIFS(Equipment[组合编号],B1364)&lt;&gt;1,"组合编号无效",IF(COUNTIFS(FunctionMatrix[编号],E1364)=0,"功能编号无效",IF(H1364="不适用",IF(J1364="已实测","适用性冲突",IF(I1364="","待补不适用依据","不适用（非实测）")),IF(J1364="阻塞",IF(I1364="","待补阻塞原因","阻塞（非实测）"),IF(J1364&lt;&gt;"已实测",IF(F1364="","待展开路径","未实测"),IF(H1364&lt;&gt;"适用","待确认适用性",IF(INDEX(Equipment[登记状态（自动）],MATCH(B1364,Equipment[组合编号],0))&lt;&gt;"已登记","待补设备组合",IF(AND(F1364&lt;&gt;"",G1364&lt;&gt;"",K1364&lt;&gt;"",L1364&lt;&gt;"",M1364&lt;&gt;"",N1364&lt;&gt;"",ISNUMBER(O1364),O1364&gt;0,P1364&lt;&gt;""),"记录齐全","待补实测记录")))))))))))</x:f>
        <x:v>待展开路径</x:v>
      </x:c>
    </x:row>
    <x:row r="1365" ht="43.5" customHeight="1">
      <x:c r="A1365" s="20" t="str">
        <x:v>REC-01356</x:v>
      </x:c>
      <x:c r="B1365" s="20" t="str">
        <x:v>P3-B3-01</x:v>
      </x:c>
      <x:c r="C1365" s="30" t="str">
        <x:f>IF(B1365="","",IF(COUNTIFS(Equipment[组合编号],B1365)&lt;&gt;1,"组合编号无效",INDEX(Equipment[PLC组],MATCH(B1365,Equipment[组合编号],0))))</x:f>
        <x:v>欧姆龙</x:v>
      </x:c>
      <x:c r="D1365" s="30" t="str">
        <x:f>IF(B1365="","",IF(COUNTIFS(Equipment[组合编号],B1365)&lt;&gt;1,"组合编号无效",INDEX(Equipment[驱动品牌],MATCH(B1365,Equipment[组合编号],0))))</x:f>
        <x:v>繁易</x:v>
      </x:c>
      <x:c r="E1365" s="20" t="str">
        <x:v>C05</x:v>
      </x:c>
      <x:c r="F1365" s="20"/>
      <x:c r="G1365" s="20"/>
      <x:c r="H1365" s="20" t="str">
        <x:v>待判定</x:v>
      </x:c>
      <x:c r="I1365" s="20"/>
      <x:c r="J1365" s="20" t="str">
        <x:v>未测试</x:v>
      </x:c>
      <x:c r="K1365" s="20"/>
      <x:c r="L1365" s="20"/>
      <x:c r="M1365" s="20"/>
      <x:c r="N1365" s="20"/>
      <x:c r="O1365" s="31"/>
      <x:c r="P1365" s="20"/>
      <x:c r="Q1365" s="20"/>
      <x:c r="R1365" s="20" t="str">
        <x:v>待展开</x:v>
      </x:c>
      <x:c r="S1365" s="20"/>
      <x:c r="T1365" s="31"/>
      <x:c r="U1365" s="30" t="str">
        <x:f>IF(A1365="","缺记录编号",IF(COUNTIFS(PathRecords[记录编号],A1365)&lt;&gt;1,"记录编号重复",IF(OR(B1365="",E1365=""),"缺组合/功能",IF(COUNTIFS(Equipment[组合编号],B1365)&lt;&gt;1,"组合编号无效",IF(COUNTIFS(FunctionMatrix[编号],E1365)=0,"功能编号无效",IF(H1365="不适用",IF(J1365="已实测","适用性冲突",IF(I1365="","待补不适用依据","不适用（非实测）")),IF(J1365="阻塞",IF(I1365="","待补阻塞原因","阻塞（非实测）"),IF(J1365&lt;&gt;"已实测",IF(F1365="","待展开路径","未实测"),IF(H1365&lt;&gt;"适用","待确认适用性",IF(INDEX(Equipment[登记状态（自动）],MATCH(B1365,Equipment[组合编号],0))&lt;&gt;"已登记","待补设备组合",IF(AND(F1365&lt;&gt;"",G1365&lt;&gt;"",K1365&lt;&gt;"",L1365&lt;&gt;"",M1365&lt;&gt;"",N1365&lt;&gt;"",ISNUMBER(O1365),O1365&gt;0,P1365&lt;&gt;""),"记录齐全","待补实测记录")))))))))))</x:f>
        <x:v>待展开路径</x:v>
      </x:c>
    </x:row>
    <x:row r="1366" ht="43.5" customHeight="1">
      <x:c r="A1366" s="20" t="str">
        <x:v>REC-01357</x:v>
      </x:c>
      <x:c r="B1366" s="20" t="str">
        <x:v>P3-B3-01</x:v>
      </x:c>
      <x:c r="C1366" s="30" t="str">
        <x:f>IF(B1366="","",IF(COUNTIFS(Equipment[组合编号],B1366)&lt;&gt;1,"组合编号无效",INDEX(Equipment[PLC组],MATCH(B1366,Equipment[组合编号],0))))</x:f>
        <x:v>欧姆龙</x:v>
      </x:c>
      <x:c r="D1366" s="30" t="str">
        <x:f>IF(B1366="","",IF(COUNTIFS(Equipment[组合编号],B1366)&lt;&gt;1,"组合编号无效",INDEX(Equipment[驱动品牌],MATCH(B1366,Equipment[组合编号],0))))</x:f>
        <x:v>繁易</x:v>
      </x:c>
      <x:c r="E1366" s="20" t="str">
        <x:v>C06</x:v>
      </x:c>
      <x:c r="F1366" s="20"/>
      <x:c r="G1366" s="20"/>
      <x:c r="H1366" s="20" t="str">
        <x:v>待判定</x:v>
      </x:c>
      <x:c r="I1366" s="20"/>
      <x:c r="J1366" s="20" t="str">
        <x:v>未测试</x:v>
      </x:c>
      <x:c r="K1366" s="20"/>
      <x:c r="L1366" s="20"/>
      <x:c r="M1366" s="20"/>
      <x:c r="N1366" s="20"/>
      <x:c r="O1366" s="31"/>
      <x:c r="P1366" s="20"/>
      <x:c r="Q1366" s="20"/>
      <x:c r="R1366" s="20" t="str">
        <x:v>待展开</x:v>
      </x:c>
      <x:c r="S1366" s="20"/>
      <x:c r="T1366" s="31"/>
      <x:c r="U1366" s="30" t="str">
        <x:f>IF(A1366="","缺记录编号",IF(COUNTIFS(PathRecords[记录编号],A1366)&lt;&gt;1,"记录编号重复",IF(OR(B1366="",E1366=""),"缺组合/功能",IF(COUNTIFS(Equipment[组合编号],B1366)&lt;&gt;1,"组合编号无效",IF(COUNTIFS(FunctionMatrix[编号],E1366)=0,"功能编号无效",IF(H1366="不适用",IF(J1366="已实测","适用性冲突",IF(I1366="","待补不适用依据","不适用（非实测）")),IF(J1366="阻塞",IF(I1366="","待补阻塞原因","阻塞（非实测）"),IF(J1366&lt;&gt;"已实测",IF(F1366="","待展开路径","未实测"),IF(H1366&lt;&gt;"适用","待确认适用性",IF(INDEX(Equipment[登记状态（自动）],MATCH(B1366,Equipment[组合编号],0))&lt;&gt;"已登记","待补设备组合",IF(AND(F1366&lt;&gt;"",G1366&lt;&gt;"",K1366&lt;&gt;"",L1366&lt;&gt;"",M1366&lt;&gt;"",N1366&lt;&gt;"",ISNUMBER(O1366),O1366&gt;0,P1366&lt;&gt;""),"记录齐全","待补实测记录")))))))))))</x:f>
        <x:v>待展开路径</x:v>
      </x:c>
    </x:row>
    <x:row r="1367" ht="43.5" customHeight="1">
      <x:c r="A1367" s="20" t="str">
        <x:v>REC-01358</x:v>
      </x:c>
      <x:c r="B1367" s="20" t="str">
        <x:v>P3-B3-01</x:v>
      </x:c>
      <x:c r="C1367" s="30" t="str">
        <x:f>IF(B1367="","",IF(COUNTIFS(Equipment[组合编号],B1367)&lt;&gt;1,"组合编号无效",INDEX(Equipment[PLC组],MATCH(B1367,Equipment[组合编号],0))))</x:f>
        <x:v>欧姆龙</x:v>
      </x:c>
      <x:c r="D1367" s="30" t="str">
        <x:f>IF(B1367="","",IF(COUNTIFS(Equipment[组合编号],B1367)&lt;&gt;1,"组合编号无效",INDEX(Equipment[驱动品牌],MATCH(B1367,Equipment[组合编号],0))))</x:f>
        <x:v>繁易</x:v>
      </x:c>
      <x:c r="E1367" s="20" t="str">
        <x:v>C07</x:v>
      </x:c>
      <x:c r="F1367" s="20"/>
      <x:c r="G1367" s="20"/>
      <x:c r="H1367" s="20" t="str">
        <x:v>待判定</x:v>
      </x:c>
      <x:c r="I1367" s="20"/>
      <x:c r="J1367" s="20" t="str">
        <x:v>未测试</x:v>
      </x:c>
      <x:c r="K1367" s="20"/>
      <x:c r="L1367" s="20"/>
      <x:c r="M1367" s="20"/>
      <x:c r="N1367" s="20"/>
      <x:c r="O1367" s="31"/>
      <x:c r="P1367" s="20"/>
      <x:c r="Q1367" s="20"/>
      <x:c r="R1367" s="20" t="str">
        <x:v>待展开</x:v>
      </x:c>
      <x:c r="S1367" s="20"/>
      <x:c r="T1367" s="31"/>
      <x:c r="U1367" s="30" t="str">
        <x:f>IF(A1367="","缺记录编号",IF(COUNTIFS(PathRecords[记录编号],A1367)&lt;&gt;1,"记录编号重复",IF(OR(B1367="",E1367=""),"缺组合/功能",IF(COUNTIFS(Equipment[组合编号],B1367)&lt;&gt;1,"组合编号无效",IF(COUNTIFS(FunctionMatrix[编号],E1367)=0,"功能编号无效",IF(H1367="不适用",IF(J1367="已实测","适用性冲突",IF(I1367="","待补不适用依据","不适用（非实测）")),IF(J1367="阻塞",IF(I1367="","待补阻塞原因","阻塞（非实测）"),IF(J1367&lt;&gt;"已实测",IF(F1367="","待展开路径","未实测"),IF(H1367&lt;&gt;"适用","待确认适用性",IF(INDEX(Equipment[登记状态（自动）],MATCH(B1367,Equipment[组合编号],0))&lt;&gt;"已登记","待补设备组合",IF(AND(F1367&lt;&gt;"",G1367&lt;&gt;"",K1367&lt;&gt;"",L1367&lt;&gt;"",M1367&lt;&gt;"",N1367&lt;&gt;"",ISNUMBER(O1367),O1367&gt;0,P1367&lt;&gt;""),"记录齐全","待补实测记录")))))))))))</x:f>
        <x:v>待展开路径</x:v>
      </x:c>
    </x:row>
    <x:row r="1368" ht="43.5" customHeight="1">
      <x:c r="A1368" s="20" t="str">
        <x:v>REC-01359</x:v>
      </x:c>
      <x:c r="B1368" s="20" t="str">
        <x:v>P3-B3-01</x:v>
      </x:c>
      <x:c r="C1368" s="30" t="str">
        <x:f>IF(B1368="","",IF(COUNTIFS(Equipment[组合编号],B1368)&lt;&gt;1,"组合编号无效",INDEX(Equipment[PLC组],MATCH(B1368,Equipment[组合编号],0))))</x:f>
        <x:v>欧姆龙</x:v>
      </x:c>
      <x:c r="D1368" s="30" t="str">
        <x:f>IF(B1368="","",IF(COUNTIFS(Equipment[组合编号],B1368)&lt;&gt;1,"组合编号无效",INDEX(Equipment[驱动品牌],MATCH(B1368,Equipment[组合编号],0))))</x:f>
        <x:v>繁易</x:v>
      </x:c>
      <x:c r="E1368" s="20" t="str">
        <x:v>C08</x:v>
      </x:c>
      <x:c r="F1368" s="20"/>
      <x:c r="G1368" s="20"/>
      <x:c r="H1368" s="20" t="str">
        <x:v>待判定</x:v>
      </x:c>
      <x:c r="I1368" s="20"/>
      <x:c r="J1368" s="20" t="str">
        <x:v>未测试</x:v>
      </x:c>
      <x:c r="K1368" s="20"/>
      <x:c r="L1368" s="20"/>
      <x:c r="M1368" s="20"/>
      <x:c r="N1368" s="20"/>
      <x:c r="O1368" s="31"/>
      <x:c r="P1368" s="20"/>
      <x:c r="Q1368" s="20"/>
      <x:c r="R1368" s="20" t="str">
        <x:v>待展开</x:v>
      </x:c>
      <x:c r="S1368" s="20"/>
      <x:c r="T1368" s="31"/>
      <x:c r="U1368" s="30" t="str">
        <x:f>IF(A1368="","缺记录编号",IF(COUNTIFS(PathRecords[记录编号],A1368)&lt;&gt;1,"记录编号重复",IF(OR(B1368="",E1368=""),"缺组合/功能",IF(COUNTIFS(Equipment[组合编号],B1368)&lt;&gt;1,"组合编号无效",IF(COUNTIFS(FunctionMatrix[编号],E1368)=0,"功能编号无效",IF(H1368="不适用",IF(J1368="已实测","适用性冲突",IF(I1368="","待补不适用依据","不适用（非实测）")),IF(J1368="阻塞",IF(I1368="","待补阻塞原因","阻塞（非实测）"),IF(J1368&lt;&gt;"已实测",IF(F1368="","待展开路径","未实测"),IF(H1368&lt;&gt;"适用","待确认适用性",IF(INDEX(Equipment[登记状态（自动）],MATCH(B1368,Equipment[组合编号],0))&lt;&gt;"已登记","待补设备组合",IF(AND(F1368&lt;&gt;"",G1368&lt;&gt;"",K1368&lt;&gt;"",L1368&lt;&gt;"",M1368&lt;&gt;"",N1368&lt;&gt;"",ISNUMBER(O1368),O1368&gt;0,P1368&lt;&gt;""),"记录齐全","待补实测记录")))))))))))</x:f>
        <x:v>待展开路径</x:v>
      </x:c>
    </x:row>
    <x:row r="1369" ht="43.5" customHeight="1">
      <x:c r="A1369" s="20" t="str">
        <x:v>REC-01360</x:v>
      </x:c>
      <x:c r="B1369" s="20" t="str">
        <x:v>P3-B3-01</x:v>
      </x:c>
      <x:c r="C1369" s="30" t="str">
        <x:f>IF(B1369="","",IF(COUNTIFS(Equipment[组合编号],B1369)&lt;&gt;1,"组合编号无效",INDEX(Equipment[PLC组],MATCH(B1369,Equipment[组合编号],0))))</x:f>
        <x:v>欧姆龙</x:v>
      </x:c>
      <x:c r="D1369" s="30" t="str">
        <x:f>IF(B1369="","",IF(COUNTIFS(Equipment[组合编号],B1369)&lt;&gt;1,"组合编号无效",INDEX(Equipment[驱动品牌],MATCH(B1369,Equipment[组合编号],0))))</x:f>
        <x:v>繁易</x:v>
      </x:c>
      <x:c r="E1369" s="20" t="str">
        <x:v>C09</x:v>
      </x:c>
      <x:c r="F1369" s="20"/>
      <x:c r="G1369" s="20"/>
      <x:c r="H1369" s="20" t="str">
        <x:v>待判定</x:v>
      </x:c>
      <x:c r="I1369" s="20"/>
      <x:c r="J1369" s="20" t="str">
        <x:v>未测试</x:v>
      </x:c>
      <x:c r="K1369" s="20"/>
      <x:c r="L1369" s="20"/>
      <x:c r="M1369" s="20"/>
      <x:c r="N1369" s="20"/>
      <x:c r="O1369" s="31"/>
      <x:c r="P1369" s="20"/>
      <x:c r="Q1369" s="20"/>
      <x:c r="R1369" s="20" t="str">
        <x:v>待展开</x:v>
      </x:c>
      <x:c r="S1369" s="20"/>
      <x:c r="T1369" s="31"/>
      <x:c r="U1369" s="30" t="str">
        <x:f>IF(A1369="","缺记录编号",IF(COUNTIFS(PathRecords[记录编号],A1369)&lt;&gt;1,"记录编号重复",IF(OR(B1369="",E1369=""),"缺组合/功能",IF(COUNTIFS(Equipment[组合编号],B1369)&lt;&gt;1,"组合编号无效",IF(COUNTIFS(FunctionMatrix[编号],E1369)=0,"功能编号无效",IF(H1369="不适用",IF(J1369="已实测","适用性冲突",IF(I1369="","待补不适用依据","不适用（非实测）")),IF(J1369="阻塞",IF(I1369="","待补阻塞原因","阻塞（非实测）"),IF(J1369&lt;&gt;"已实测",IF(F1369="","待展开路径","未实测"),IF(H1369&lt;&gt;"适用","待确认适用性",IF(INDEX(Equipment[登记状态（自动）],MATCH(B1369,Equipment[组合编号],0))&lt;&gt;"已登记","待补设备组合",IF(AND(F1369&lt;&gt;"",G1369&lt;&gt;"",K1369&lt;&gt;"",L1369&lt;&gt;"",M1369&lt;&gt;"",N1369&lt;&gt;"",ISNUMBER(O1369),O1369&gt;0,P1369&lt;&gt;""),"记录齐全","待补实测记录")))))))))))</x:f>
        <x:v>待展开路径</x:v>
      </x:c>
    </x:row>
    <x:row r="1370" ht="43.5" customHeight="1">
      <x:c r="A1370" s="20" t="str">
        <x:v>REC-01361</x:v>
      </x:c>
      <x:c r="B1370" s="20" t="str">
        <x:v>P3-B3-01</x:v>
      </x:c>
      <x:c r="C1370" s="30" t="str">
        <x:f>IF(B1370="","",IF(COUNTIFS(Equipment[组合编号],B1370)&lt;&gt;1,"组合编号无效",INDEX(Equipment[PLC组],MATCH(B1370,Equipment[组合编号],0))))</x:f>
        <x:v>欧姆龙</x:v>
      </x:c>
      <x:c r="D1370" s="30" t="str">
        <x:f>IF(B1370="","",IF(COUNTIFS(Equipment[组合编号],B1370)&lt;&gt;1,"组合编号无效",INDEX(Equipment[驱动品牌],MATCH(B1370,Equipment[组合编号],0))))</x:f>
        <x:v>繁易</x:v>
      </x:c>
      <x:c r="E1370" s="20" t="str">
        <x:v>C10</x:v>
      </x:c>
      <x:c r="F1370" s="20"/>
      <x:c r="G1370" s="20"/>
      <x:c r="H1370" s="20" t="str">
        <x:v>待判定</x:v>
      </x:c>
      <x:c r="I1370" s="20"/>
      <x:c r="J1370" s="20" t="str">
        <x:v>未测试</x:v>
      </x:c>
      <x:c r="K1370" s="20"/>
      <x:c r="L1370" s="20"/>
      <x:c r="M1370" s="20"/>
      <x:c r="N1370" s="20"/>
      <x:c r="O1370" s="31"/>
      <x:c r="P1370" s="20"/>
      <x:c r="Q1370" s="20"/>
      <x:c r="R1370" s="20" t="str">
        <x:v>待展开</x:v>
      </x:c>
      <x:c r="S1370" s="20"/>
      <x:c r="T1370" s="31"/>
      <x:c r="U1370" s="30" t="str">
        <x:f>IF(A1370="","缺记录编号",IF(COUNTIFS(PathRecords[记录编号],A1370)&lt;&gt;1,"记录编号重复",IF(OR(B1370="",E1370=""),"缺组合/功能",IF(COUNTIFS(Equipment[组合编号],B1370)&lt;&gt;1,"组合编号无效",IF(COUNTIFS(FunctionMatrix[编号],E1370)=0,"功能编号无效",IF(H1370="不适用",IF(J1370="已实测","适用性冲突",IF(I1370="","待补不适用依据","不适用（非实测）")),IF(J1370="阻塞",IF(I1370="","待补阻塞原因","阻塞（非实测）"),IF(J1370&lt;&gt;"已实测",IF(F1370="","待展开路径","未实测"),IF(H1370&lt;&gt;"适用","待确认适用性",IF(INDEX(Equipment[登记状态（自动）],MATCH(B1370,Equipment[组合编号],0))&lt;&gt;"已登记","待补设备组合",IF(AND(F1370&lt;&gt;"",G1370&lt;&gt;"",K1370&lt;&gt;"",L1370&lt;&gt;"",M1370&lt;&gt;"",N1370&lt;&gt;"",ISNUMBER(O1370),O1370&gt;0,P1370&lt;&gt;""),"记录齐全","待补实测记录")))))))))))</x:f>
        <x:v>待展开路径</x:v>
      </x:c>
    </x:row>
    <x:row r="1371" ht="43.5" customHeight="1">
      <x:c r="A1371" s="20" t="str">
        <x:v>REC-01362</x:v>
      </x:c>
      <x:c r="B1371" s="20" t="str">
        <x:v>P3-B3-01</x:v>
      </x:c>
      <x:c r="C1371" s="30" t="str">
        <x:f>IF(B1371="","",IF(COUNTIFS(Equipment[组合编号],B1371)&lt;&gt;1,"组合编号无效",INDEX(Equipment[PLC组],MATCH(B1371,Equipment[组合编号],0))))</x:f>
        <x:v>欧姆龙</x:v>
      </x:c>
      <x:c r="D1371" s="30" t="str">
        <x:f>IF(B1371="","",IF(COUNTIFS(Equipment[组合编号],B1371)&lt;&gt;1,"组合编号无效",INDEX(Equipment[驱动品牌],MATCH(B1371,Equipment[组合编号],0))))</x:f>
        <x:v>繁易</x:v>
      </x:c>
      <x:c r="E1371" s="20" t="str">
        <x:v>T01</x:v>
      </x:c>
      <x:c r="F1371" s="20"/>
      <x:c r="G1371" s="20"/>
      <x:c r="H1371" s="20" t="str">
        <x:v>待判定</x:v>
      </x:c>
      <x:c r="I1371" s="20"/>
      <x:c r="J1371" s="20" t="str">
        <x:v>未测试</x:v>
      </x:c>
      <x:c r="K1371" s="20"/>
      <x:c r="L1371" s="20"/>
      <x:c r="M1371" s="20"/>
      <x:c r="N1371" s="20"/>
      <x:c r="O1371" s="31"/>
      <x:c r="P1371" s="20"/>
      <x:c r="Q1371" s="20"/>
      <x:c r="R1371" s="20" t="str">
        <x:v>待展开</x:v>
      </x:c>
      <x:c r="S1371" s="20"/>
      <x:c r="T1371" s="31"/>
      <x:c r="U1371" s="30" t="str">
        <x:f>IF(A1371="","缺记录编号",IF(COUNTIFS(PathRecords[记录编号],A1371)&lt;&gt;1,"记录编号重复",IF(OR(B1371="",E1371=""),"缺组合/功能",IF(COUNTIFS(Equipment[组合编号],B1371)&lt;&gt;1,"组合编号无效",IF(COUNTIFS(FunctionMatrix[编号],E1371)=0,"功能编号无效",IF(H1371="不适用",IF(J1371="已实测","适用性冲突",IF(I1371="","待补不适用依据","不适用（非实测）")),IF(J1371="阻塞",IF(I1371="","待补阻塞原因","阻塞（非实测）"),IF(J1371&lt;&gt;"已实测",IF(F1371="","待展开路径","未实测"),IF(H1371&lt;&gt;"适用","待确认适用性",IF(INDEX(Equipment[登记状态（自动）],MATCH(B1371,Equipment[组合编号],0))&lt;&gt;"已登记","待补设备组合",IF(AND(F1371&lt;&gt;"",G1371&lt;&gt;"",K1371&lt;&gt;"",L1371&lt;&gt;"",M1371&lt;&gt;"",N1371&lt;&gt;"",ISNUMBER(O1371),O1371&gt;0,P1371&lt;&gt;""),"记录齐全","待补实测记录")))))))))))</x:f>
        <x:v>待展开路径</x:v>
      </x:c>
    </x:row>
    <x:row r="1372" ht="43.5" customHeight="1">
      <x:c r="A1372" s="20" t="str">
        <x:v>REC-01363</x:v>
      </x:c>
      <x:c r="B1372" s="20" t="str">
        <x:v>P3-B3-01</x:v>
      </x:c>
      <x:c r="C1372" s="30" t="str">
        <x:f>IF(B1372="","",IF(COUNTIFS(Equipment[组合编号],B1372)&lt;&gt;1,"组合编号无效",INDEX(Equipment[PLC组],MATCH(B1372,Equipment[组合编号],0))))</x:f>
        <x:v>欧姆龙</x:v>
      </x:c>
      <x:c r="D1372" s="30" t="str">
        <x:f>IF(B1372="","",IF(COUNTIFS(Equipment[组合编号],B1372)&lt;&gt;1,"组合编号无效",INDEX(Equipment[驱动品牌],MATCH(B1372,Equipment[组合编号],0))))</x:f>
        <x:v>繁易</x:v>
      </x:c>
      <x:c r="E1372" s="20" t="str">
        <x:v>T02</x:v>
      </x:c>
      <x:c r="F1372" s="20"/>
      <x:c r="G1372" s="20"/>
      <x:c r="H1372" s="20" t="str">
        <x:v>待判定</x:v>
      </x:c>
      <x:c r="I1372" s="20"/>
      <x:c r="J1372" s="20" t="str">
        <x:v>未测试</x:v>
      </x:c>
      <x:c r="K1372" s="20"/>
      <x:c r="L1372" s="20"/>
      <x:c r="M1372" s="20"/>
      <x:c r="N1372" s="20"/>
      <x:c r="O1372" s="31"/>
      <x:c r="P1372" s="20"/>
      <x:c r="Q1372" s="20"/>
      <x:c r="R1372" s="20" t="str">
        <x:v>待展开</x:v>
      </x:c>
      <x:c r="S1372" s="20"/>
      <x:c r="T1372" s="31"/>
      <x:c r="U1372" s="30" t="str">
        <x:f>IF(A1372="","缺记录编号",IF(COUNTIFS(PathRecords[记录编号],A1372)&lt;&gt;1,"记录编号重复",IF(OR(B1372="",E1372=""),"缺组合/功能",IF(COUNTIFS(Equipment[组合编号],B1372)&lt;&gt;1,"组合编号无效",IF(COUNTIFS(FunctionMatrix[编号],E1372)=0,"功能编号无效",IF(H1372="不适用",IF(J1372="已实测","适用性冲突",IF(I1372="","待补不适用依据","不适用（非实测）")),IF(J1372="阻塞",IF(I1372="","待补阻塞原因","阻塞（非实测）"),IF(J1372&lt;&gt;"已实测",IF(F1372="","待展开路径","未实测"),IF(H1372&lt;&gt;"适用","待确认适用性",IF(INDEX(Equipment[登记状态（自动）],MATCH(B1372,Equipment[组合编号],0))&lt;&gt;"已登记","待补设备组合",IF(AND(F1372&lt;&gt;"",G1372&lt;&gt;"",K1372&lt;&gt;"",L1372&lt;&gt;"",M1372&lt;&gt;"",N1372&lt;&gt;"",ISNUMBER(O1372),O1372&gt;0,P1372&lt;&gt;""),"记录齐全","待补实测记录")))))))))))</x:f>
        <x:v>待展开路径</x:v>
      </x:c>
    </x:row>
    <x:row r="1373" ht="43.5" customHeight="1">
      <x:c r="A1373" s="20" t="str">
        <x:v>REC-01364</x:v>
      </x:c>
      <x:c r="B1373" s="20" t="str">
        <x:v>P3-B3-01</x:v>
      </x:c>
      <x:c r="C1373" s="30" t="str">
        <x:f>IF(B1373="","",IF(COUNTIFS(Equipment[组合编号],B1373)&lt;&gt;1,"组合编号无效",INDEX(Equipment[PLC组],MATCH(B1373,Equipment[组合编号],0))))</x:f>
        <x:v>欧姆龙</x:v>
      </x:c>
      <x:c r="D1373" s="30" t="str">
        <x:f>IF(B1373="","",IF(COUNTIFS(Equipment[组合编号],B1373)&lt;&gt;1,"组合编号无效",INDEX(Equipment[驱动品牌],MATCH(B1373,Equipment[组合编号],0))))</x:f>
        <x:v>繁易</x:v>
      </x:c>
      <x:c r="E1373" s="20" t="str">
        <x:v>T03</x:v>
      </x:c>
      <x:c r="F1373" s="20"/>
      <x:c r="G1373" s="20"/>
      <x:c r="H1373" s="20" t="str">
        <x:v>待判定</x:v>
      </x:c>
      <x:c r="I1373" s="20"/>
      <x:c r="J1373" s="20" t="str">
        <x:v>未测试</x:v>
      </x:c>
      <x:c r="K1373" s="20"/>
      <x:c r="L1373" s="20"/>
      <x:c r="M1373" s="20"/>
      <x:c r="N1373" s="20"/>
      <x:c r="O1373" s="31"/>
      <x:c r="P1373" s="20"/>
      <x:c r="Q1373" s="20"/>
      <x:c r="R1373" s="20" t="str">
        <x:v>待展开</x:v>
      </x:c>
      <x:c r="S1373" s="20"/>
      <x:c r="T1373" s="31"/>
      <x:c r="U1373" s="30" t="str">
        <x:f>IF(A1373="","缺记录编号",IF(COUNTIFS(PathRecords[记录编号],A1373)&lt;&gt;1,"记录编号重复",IF(OR(B1373="",E1373=""),"缺组合/功能",IF(COUNTIFS(Equipment[组合编号],B1373)&lt;&gt;1,"组合编号无效",IF(COUNTIFS(FunctionMatrix[编号],E1373)=0,"功能编号无效",IF(H1373="不适用",IF(J1373="已实测","适用性冲突",IF(I1373="","待补不适用依据","不适用（非实测）")),IF(J1373="阻塞",IF(I1373="","待补阻塞原因","阻塞（非实测）"),IF(J1373&lt;&gt;"已实测",IF(F1373="","待展开路径","未实测"),IF(H1373&lt;&gt;"适用","待确认适用性",IF(INDEX(Equipment[登记状态（自动）],MATCH(B1373,Equipment[组合编号],0))&lt;&gt;"已登记","待补设备组合",IF(AND(F1373&lt;&gt;"",G1373&lt;&gt;"",K1373&lt;&gt;"",L1373&lt;&gt;"",M1373&lt;&gt;"",N1373&lt;&gt;"",ISNUMBER(O1373),O1373&gt;0,P1373&lt;&gt;""),"记录齐全","待补实测记录")))))))))))</x:f>
        <x:v>待展开路径</x:v>
      </x:c>
    </x:row>
    <x:row r="1374" ht="43.5" customHeight="1">
      <x:c r="A1374" s="20" t="str">
        <x:v>REC-01365</x:v>
      </x:c>
      <x:c r="B1374" s="20" t="str">
        <x:v>P3-B3-01</x:v>
      </x:c>
      <x:c r="C1374" s="30" t="str">
        <x:f>IF(B1374="","",IF(COUNTIFS(Equipment[组合编号],B1374)&lt;&gt;1,"组合编号无效",INDEX(Equipment[PLC组],MATCH(B1374,Equipment[组合编号],0))))</x:f>
        <x:v>欧姆龙</x:v>
      </x:c>
      <x:c r="D1374" s="30" t="str">
        <x:f>IF(B1374="","",IF(COUNTIFS(Equipment[组合编号],B1374)&lt;&gt;1,"组合编号无效",INDEX(Equipment[驱动品牌],MATCH(B1374,Equipment[组合编号],0))))</x:f>
        <x:v>繁易</x:v>
      </x:c>
      <x:c r="E1374" s="20" t="str">
        <x:v>T04</x:v>
      </x:c>
      <x:c r="F1374" s="20"/>
      <x:c r="G1374" s="20"/>
      <x:c r="H1374" s="20" t="str">
        <x:v>待判定</x:v>
      </x:c>
      <x:c r="I1374" s="20"/>
      <x:c r="J1374" s="20" t="str">
        <x:v>未测试</x:v>
      </x:c>
      <x:c r="K1374" s="20"/>
      <x:c r="L1374" s="20"/>
      <x:c r="M1374" s="20"/>
      <x:c r="N1374" s="20"/>
      <x:c r="O1374" s="31"/>
      <x:c r="P1374" s="20"/>
      <x:c r="Q1374" s="20"/>
      <x:c r="R1374" s="20" t="str">
        <x:v>待展开</x:v>
      </x:c>
      <x:c r="S1374" s="20"/>
      <x:c r="T1374" s="31"/>
      <x:c r="U1374" s="30" t="str">
        <x:f>IF(A1374="","缺记录编号",IF(COUNTIFS(PathRecords[记录编号],A1374)&lt;&gt;1,"记录编号重复",IF(OR(B1374="",E1374=""),"缺组合/功能",IF(COUNTIFS(Equipment[组合编号],B1374)&lt;&gt;1,"组合编号无效",IF(COUNTIFS(FunctionMatrix[编号],E1374)=0,"功能编号无效",IF(H1374="不适用",IF(J1374="已实测","适用性冲突",IF(I1374="","待补不适用依据","不适用（非实测）")),IF(J1374="阻塞",IF(I1374="","待补阻塞原因","阻塞（非实测）"),IF(J1374&lt;&gt;"已实测",IF(F1374="","待展开路径","未实测"),IF(H1374&lt;&gt;"适用","待确认适用性",IF(INDEX(Equipment[登记状态（自动）],MATCH(B1374,Equipment[组合编号],0))&lt;&gt;"已登记","待补设备组合",IF(AND(F1374&lt;&gt;"",G1374&lt;&gt;"",K1374&lt;&gt;"",L1374&lt;&gt;"",M1374&lt;&gt;"",N1374&lt;&gt;"",ISNUMBER(O1374),O1374&gt;0,P1374&lt;&gt;""),"记录齐全","待补实测记录")))))))))))</x:f>
        <x:v>待展开路径</x:v>
      </x:c>
    </x:row>
    <x:row r="1375" ht="43.5" customHeight="1">
      <x:c r="A1375" s="20" t="str">
        <x:v>REC-01366</x:v>
      </x:c>
      <x:c r="B1375" s="20" t="str">
        <x:v>P3-B3-01</x:v>
      </x:c>
      <x:c r="C1375" s="30" t="str">
        <x:f>IF(B1375="","",IF(COUNTIFS(Equipment[组合编号],B1375)&lt;&gt;1,"组合编号无效",INDEX(Equipment[PLC组],MATCH(B1375,Equipment[组合编号],0))))</x:f>
        <x:v>欧姆龙</x:v>
      </x:c>
      <x:c r="D1375" s="30" t="str">
        <x:f>IF(B1375="","",IF(COUNTIFS(Equipment[组合编号],B1375)&lt;&gt;1,"组合编号无效",INDEX(Equipment[驱动品牌],MATCH(B1375,Equipment[组合编号],0))))</x:f>
        <x:v>繁易</x:v>
      </x:c>
      <x:c r="E1375" s="20" t="str">
        <x:v>T05</x:v>
      </x:c>
      <x:c r="F1375" s="20"/>
      <x:c r="G1375" s="20"/>
      <x:c r="H1375" s="20" t="str">
        <x:v>待判定</x:v>
      </x:c>
      <x:c r="I1375" s="20"/>
      <x:c r="J1375" s="20" t="str">
        <x:v>未测试</x:v>
      </x:c>
      <x:c r="K1375" s="20"/>
      <x:c r="L1375" s="20"/>
      <x:c r="M1375" s="20"/>
      <x:c r="N1375" s="20"/>
      <x:c r="O1375" s="31"/>
      <x:c r="P1375" s="20"/>
      <x:c r="Q1375" s="20"/>
      <x:c r="R1375" s="20" t="str">
        <x:v>待展开</x:v>
      </x:c>
      <x:c r="S1375" s="20"/>
      <x:c r="T1375" s="31"/>
      <x:c r="U1375" s="30" t="str">
        <x:f>IF(A1375="","缺记录编号",IF(COUNTIFS(PathRecords[记录编号],A1375)&lt;&gt;1,"记录编号重复",IF(OR(B1375="",E1375=""),"缺组合/功能",IF(COUNTIFS(Equipment[组合编号],B1375)&lt;&gt;1,"组合编号无效",IF(COUNTIFS(FunctionMatrix[编号],E1375)=0,"功能编号无效",IF(H1375="不适用",IF(J1375="已实测","适用性冲突",IF(I1375="","待补不适用依据","不适用（非实测）")),IF(J1375="阻塞",IF(I1375="","待补阻塞原因","阻塞（非实测）"),IF(J1375&lt;&gt;"已实测",IF(F1375="","待展开路径","未实测"),IF(H1375&lt;&gt;"适用","待确认适用性",IF(INDEX(Equipment[登记状态（自动）],MATCH(B1375,Equipment[组合编号],0))&lt;&gt;"已登记","待补设备组合",IF(AND(F1375&lt;&gt;"",G1375&lt;&gt;"",K1375&lt;&gt;"",L1375&lt;&gt;"",M1375&lt;&gt;"",N1375&lt;&gt;"",ISNUMBER(O1375),O1375&gt;0,P1375&lt;&gt;""),"记录齐全","待补实测记录")))))))))))</x:f>
        <x:v>待展开路径</x:v>
      </x:c>
    </x:row>
    <x:row r="1376" ht="43.5" customHeight="1">
      <x:c r="A1376" s="20" t="str">
        <x:v>REC-01367</x:v>
      </x:c>
      <x:c r="B1376" s="20" t="str">
        <x:v>P3-B3-01</x:v>
      </x:c>
      <x:c r="C1376" s="30" t="str">
        <x:f>IF(B1376="","",IF(COUNTIFS(Equipment[组合编号],B1376)&lt;&gt;1,"组合编号无效",INDEX(Equipment[PLC组],MATCH(B1376,Equipment[组合编号],0))))</x:f>
        <x:v>欧姆龙</x:v>
      </x:c>
      <x:c r="D1376" s="30" t="str">
        <x:f>IF(B1376="","",IF(COUNTIFS(Equipment[组合编号],B1376)&lt;&gt;1,"组合编号无效",INDEX(Equipment[驱动品牌],MATCH(B1376,Equipment[组合编号],0))))</x:f>
        <x:v>繁易</x:v>
      </x:c>
      <x:c r="E1376" s="20" t="str">
        <x:v>T06</x:v>
      </x:c>
      <x:c r="F1376" s="20"/>
      <x:c r="G1376" s="20"/>
      <x:c r="H1376" s="20" t="str">
        <x:v>待判定</x:v>
      </x:c>
      <x:c r="I1376" s="20"/>
      <x:c r="J1376" s="20" t="str">
        <x:v>未测试</x:v>
      </x:c>
      <x:c r="K1376" s="20"/>
      <x:c r="L1376" s="20"/>
      <x:c r="M1376" s="20"/>
      <x:c r="N1376" s="20"/>
      <x:c r="O1376" s="31"/>
      <x:c r="P1376" s="20"/>
      <x:c r="Q1376" s="20"/>
      <x:c r="R1376" s="20" t="str">
        <x:v>待展开</x:v>
      </x:c>
      <x:c r="S1376" s="20"/>
      <x:c r="T1376" s="31"/>
      <x:c r="U1376" s="30" t="str">
        <x:f>IF(A1376="","缺记录编号",IF(COUNTIFS(PathRecords[记录编号],A1376)&lt;&gt;1,"记录编号重复",IF(OR(B1376="",E1376=""),"缺组合/功能",IF(COUNTIFS(Equipment[组合编号],B1376)&lt;&gt;1,"组合编号无效",IF(COUNTIFS(FunctionMatrix[编号],E1376)=0,"功能编号无效",IF(H1376="不适用",IF(J1376="已实测","适用性冲突",IF(I1376="","待补不适用依据","不适用（非实测）")),IF(J1376="阻塞",IF(I1376="","待补阻塞原因","阻塞（非实测）"),IF(J1376&lt;&gt;"已实测",IF(F1376="","待展开路径","未实测"),IF(H1376&lt;&gt;"适用","待确认适用性",IF(INDEX(Equipment[登记状态（自动）],MATCH(B1376,Equipment[组合编号],0))&lt;&gt;"已登记","待补设备组合",IF(AND(F1376&lt;&gt;"",G1376&lt;&gt;"",K1376&lt;&gt;"",L1376&lt;&gt;"",M1376&lt;&gt;"",N1376&lt;&gt;"",ISNUMBER(O1376),O1376&gt;0,P1376&lt;&gt;""),"记录齐全","待补实测记录")))))))))))</x:f>
        <x:v>待展开路径</x:v>
      </x:c>
    </x:row>
    <x:row r="1377" ht="43.5" customHeight="1">
      <x:c r="A1377" s="20" t="str">
        <x:v>REC-01368</x:v>
      </x:c>
      <x:c r="B1377" s="20" t="str">
        <x:v>P3-B3-01</x:v>
      </x:c>
      <x:c r="C1377" s="30" t="str">
        <x:f>IF(B1377="","",IF(COUNTIFS(Equipment[组合编号],B1377)&lt;&gt;1,"组合编号无效",INDEX(Equipment[PLC组],MATCH(B1377,Equipment[组合编号],0))))</x:f>
        <x:v>欧姆龙</x:v>
      </x:c>
      <x:c r="D1377" s="30" t="str">
        <x:f>IF(B1377="","",IF(COUNTIFS(Equipment[组合编号],B1377)&lt;&gt;1,"组合编号无效",INDEX(Equipment[驱动品牌],MATCH(B1377,Equipment[组合编号],0))))</x:f>
        <x:v>繁易</x:v>
      </x:c>
      <x:c r="E1377" s="20" t="str">
        <x:v>T07</x:v>
      </x:c>
      <x:c r="F1377" s="20"/>
      <x:c r="G1377" s="20"/>
      <x:c r="H1377" s="20" t="str">
        <x:v>待判定</x:v>
      </x:c>
      <x:c r="I1377" s="20"/>
      <x:c r="J1377" s="20" t="str">
        <x:v>未测试</x:v>
      </x:c>
      <x:c r="K1377" s="20"/>
      <x:c r="L1377" s="20"/>
      <x:c r="M1377" s="20"/>
      <x:c r="N1377" s="20"/>
      <x:c r="O1377" s="31"/>
      <x:c r="P1377" s="20"/>
      <x:c r="Q1377" s="20"/>
      <x:c r="R1377" s="20" t="str">
        <x:v>待展开</x:v>
      </x:c>
      <x:c r="S1377" s="20"/>
      <x:c r="T1377" s="31"/>
      <x:c r="U1377" s="30" t="str">
        <x:f>IF(A1377="","缺记录编号",IF(COUNTIFS(PathRecords[记录编号],A1377)&lt;&gt;1,"记录编号重复",IF(OR(B1377="",E1377=""),"缺组合/功能",IF(COUNTIFS(Equipment[组合编号],B1377)&lt;&gt;1,"组合编号无效",IF(COUNTIFS(FunctionMatrix[编号],E1377)=0,"功能编号无效",IF(H1377="不适用",IF(J1377="已实测","适用性冲突",IF(I1377="","待补不适用依据","不适用（非实测）")),IF(J1377="阻塞",IF(I1377="","待补阻塞原因","阻塞（非实测）"),IF(J1377&lt;&gt;"已实测",IF(F1377="","待展开路径","未实测"),IF(H1377&lt;&gt;"适用","待确认适用性",IF(INDEX(Equipment[登记状态（自动）],MATCH(B1377,Equipment[组合编号],0))&lt;&gt;"已登记","待补设备组合",IF(AND(F1377&lt;&gt;"",G1377&lt;&gt;"",K1377&lt;&gt;"",L1377&lt;&gt;"",M1377&lt;&gt;"",N1377&lt;&gt;"",ISNUMBER(O1377),O1377&gt;0,P1377&lt;&gt;""),"记录齐全","待补实测记录")))))))))))</x:f>
        <x:v>待展开路径</x:v>
      </x:c>
    </x:row>
    <x:row r="1378" ht="43.5" customHeight="1">
      <x:c r="A1378" s="20" t="str">
        <x:v>REC-01369</x:v>
      </x:c>
      <x:c r="B1378" s="20" t="str">
        <x:v>P3-B3-01</x:v>
      </x:c>
      <x:c r="C1378" s="30" t="str">
        <x:f>IF(B1378="","",IF(COUNTIFS(Equipment[组合编号],B1378)&lt;&gt;1,"组合编号无效",INDEX(Equipment[PLC组],MATCH(B1378,Equipment[组合编号],0))))</x:f>
        <x:v>欧姆龙</x:v>
      </x:c>
      <x:c r="D1378" s="30" t="str">
        <x:f>IF(B1378="","",IF(COUNTIFS(Equipment[组合编号],B1378)&lt;&gt;1,"组合编号无效",INDEX(Equipment[驱动品牌],MATCH(B1378,Equipment[组合编号],0))))</x:f>
        <x:v>繁易</x:v>
      </x:c>
      <x:c r="E1378" s="20" t="str">
        <x:v>T08</x:v>
      </x:c>
      <x:c r="F1378" s="20"/>
      <x:c r="G1378" s="20"/>
      <x:c r="H1378" s="20" t="str">
        <x:v>待判定</x:v>
      </x:c>
      <x:c r="I1378" s="20"/>
      <x:c r="J1378" s="20" t="str">
        <x:v>未测试</x:v>
      </x:c>
      <x:c r="K1378" s="20"/>
      <x:c r="L1378" s="20"/>
      <x:c r="M1378" s="20"/>
      <x:c r="N1378" s="20"/>
      <x:c r="O1378" s="31"/>
      <x:c r="P1378" s="20"/>
      <x:c r="Q1378" s="20"/>
      <x:c r="R1378" s="20" t="str">
        <x:v>待展开</x:v>
      </x:c>
      <x:c r="S1378" s="20"/>
      <x:c r="T1378" s="31"/>
      <x:c r="U1378" s="30" t="str">
        <x:f>IF(A1378="","缺记录编号",IF(COUNTIFS(PathRecords[记录编号],A1378)&lt;&gt;1,"记录编号重复",IF(OR(B1378="",E1378=""),"缺组合/功能",IF(COUNTIFS(Equipment[组合编号],B1378)&lt;&gt;1,"组合编号无效",IF(COUNTIFS(FunctionMatrix[编号],E1378)=0,"功能编号无效",IF(H1378="不适用",IF(J1378="已实测","适用性冲突",IF(I1378="","待补不适用依据","不适用（非实测）")),IF(J1378="阻塞",IF(I1378="","待补阻塞原因","阻塞（非实测）"),IF(J1378&lt;&gt;"已实测",IF(F1378="","待展开路径","未实测"),IF(H1378&lt;&gt;"适用","待确认适用性",IF(INDEX(Equipment[登记状态（自动）],MATCH(B1378,Equipment[组合编号],0))&lt;&gt;"已登记","待补设备组合",IF(AND(F1378&lt;&gt;"",G1378&lt;&gt;"",K1378&lt;&gt;"",L1378&lt;&gt;"",M1378&lt;&gt;"",N1378&lt;&gt;"",ISNUMBER(O1378),O1378&gt;0,P1378&lt;&gt;""),"记录齐全","待补实测记录")))))))))))</x:f>
        <x:v>待展开路径</x:v>
      </x:c>
    </x:row>
    <x:row r="1379" ht="43.5" customHeight="1">
      <x:c r="A1379" s="20" t="str">
        <x:v>REC-01370</x:v>
      </x:c>
      <x:c r="B1379" s="20" t="str">
        <x:v>P3-B3-01</x:v>
      </x:c>
      <x:c r="C1379" s="30" t="str">
        <x:f>IF(B1379="","",IF(COUNTIFS(Equipment[组合编号],B1379)&lt;&gt;1,"组合编号无效",INDEX(Equipment[PLC组],MATCH(B1379,Equipment[组合编号],0))))</x:f>
        <x:v>欧姆龙</x:v>
      </x:c>
      <x:c r="D1379" s="30" t="str">
        <x:f>IF(B1379="","",IF(COUNTIFS(Equipment[组合编号],B1379)&lt;&gt;1,"组合编号无效",INDEX(Equipment[驱动品牌],MATCH(B1379,Equipment[组合编号],0))))</x:f>
        <x:v>繁易</x:v>
      </x:c>
      <x:c r="E1379" s="20" t="str">
        <x:v>T09</x:v>
      </x:c>
      <x:c r="F1379" s="20"/>
      <x:c r="G1379" s="20"/>
      <x:c r="H1379" s="20" t="str">
        <x:v>待判定</x:v>
      </x:c>
      <x:c r="I1379" s="20"/>
      <x:c r="J1379" s="20" t="str">
        <x:v>未测试</x:v>
      </x:c>
      <x:c r="K1379" s="20"/>
      <x:c r="L1379" s="20"/>
      <x:c r="M1379" s="20"/>
      <x:c r="N1379" s="20"/>
      <x:c r="O1379" s="31"/>
      <x:c r="P1379" s="20"/>
      <x:c r="Q1379" s="20"/>
      <x:c r="R1379" s="20" t="str">
        <x:v>待展开</x:v>
      </x:c>
      <x:c r="S1379" s="20"/>
      <x:c r="T1379" s="31"/>
      <x:c r="U1379" s="30" t="str">
        <x:f>IF(A1379="","缺记录编号",IF(COUNTIFS(PathRecords[记录编号],A1379)&lt;&gt;1,"记录编号重复",IF(OR(B1379="",E1379=""),"缺组合/功能",IF(COUNTIFS(Equipment[组合编号],B1379)&lt;&gt;1,"组合编号无效",IF(COUNTIFS(FunctionMatrix[编号],E1379)=0,"功能编号无效",IF(H1379="不适用",IF(J1379="已实测","适用性冲突",IF(I1379="","待补不适用依据","不适用（非实测）")),IF(J1379="阻塞",IF(I1379="","待补阻塞原因","阻塞（非实测）"),IF(J1379&lt;&gt;"已实测",IF(F1379="","待展开路径","未实测"),IF(H1379&lt;&gt;"适用","待确认适用性",IF(INDEX(Equipment[登记状态（自动）],MATCH(B1379,Equipment[组合编号],0))&lt;&gt;"已登记","待补设备组合",IF(AND(F1379&lt;&gt;"",G1379&lt;&gt;"",K1379&lt;&gt;"",L1379&lt;&gt;"",M1379&lt;&gt;"",N1379&lt;&gt;"",ISNUMBER(O1379),O1379&gt;0,P1379&lt;&gt;""),"记录齐全","待补实测记录")))))))))))</x:f>
        <x:v>待展开路径</x:v>
      </x:c>
    </x:row>
    <x:row r="1380" ht="43.5" customHeight="1">
      <x:c r="A1380" s="20" t="str">
        <x:v>REC-01371</x:v>
      </x:c>
      <x:c r="B1380" s="20" t="str">
        <x:v>P3-B3-01</x:v>
      </x:c>
      <x:c r="C1380" s="30" t="str">
        <x:f>IF(B1380="","",IF(COUNTIFS(Equipment[组合编号],B1380)&lt;&gt;1,"组合编号无效",INDEX(Equipment[PLC组],MATCH(B1380,Equipment[组合编号],0))))</x:f>
        <x:v>欧姆龙</x:v>
      </x:c>
      <x:c r="D1380" s="30" t="str">
        <x:f>IF(B1380="","",IF(COUNTIFS(Equipment[组合编号],B1380)&lt;&gt;1,"组合编号无效",INDEX(Equipment[驱动品牌],MATCH(B1380,Equipment[组合编号],0))))</x:f>
        <x:v>繁易</x:v>
      </x:c>
      <x:c r="E1380" s="20" t="str">
        <x:v>R01</x:v>
      </x:c>
      <x:c r="F1380" s="20"/>
      <x:c r="G1380" s="20"/>
      <x:c r="H1380" s="20" t="str">
        <x:v>待判定</x:v>
      </x:c>
      <x:c r="I1380" s="20"/>
      <x:c r="J1380" s="20" t="str">
        <x:v>未测试</x:v>
      </x:c>
      <x:c r="K1380" s="20"/>
      <x:c r="L1380" s="20"/>
      <x:c r="M1380" s="20"/>
      <x:c r="N1380" s="20"/>
      <x:c r="O1380" s="31"/>
      <x:c r="P1380" s="20"/>
      <x:c r="Q1380" s="20"/>
      <x:c r="R1380" s="20" t="str">
        <x:v>待展开</x:v>
      </x:c>
      <x:c r="S1380" s="20"/>
      <x:c r="T1380" s="31"/>
      <x:c r="U1380" s="30" t="str">
        <x:f>IF(A1380="","缺记录编号",IF(COUNTIFS(PathRecords[记录编号],A1380)&lt;&gt;1,"记录编号重复",IF(OR(B1380="",E1380=""),"缺组合/功能",IF(COUNTIFS(Equipment[组合编号],B1380)&lt;&gt;1,"组合编号无效",IF(COUNTIFS(FunctionMatrix[编号],E1380)=0,"功能编号无效",IF(H1380="不适用",IF(J1380="已实测","适用性冲突",IF(I1380="","待补不适用依据","不适用（非实测）")),IF(J1380="阻塞",IF(I1380="","待补阻塞原因","阻塞（非实测）"),IF(J1380&lt;&gt;"已实测",IF(F1380="","待展开路径","未实测"),IF(H1380&lt;&gt;"适用","待确认适用性",IF(INDEX(Equipment[登记状态（自动）],MATCH(B1380,Equipment[组合编号],0))&lt;&gt;"已登记","待补设备组合",IF(AND(F1380&lt;&gt;"",G1380&lt;&gt;"",K1380&lt;&gt;"",L1380&lt;&gt;"",M1380&lt;&gt;"",N1380&lt;&gt;"",ISNUMBER(O1380),O1380&gt;0,P1380&lt;&gt;""),"记录齐全","待补实测记录")))))))))))</x:f>
        <x:v>待展开路径</x:v>
      </x:c>
    </x:row>
    <x:row r="1381" ht="43.5" customHeight="1">
      <x:c r="A1381" s="20" t="str">
        <x:v>REC-01372</x:v>
      </x:c>
      <x:c r="B1381" s="20" t="str">
        <x:v>P3-B3-01</x:v>
      </x:c>
      <x:c r="C1381" s="30" t="str">
        <x:f>IF(B1381="","",IF(COUNTIFS(Equipment[组合编号],B1381)&lt;&gt;1,"组合编号无效",INDEX(Equipment[PLC组],MATCH(B1381,Equipment[组合编号],0))))</x:f>
        <x:v>欧姆龙</x:v>
      </x:c>
      <x:c r="D1381" s="30" t="str">
        <x:f>IF(B1381="","",IF(COUNTIFS(Equipment[组合编号],B1381)&lt;&gt;1,"组合编号无效",INDEX(Equipment[驱动品牌],MATCH(B1381,Equipment[组合编号],0))))</x:f>
        <x:v>繁易</x:v>
      </x:c>
      <x:c r="E1381" s="20" t="str">
        <x:v>R02</x:v>
      </x:c>
      <x:c r="F1381" s="20"/>
      <x:c r="G1381" s="20"/>
      <x:c r="H1381" s="20" t="str">
        <x:v>待判定</x:v>
      </x:c>
      <x:c r="I1381" s="20"/>
      <x:c r="J1381" s="20" t="str">
        <x:v>未测试</x:v>
      </x:c>
      <x:c r="K1381" s="20"/>
      <x:c r="L1381" s="20"/>
      <x:c r="M1381" s="20"/>
      <x:c r="N1381" s="20"/>
      <x:c r="O1381" s="31"/>
      <x:c r="P1381" s="20"/>
      <x:c r="Q1381" s="20"/>
      <x:c r="R1381" s="20" t="str">
        <x:v>待展开</x:v>
      </x:c>
      <x:c r="S1381" s="20"/>
      <x:c r="T1381" s="31"/>
      <x:c r="U1381" s="30" t="str">
        <x:f>IF(A1381="","缺记录编号",IF(COUNTIFS(PathRecords[记录编号],A1381)&lt;&gt;1,"记录编号重复",IF(OR(B1381="",E1381=""),"缺组合/功能",IF(COUNTIFS(Equipment[组合编号],B1381)&lt;&gt;1,"组合编号无效",IF(COUNTIFS(FunctionMatrix[编号],E1381)=0,"功能编号无效",IF(H1381="不适用",IF(J1381="已实测","适用性冲突",IF(I1381="","待补不适用依据","不适用（非实测）")),IF(J1381="阻塞",IF(I1381="","待补阻塞原因","阻塞（非实测）"),IF(J1381&lt;&gt;"已实测",IF(F1381="","待展开路径","未实测"),IF(H1381&lt;&gt;"适用","待确认适用性",IF(INDEX(Equipment[登记状态（自动）],MATCH(B1381,Equipment[组合编号],0))&lt;&gt;"已登记","待补设备组合",IF(AND(F1381&lt;&gt;"",G1381&lt;&gt;"",K1381&lt;&gt;"",L1381&lt;&gt;"",M1381&lt;&gt;"",N1381&lt;&gt;"",ISNUMBER(O1381),O1381&gt;0,P1381&lt;&gt;""),"记录齐全","待补实测记录")))))))))))</x:f>
        <x:v>待展开路径</x:v>
      </x:c>
    </x:row>
    <x:row r="1382" ht="43.5" customHeight="1">
      <x:c r="A1382" s="20" t="str">
        <x:v>REC-01373</x:v>
      </x:c>
      <x:c r="B1382" s="20" t="str">
        <x:v>P3-B3-01</x:v>
      </x:c>
      <x:c r="C1382" s="30" t="str">
        <x:f>IF(B1382="","",IF(COUNTIFS(Equipment[组合编号],B1382)&lt;&gt;1,"组合编号无效",INDEX(Equipment[PLC组],MATCH(B1382,Equipment[组合编号],0))))</x:f>
        <x:v>欧姆龙</x:v>
      </x:c>
      <x:c r="D1382" s="30" t="str">
        <x:f>IF(B1382="","",IF(COUNTIFS(Equipment[组合编号],B1382)&lt;&gt;1,"组合编号无效",INDEX(Equipment[驱动品牌],MATCH(B1382,Equipment[组合编号],0))))</x:f>
        <x:v>繁易</x:v>
      </x:c>
      <x:c r="E1382" s="20" t="str">
        <x:v>R03</x:v>
      </x:c>
      <x:c r="F1382" s="20"/>
      <x:c r="G1382" s="20"/>
      <x:c r="H1382" s="20" t="str">
        <x:v>待判定</x:v>
      </x:c>
      <x:c r="I1382" s="20"/>
      <x:c r="J1382" s="20" t="str">
        <x:v>未测试</x:v>
      </x:c>
      <x:c r="K1382" s="20"/>
      <x:c r="L1382" s="20"/>
      <x:c r="M1382" s="20"/>
      <x:c r="N1382" s="20"/>
      <x:c r="O1382" s="31"/>
      <x:c r="P1382" s="20"/>
      <x:c r="Q1382" s="20"/>
      <x:c r="R1382" s="20" t="str">
        <x:v>待展开</x:v>
      </x:c>
      <x:c r="S1382" s="20"/>
      <x:c r="T1382" s="31"/>
      <x:c r="U1382" s="30" t="str">
        <x:f>IF(A1382="","缺记录编号",IF(COUNTIFS(PathRecords[记录编号],A1382)&lt;&gt;1,"记录编号重复",IF(OR(B1382="",E1382=""),"缺组合/功能",IF(COUNTIFS(Equipment[组合编号],B1382)&lt;&gt;1,"组合编号无效",IF(COUNTIFS(FunctionMatrix[编号],E1382)=0,"功能编号无效",IF(H1382="不适用",IF(J1382="已实测","适用性冲突",IF(I1382="","待补不适用依据","不适用（非实测）")),IF(J1382="阻塞",IF(I1382="","待补阻塞原因","阻塞（非实测）"),IF(J1382&lt;&gt;"已实测",IF(F1382="","待展开路径","未实测"),IF(H1382&lt;&gt;"适用","待确认适用性",IF(INDEX(Equipment[登记状态（自动）],MATCH(B1382,Equipment[组合编号],0))&lt;&gt;"已登记","待补设备组合",IF(AND(F1382&lt;&gt;"",G1382&lt;&gt;"",K1382&lt;&gt;"",L1382&lt;&gt;"",M1382&lt;&gt;"",N1382&lt;&gt;"",ISNUMBER(O1382),O1382&gt;0,P1382&lt;&gt;""),"记录齐全","待补实测记录")))))))))))</x:f>
        <x:v>待展开路径</x:v>
      </x:c>
    </x:row>
    <x:row r="1383" ht="43.5" customHeight="1">
      <x:c r="A1383" s="20" t="str">
        <x:v>REC-01374</x:v>
      </x:c>
      <x:c r="B1383" s="20" t="str">
        <x:v>P3-B3-01</x:v>
      </x:c>
      <x:c r="C1383" s="30" t="str">
        <x:f>IF(B1383="","",IF(COUNTIFS(Equipment[组合编号],B1383)&lt;&gt;1,"组合编号无效",INDEX(Equipment[PLC组],MATCH(B1383,Equipment[组合编号],0))))</x:f>
        <x:v>欧姆龙</x:v>
      </x:c>
      <x:c r="D1383" s="30" t="str">
        <x:f>IF(B1383="","",IF(COUNTIFS(Equipment[组合编号],B1383)&lt;&gt;1,"组合编号无效",INDEX(Equipment[驱动品牌],MATCH(B1383,Equipment[组合编号],0))))</x:f>
        <x:v>繁易</x:v>
      </x:c>
      <x:c r="E1383" s="20" t="str">
        <x:v>R04</x:v>
      </x:c>
      <x:c r="F1383" s="20"/>
      <x:c r="G1383" s="20"/>
      <x:c r="H1383" s="20" t="str">
        <x:v>待判定</x:v>
      </x:c>
      <x:c r="I1383" s="20"/>
      <x:c r="J1383" s="20" t="str">
        <x:v>未测试</x:v>
      </x:c>
      <x:c r="K1383" s="20"/>
      <x:c r="L1383" s="20"/>
      <x:c r="M1383" s="20"/>
      <x:c r="N1383" s="20"/>
      <x:c r="O1383" s="31"/>
      <x:c r="P1383" s="20"/>
      <x:c r="Q1383" s="20"/>
      <x:c r="R1383" s="20" t="str">
        <x:v>待展开</x:v>
      </x:c>
      <x:c r="S1383" s="20"/>
      <x:c r="T1383" s="31"/>
      <x:c r="U1383" s="30" t="str">
        <x:f>IF(A1383="","缺记录编号",IF(COUNTIFS(PathRecords[记录编号],A1383)&lt;&gt;1,"记录编号重复",IF(OR(B1383="",E1383=""),"缺组合/功能",IF(COUNTIFS(Equipment[组合编号],B1383)&lt;&gt;1,"组合编号无效",IF(COUNTIFS(FunctionMatrix[编号],E1383)=0,"功能编号无效",IF(H1383="不适用",IF(J1383="已实测","适用性冲突",IF(I1383="","待补不适用依据","不适用（非实测）")),IF(J1383="阻塞",IF(I1383="","待补阻塞原因","阻塞（非实测）"),IF(J1383&lt;&gt;"已实测",IF(F1383="","待展开路径","未实测"),IF(H1383&lt;&gt;"适用","待确认适用性",IF(INDEX(Equipment[登记状态（自动）],MATCH(B1383,Equipment[组合编号],0))&lt;&gt;"已登记","待补设备组合",IF(AND(F1383&lt;&gt;"",G1383&lt;&gt;"",K1383&lt;&gt;"",L1383&lt;&gt;"",M1383&lt;&gt;"",N1383&lt;&gt;"",ISNUMBER(O1383),O1383&gt;0,P1383&lt;&gt;""),"记录齐全","待补实测记录")))))))))))</x:f>
        <x:v>待展开路径</x:v>
      </x:c>
    </x:row>
    <x:row r="1384" ht="43.5" customHeight="1">
      <x:c r="A1384" s="20" t="str">
        <x:v>REC-01375</x:v>
      </x:c>
      <x:c r="B1384" s="20" t="str">
        <x:v>P3-B3-01</x:v>
      </x:c>
      <x:c r="C1384" s="30" t="str">
        <x:f>IF(B1384="","",IF(COUNTIFS(Equipment[组合编号],B1384)&lt;&gt;1,"组合编号无效",INDEX(Equipment[PLC组],MATCH(B1384,Equipment[组合编号],0))))</x:f>
        <x:v>欧姆龙</x:v>
      </x:c>
      <x:c r="D1384" s="30" t="str">
        <x:f>IF(B1384="","",IF(COUNTIFS(Equipment[组合编号],B1384)&lt;&gt;1,"组合编号无效",INDEX(Equipment[驱动品牌],MATCH(B1384,Equipment[组合编号],0))))</x:f>
        <x:v>繁易</x:v>
      </x:c>
      <x:c r="E1384" s="20" t="str">
        <x:v>R05</x:v>
      </x:c>
      <x:c r="F1384" s="20"/>
      <x:c r="G1384" s="20"/>
      <x:c r="H1384" s="20" t="str">
        <x:v>待判定</x:v>
      </x:c>
      <x:c r="I1384" s="20"/>
      <x:c r="J1384" s="20" t="str">
        <x:v>未测试</x:v>
      </x:c>
      <x:c r="K1384" s="20"/>
      <x:c r="L1384" s="20"/>
      <x:c r="M1384" s="20"/>
      <x:c r="N1384" s="20"/>
      <x:c r="O1384" s="31"/>
      <x:c r="P1384" s="20"/>
      <x:c r="Q1384" s="20"/>
      <x:c r="R1384" s="20" t="str">
        <x:v>待展开</x:v>
      </x:c>
      <x:c r="S1384" s="20"/>
      <x:c r="T1384" s="31"/>
      <x:c r="U1384" s="30" t="str">
        <x:f>IF(A1384="","缺记录编号",IF(COUNTIFS(PathRecords[记录编号],A1384)&lt;&gt;1,"记录编号重复",IF(OR(B1384="",E1384=""),"缺组合/功能",IF(COUNTIFS(Equipment[组合编号],B1384)&lt;&gt;1,"组合编号无效",IF(COUNTIFS(FunctionMatrix[编号],E1384)=0,"功能编号无效",IF(H1384="不适用",IF(J1384="已实测","适用性冲突",IF(I1384="","待补不适用依据","不适用（非实测）")),IF(J1384="阻塞",IF(I1384="","待补阻塞原因","阻塞（非实测）"),IF(J1384&lt;&gt;"已实测",IF(F1384="","待展开路径","未实测"),IF(H1384&lt;&gt;"适用","待确认适用性",IF(INDEX(Equipment[登记状态（自动）],MATCH(B1384,Equipment[组合编号],0))&lt;&gt;"已登记","待补设备组合",IF(AND(F1384&lt;&gt;"",G1384&lt;&gt;"",K1384&lt;&gt;"",L1384&lt;&gt;"",M1384&lt;&gt;"",N1384&lt;&gt;"",ISNUMBER(O1384),O1384&gt;0,P1384&lt;&gt;""),"记录齐全","待补实测记录")))))))))))</x:f>
        <x:v>待展开路径</x:v>
      </x:c>
    </x:row>
    <x:row r="1385" ht="43.5" customHeight="1">
      <x:c r="A1385" s="20" t="str">
        <x:v>REC-01376</x:v>
      </x:c>
      <x:c r="B1385" s="20" t="str">
        <x:v>P3-B3-01</x:v>
      </x:c>
      <x:c r="C1385" s="30" t="str">
        <x:f>IF(B1385="","",IF(COUNTIFS(Equipment[组合编号],B1385)&lt;&gt;1,"组合编号无效",INDEX(Equipment[PLC组],MATCH(B1385,Equipment[组合编号],0))))</x:f>
        <x:v>欧姆龙</x:v>
      </x:c>
      <x:c r="D1385" s="30" t="str">
        <x:f>IF(B1385="","",IF(COUNTIFS(Equipment[组合编号],B1385)&lt;&gt;1,"组合编号无效",INDEX(Equipment[驱动品牌],MATCH(B1385,Equipment[组合编号],0))))</x:f>
        <x:v>繁易</x:v>
      </x:c>
      <x:c r="E1385" s="20" t="str">
        <x:v>R06</x:v>
      </x:c>
      <x:c r="F1385" s="20"/>
      <x:c r="G1385" s="20"/>
      <x:c r="H1385" s="20" t="str">
        <x:v>待判定</x:v>
      </x:c>
      <x:c r="I1385" s="20"/>
      <x:c r="J1385" s="20" t="str">
        <x:v>未测试</x:v>
      </x:c>
      <x:c r="K1385" s="20"/>
      <x:c r="L1385" s="20"/>
      <x:c r="M1385" s="20"/>
      <x:c r="N1385" s="20"/>
      <x:c r="O1385" s="31"/>
      <x:c r="P1385" s="20"/>
      <x:c r="Q1385" s="20"/>
      <x:c r="R1385" s="20" t="str">
        <x:v>待展开</x:v>
      </x:c>
      <x:c r="S1385" s="20"/>
      <x:c r="T1385" s="31"/>
      <x:c r="U1385" s="30" t="str">
        <x:f>IF(A1385="","缺记录编号",IF(COUNTIFS(PathRecords[记录编号],A1385)&lt;&gt;1,"记录编号重复",IF(OR(B1385="",E1385=""),"缺组合/功能",IF(COUNTIFS(Equipment[组合编号],B1385)&lt;&gt;1,"组合编号无效",IF(COUNTIFS(FunctionMatrix[编号],E1385)=0,"功能编号无效",IF(H1385="不适用",IF(J1385="已实测","适用性冲突",IF(I1385="","待补不适用依据","不适用（非实测）")),IF(J1385="阻塞",IF(I1385="","待补阻塞原因","阻塞（非实测）"),IF(J1385&lt;&gt;"已实测",IF(F1385="","待展开路径","未实测"),IF(H1385&lt;&gt;"适用","待确认适用性",IF(INDEX(Equipment[登记状态（自动）],MATCH(B1385,Equipment[组合编号],0))&lt;&gt;"已登记","待补设备组合",IF(AND(F1385&lt;&gt;"",G1385&lt;&gt;"",K1385&lt;&gt;"",L1385&lt;&gt;"",M1385&lt;&gt;"",N1385&lt;&gt;"",ISNUMBER(O1385),O1385&gt;0,P1385&lt;&gt;""),"记录齐全","待补实测记录")))))))))))</x:f>
        <x:v>待展开路径</x:v>
      </x:c>
    </x:row>
    <x:row r="1386" ht="43.5" customHeight="1">
      <x:c r="A1386" s="20" t="str">
        <x:v>REC-01377</x:v>
      </x:c>
      <x:c r="B1386" s="20" t="str">
        <x:v>P3-B3-01</x:v>
      </x:c>
      <x:c r="C1386" s="30" t="str">
        <x:f>IF(B1386="","",IF(COUNTIFS(Equipment[组合编号],B1386)&lt;&gt;1,"组合编号无效",INDEX(Equipment[PLC组],MATCH(B1386,Equipment[组合编号],0))))</x:f>
        <x:v>欧姆龙</x:v>
      </x:c>
      <x:c r="D1386" s="30" t="str">
        <x:f>IF(B1386="","",IF(COUNTIFS(Equipment[组合编号],B1386)&lt;&gt;1,"组合编号无效",INDEX(Equipment[驱动品牌],MATCH(B1386,Equipment[组合编号],0))))</x:f>
        <x:v>繁易</x:v>
      </x:c>
      <x:c r="E1386" s="20" t="str">
        <x:v>R07</x:v>
      </x:c>
      <x:c r="F1386" s="20"/>
      <x:c r="G1386" s="20"/>
      <x:c r="H1386" s="20" t="str">
        <x:v>待判定</x:v>
      </x:c>
      <x:c r="I1386" s="20"/>
      <x:c r="J1386" s="20" t="str">
        <x:v>未测试</x:v>
      </x:c>
      <x:c r="K1386" s="20"/>
      <x:c r="L1386" s="20"/>
      <x:c r="M1386" s="20"/>
      <x:c r="N1386" s="20"/>
      <x:c r="O1386" s="31"/>
      <x:c r="P1386" s="20"/>
      <x:c r="Q1386" s="20"/>
      <x:c r="R1386" s="20" t="str">
        <x:v>待展开</x:v>
      </x:c>
      <x:c r="S1386" s="20"/>
      <x:c r="T1386" s="31"/>
      <x:c r="U1386" s="30" t="str">
        <x:f>IF(A1386="","缺记录编号",IF(COUNTIFS(PathRecords[记录编号],A1386)&lt;&gt;1,"记录编号重复",IF(OR(B1386="",E1386=""),"缺组合/功能",IF(COUNTIFS(Equipment[组合编号],B1386)&lt;&gt;1,"组合编号无效",IF(COUNTIFS(FunctionMatrix[编号],E1386)=0,"功能编号无效",IF(H1386="不适用",IF(J1386="已实测","适用性冲突",IF(I1386="","待补不适用依据","不适用（非实测）")),IF(J1386="阻塞",IF(I1386="","待补阻塞原因","阻塞（非实测）"),IF(J1386&lt;&gt;"已实测",IF(F1386="","待展开路径","未实测"),IF(H1386&lt;&gt;"适用","待确认适用性",IF(INDEX(Equipment[登记状态（自动）],MATCH(B1386,Equipment[组合编号],0))&lt;&gt;"已登记","待补设备组合",IF(AND(F1386&lt;&gt;"",G1386&lt;&gt;"",K1386&lt;&gt;"",L1386&lt;&gt;"",M1386&lt;&gt;"",N1386&lt;&gt;"",ISNUMBER(O1386),O1386&gt;0,P1386&lt;&gt;""),"记录齐全","待补实测记录")))))))))))</x:f>
        <x:v>待展开路径</x:v>
      </x:c>
    </x:row>
    <x:row r="1387" ht="43.5" customHeight="1">
      <x:c r="A1387" s="20" t="str">
        <x:v>REC-01378</x:v>
      </x:c>
      <x:c r="B1387" s="20" t="str">
        <x:v>P3-B3-01</x:v>
      </x:c>
      <x:c r="C1387" s="30" t="str">
        <x:f>IF(B1387="","",IF(COUNTIFS(Equipment[组合编号],B1387)&lt;&gt;1,"组合编号无效",INDEX(Equipment[PLC组],MATCH(B1387,Equipment[组合编号],0))))</x:f>
        <x:v>欧姆龙</x:v>
      </x:c>
      <x:c r="D1387" s="30" t="str">
        <x:f>IF(B1387="","",IF(COUNTIFS(Equipment[组合编号],B1387)&lt;&gt;1,"组合编号无效",INDEX(Equipment[驱动品牌],MATCH(B1387,Equipment[组合编号],0))))</x:f>
        <x:v>繁易</x:v>
      </x:c>
      <x:c r="E1387" s="20" t="str">
        <x:v>R08</x:v>
      </x:c>
      <x:c r="F1387" s="20"/>
      <x:c r="G1387" s="20"/>
      <x:c r="H1387" s="20" t="str">
        <x:v>待判定</x:v>
      </x:c>
      <x:c r="I1387" s="20"/>
      <x:c r="J1387" s="20" t="str">
        <x:v>未测试</x:v>
      </x:c>
      <x:c r="K1387" s="20"/>
      <x:c r="L1387" s="20"/>
      <x:c r="M1387" s="20"/>
      <x:c r="N1387" s="20"/>
      <x:c r="O1387" s="31"/>
      <x:c r="P1387" s="20"/>
      <x:c r="Q1387" s="20"/>
      <x:c r="R1387" s="20" t="str">
        <x:v>待展开</x:v>
      </x:c>
      <x:c r="S1387" s="20"/>
      <x:c r="T1387" s="31"/>
      <x:c r="U1387" s="30" t="str">
        <x:f>IF(A1387="","缺记录编号",IF(COUNTIFS(PathRecords[记录编号],A1387)&lt;&gt;1,"记录编号重复",IF(OR(B1387="",E1387=""),"缺组合/功能",IF(COUNTIFS(Equipment[组合编号],B1387)&lt;&gt;1,"组合编号无效",IF(COUNTIFS(FunctionMatrix[编号],E1387)=0,"功能编号无效",IF(H1387="不适用",IF(J1387="已实测","适用性冲突",IF(I1387="","待补不适用依据","不适用（非实测）")),IF(J1387="阻塞",IF(I1387="","待补阻塞原因","阻塞（非实测）"),IF(J1387&lt;&gt;"已实测",IF(F1387="","待展开路径","未实测"),IF(H1387&lt;&gt;"适用","待确认适用性",IF(INDEX(Equipment[登记状态（自动）],MATCH(B1387,Equipment[组合编号],0))&lt;&gt;"已登记","待补设备组合",IF(AND(F1387&lt;&gt;"",G1387&lt;&gt;"",K1387&lt;&gt;"",L1387&lt;&gt;"",M1387&lt;&gt;"",N1387&lt;&gt;"",ISNUMBER(O1387),O1387&gt;0,P1387&lt;&gt;""),"记录齐全","待补实测记录")))))))))))</x:f>
        <x:v>待展开路径</x:v>
      </x:c>
    </x:row>
    <x:row r="1388" ht="43.5" customHeight="1">
      <x:c r="A1388" s="20" t="str">
        <x:v>REC-01379</x:v>
      </x:c>
      <x:c r="B1388" s="20" t="str">
        <x:v>P3-B4-01</x:v>
      </x:c>
      <x:c r="C1388" s="30" t="str">
        <x:f>IF(B1388="","",IF(COUNTIFS(Equipment[组合编号],B1388)&lt;&gt;1,"组合编号无效",INDEX(Equipment[PLC组],MATCH(B1388,Equipment[组合编号],0))))</x:f>
        <x:v>欧姆龙</x:v>
      </x:c>
      <x:c r="D1388" s="30" t="str">
        <x:f>IF(B1388="","",IF(COUNTIFS(Equipment[组合编号],B1388)&lt;&gt;1,"组合编号无效",INDEX(Equipment[驱动品牌],MATCH(B1388,Equipment[组合编号],0))))</x:f>
        <x:v>Elmo</x:v>
      </x:c>
      <x:c r="E1388" s="20" t="str">
        <x:v>M01</x:v>
      </x:c>
      <x:c r="F1388" s="20"/>
      <x:c r="G1388" s="20"/>
      <x:c r="H1388" s="20" t="str">
        <x:v>待判定</x:v>
      </x:c>
      <x:c r="I1388" s="20"/>
      <x:c r="J1388" s="20" t="str">
        <x:v>未测试</x:v>
      </x:c>
      <x:c r="K1388" s="20"/>
      <x:c r="L1388" s="20"/>
      <x:c r="M1388" s="20"/>
      <x:c r="N1388" s="20"/>
      <x:c r="O1388" s="31"/>
      <x:c r="P1388" s="20"/>
      <x:c r="Q1388" s="20"/>
      <x:c r="R1388" s="20" t="str">
        <x:v>待展开</x:v>
      </x:c>
      <x:c r="S1388" s="20"/>
      <x:c r="T1388" s="31"/>
      <x:c r="U1388" s="30" t="str">
        <x:f>IF(A1388="","缺记录编号",IF(COUNTIFS(PathRecords[记录编号],A1388)&lt;&gt;1,"记录编号重复",IF(OR(B1388="",E1388=""),"缺组合/功能",IF(COUNTIFS(Equipment[组合编号],B1388)&lt;&gt;1,"组合编号无效",IF(COUNTIFS(FunctionMatrix[编号],E1388)=0,"功能编号无效",IF(H1388="不适用",IF(J1388="已实测","适用性冲突",IF(I1388="","待补不适用依据","不适用（非实测）")),IF(J1388="阻塞",IF(I1388="","待补阻塞原因","阻塞（非实测）"),IF(J1388&lt;&gt;"已实测",IF(F1388="","待展开路径","未实测"),IF(H1388&lt;&gt;"适用","待确认适用性",IF(INDEX(Equipment[登记状态（自动）],MATCH(B1388,Equipment[组合编号],0))&lt;&gt;"已登记","待补设备组合",IF(AND(F1388&lt;&gt;"",G1388&lt;&gt;"",K1388&lt;&gt;"",L1388&lt;&gt;"",M1388&lt;&gt;"",N1388&lt;&gt;"",ISNUMBER(O1388),O1388&gt;0,P1388&lt;&gt;""),"记录齐全","待补实测记录")))))))))))</x:f>
        <x:v>待展开路径</x:v>
      </x:c>
    </x:row>
    <x:row r="1389" ht="43.5" customHeight="1">
      <x:c r="A1389" s="20" t="str">
        <x:v>REC-01380</x:v>
      </x:c>
      <x:c r="B1389" s="20" t="str">
        <x:v>P3-B4-01</x:v>
      </x:c>
      <x:c r="C1389" s="30" t="str">
        <x:f>IF(B1389="","",IF(COUNTIFS(Equipment[组合编号],B1389)&lt;&gt;1,"组合编号无效",INDEX(Equipment[PLC组],MATCH(B1389,Equipment[组合编号],0))))</x:f>
        <x:v>欧姆龙</x:v>
      </x:c>
      <x:c r="D1389" s="30" t="str">
        <x:f>IF(B1389="","",IF(COUNTIFS(Equipment[组合编号],B1389)&lt;&gt;1,"组合编号无效",INDEX(Equipment[驱动品牌],MATCH(B1389,Equipment[组合编号],0))))</x:f>
        <x:v>Elmo</x:v>
      </x:c>
      <x:c r="E1389" s="20" t="str">
        <x:v>M02</x:v>
      </x:c>
      <x:c r="F1389" s="20"/>
      <x:c r="G1389" s="20"/>
      <x:c r="H1389" s="20" t="str">
        <x:v>待判定</x:v>
      </x:c>
      <x:c r="I1389" s="20"/>
      <x:c r="J1389" s="20" t="str">
        <x:v>未测试</x:v>
      </x:c>
      <x:c r="K1389" s="20"/>
      <x:c r="L1389" s="20"/>
      <x:c r="M1389" s="20"/>
      <x:c r="N1389" s="20"/>
      <x:c r="O1389" s="31"/>
      <x:c r="P1389" s="20"/>
      <x:c r="Q1389" s="20"/>
      <x:c r="R1389" s="20" t="str">
        <x:v>待展开</x:v>
      </x:c>
      <x:c r="S1389" s="20"/>
      <x:c r="T1389" s="31"/>
      <x:c r="U1389" s="30" t="str">
        <x:f>IF(A1389="","缺记录编号",IF(COUNTIFS(PathRecords[记录编号],A1389)&lt;&gt;1,"记录编号重复",IF(OR(B1389="",E1389=""),"缺组合/功能",IF(COUNTIFS(Equipment[组合编号],B1389)&lt;&gt;1,"组合编号无效",IF(COUNTIFS(FunctionMatrix[编号],E1389)=0,"功能编号无效",IF(H1389="不适用",IF(J1389="已实测","适用性冲突",IF(I1389="","待补不适用依据","不适用（非实测）")),IF(J1389="阻塞",IF(I1389="","待补阻塞原因","阻塞（非实测）"),IF(J1389&lt;&gt;"已实测",IF(F1389="","待展开路径","未实测"),IF(H1389&lt;&gt;"适用","待确认适用性",IF(INDEX(Equipment[登记状态（自动）],MATCH(B1389,Equipment[组合编号],0))&lt;&gt;"已登记","待补设备组合",IF(AND(F1389&lt;&gt;"",G1389&lt;&gt;"",K1389&lt;&gt;"",L1389&lt;&gt;"",M1389&lt;&gt;"",N1389&lt;&gt;"",ISNUMBER(O1389),O1389&gt;0,P1389&lt;&gt;""),"记录齐全","待补实测记录")))))))))))</x:f>
        <x:v>待展开路径</x:v>
      </x:c>
    </x:row>
    <x:row r="1390" ht="43.5" customHeight="1">
      <x:c r="A1390" s="20" t="str">
        <x:v>REC-01381</x:v>
      </x:c>
      <x:c r="B1390" s="20" t="str">
        <x:v>P3-B4-01</x:v>
      </x:c>
      <x:c r="C1390" s="30" t="str">
        <x:f>IF(B1390="","",IF(COUNTIFS(Equipment[组合编号],B1390)&lt;&gt;1,"组合编号无效",INDEX(Equipment[PLC组],MATCH(B1390,Equipment[组合编号],0))))</x:f>
        <x:v>欧姆龙</x:v>
      </x:c>
      <x:c r="D1390" s="30" t="str">
        <x:f>IF(B1390="","",IF(COUNTIFS(Equipment[组合编号],B1390)&lt;&gt;1,"组合编号无效",INDEX(Equipment[驱动品牌],MATCH(B1390,Equipment[组合编号],0))))</x:f>
        <x:v>Elmo</x:v>
      </x:c>
      <x:c r="E1390" s="20" t="str">
        <x:v>M03</x:v>
      </x:c>
      <x:c r="F1390" s="20"/>
      <x:c r="G1390" s="20"/>
      <x:c r="H1390" s="20" t="str">
        <x:v>待判定</x:v>
      </x:c>
      <x:c r="I1390" s="20"/>
      <x:c r="J1390" s="20" t="str">
        <x:v>未测试</x:v>
      </x:c>
      <x:c r="K1390" s="20"/>
      <x:c r="L1390" s="20"/>
      <x:c r="M1390" s="20"/>
      <x:c r="N1390" s="20"/>
      <x:c r="O1390" s="31"/>
      <x:c r="P1390" s="20"/>
      <x:c r="Q1390" s="20"/>
      <x:c r="R1390" s="20" t="str">
        <x:v>待展开</x:v>
      </x:c>
      <x:c r="S1390" s="20"/>
      <x:c r="T1390" s="31"/>
      <x:c r="U1390" s="30" t="str">
        <x:f>IF(A1390="","缺记录编号",IF(COUNTIFS(PathRecords[记录编号],A1390)&lt;&gt;1,"记录编号重复",IF(OR(B1390="",E1390=""),"缺组合/功能",IF(COUNTIFS(Equipment[组合编号],B1390)&lt;&gt;1,"组合编号无效",IF(COUNTIFS(FunctionMatrix[编号],E1390)=0,"功能编号无效",IF(H1390="不适用",IF(J1390="已实测","适用性冲突",IF(I1390="","待补不适用依据","不适用（非实测）")),IF(J1390="阻塞",IF(I1390="","待补阻塞原因","阻塞（非实测）"),IF(J1390&lt;&gt;"已实测",IF(F1390="","待展开路径","未实测"),IF(H1390&lt;&gt;"适用","待确认适用性",IF(INDEX(Equipment[登记状态（自动）],MATCH(B1390,Equipment[组合编号],0))&lt;&gt;"已登记","待补设备组合",IF(AND(F1390&lt;&gt;"",G1390&lt;&gt;"",K1390&lt;&gt;"",L1390&lt;&gt;"",M1390&lt;&gt;"",N1390&lt;&gt;"",ISNUMBER(O1390),O1390&gt;0,P1390&lt;&gt;""),"记录齐全","待补实测记录")))))))))))</x:f>
        <x:v>待展开路径</x:v>
      </x:c>
    </x:row>
    <x:row r="1391" ht="43.5" customHeight="1">
      <x:c r="A1391" s="20" t="str">
        <x:v>REC-01382</x:v>
      </x:c>
      <x:c r="B1391" s="20" t="str">
        <x:v>P3-B4-01</x:v>
      </x:c>
      <x:c r="C1391" s="30" t="str">
        <x:f>IF(B1391="","",IF(COUNTIFS(Equipment[组合编号],B1391)&lt;&gt;1,"组合编号无效",INDEX(Equipment[PLC组],MATCH(B1391,Equipment[组合编号],0))))</x:f>
        <x:v>欧姆龙</x:v>
      </x:c>
      <x:c r="D1391" s="30" t="str">
        <x:f>IF(B1391="","",IF(COUNTIFS(Equipment[组合编号],B1391)&lt;&gt;1,"组合编号无效",INDEX(Equipment[驱动品牌],MATCH(B1391,Equipment[组合编号],0))))</x:f>
        <x:v>Elmo</x:v>
      </x:c>
      <x:c r="E1391" s="20" t="str">
        <x:v>M04</x:v>
      </x:c>
      <x:c r="F1391" s="20"/>
      <x:c r="G1391" s="20"/>
      <x:c r="H1391" s="20" t="str">
        <x:v>待判定</x:v>
      </x:c>
      <x:c r="I1391" s="20"/>
      <x:c r="J1391" s="20" t="str">
        <x:v>未测试</x:v>
      </x:c>
      <x:c r="K1391" s="20"/>
      <x:c r="L1391" s="20"/>
      <x:c r="M1391" s="20"/>
      <x:c r="N1391" s="20"/>
      <x:c r="O1391" s="31"/>
      <x:c r="P1391" s="20"/>
      <x:c r="Q1391" s="20"/>
      <x:c r="R1391" s="20" t="str">
        <x:v>待展开</x:v>
      </x:c>
      <x:c r="S1391" s="20"/>
      <x:c r="T1391" s="31"/>
      <x:c r="U1391" s="30" t="str">
        <x:f>IF(A1391="","缺记录编号",IF(COUNTIFS(PathRecords[记录编号],A1391)&lt;&gt;1,"记录编号重复",IF(OR(B1391="",E1391=""),"缺组合/功能",IF(COUNTIFS(Equipment[组合编号],B1391)&lt;&gt;1,"组合编号无效",IF(COUNTIFS(FunctionMatrix[编号],E1391)=0,"功能编号无效",IF(H1391="不适用",IF(J1391="已实测","适用性冲突",IF(I1391="","待补不适用依据","不适用（非实测）")),IF(J1391="阻塞",IF(I1391="","待补阻塞原因","阻塞（非实测）"),IF(J1391&lt;&gt;"已实测",IF(F1391="","待展开路径","未实测"),IF(H1391&lt;&gt;"适用","待确认适用性",IF(INDEX(Equipment[登记状态（自动）],MATCH(B1391,Equipment[组合编号],0))&lt;&gt;"已登记","待补设备组合",IF(AND(F1391&lt;&gt;"",G1391&lt;&gt;"",K1391&lt;&gt;"",L1391&lt;&gt;"",M1391&lt;&gt;"",N1391&lt;&gt;"",ISNUMBER(O1391),O1391&gt;0,P1391&lt;&gt;""),"记录齐全","待补实测记录")))))))))))</x:f>
        <x:v>待展开路径</x:v>
      </x:c>
    </x:row>
    <x:row r="1392" ht="43.5" customHeight="1">
      <x:c r="A1392" s="20" t="str">
        <x:v>REC-01383</x:v>
      </x:c>
      <x:c r="B1392" s="20" t="str">
        <x:v>P3-B4-01</x:v>
      </x:c>
      <x:c r="C1392" s="30" t="str">
        <x:f>IF(B1392="","",IF(COUNTIFS(Equipment[组合编号],B1392)&lt;&gt;1,"组合编号无效",INDEX(Equipment[PLC组],MATCH(B1392,Equipment[组合编号],0))))</x:f>
        <x:v>欧姆龙</x:v>
      </x:c>
      <x:c r="D1392" s="30" t="str">
        <x:f>IF(B1392="","",IF(COUNTIFS(Equipment[组合编号],B1392)&lt;&gt;1,"组合编号无效",INDEX(Equipment[驱动品牌],MATCH(B1392,Equipment[组合编号],0))))</x:f>
        <x:v>Elmo</x:v>
      </x:c>
      <x:c r="E1392" s="20" t="str">
        <x:v>M05</x:v>
      </x:c>
      <x:c r="F1392" s="20"/>
      <x:c r="G1392" s="20"/>
      <x:c r="H1392" s="20" t="str">
        <x:v>待判定</x:v>
      </x:c>
      <x:c r="I1392" s="20"/>
      <x:c r="J1392" s="20" t="str">
        <x:v>未测试</x:v>
      </x:c>
      <x:c r="K1392" s="20"/>
      <x:c r="L1392" s="20"/>
      <x:c r="M1392" s="20"/>
      <x:c r="N1392" s="20"/>
      <x:c r="O1392" s="31"/>
      <x:c r="P1392" s="20"/>
      <x:c r="Q1392" s="20"/>
      <x:c r="R1392" s="20" t="str">
        <x:v>待展开</x:v>
      </x:c>
      <x:c r="S1392" s="20"/>
      <x:c r="T1392" s="31"/>
      <x:c r="U1392" s="30" t="str">
        <x:f>IF(A1392="","缺记录编号",IF(COUNTIFS(PathRecords[记录编号],A1392)&lt;&gt;1,"记录编号重复",IF(OR(B1392="",E1392=""),"缺组合/功能",IF(COUNTIFS(Equipment[组合编号],B1392)&lt;&gt;1,"组合编号无效",IF(COUNTIFS(FunctionMatrix[编号],E1392)=0,"功能编号无效",IF(H1392="不适用",IF(J1392="已实测","适用性冲突",IF(I1392="","待补不适用依据","不适用（非实测）")),IF(J1392="阻塞",IF(I1392="","待补阻塞原因","阻塞（非实测）"),IF(J1392&lt;&gt;"已实测",IF(F1392="","待展开路径","未实测"),IF(H1392&lt;&gt;"适用","待确认适用性",IF(INDEX(Equipment[登记状态（自动）],MATCH(B1392,Equipment[组合编号],0))&lt;&gt;"已登记","待补设备组合",IF(AND(F1392&lt;&gt;"",G1392&lt;&gt;"",K1392&lt;&gt;"",L1392&lt;&gt;"",M1392&lt;&gt;"",N1392&lt;&gt;"",ISNUMBER(O1392),O1392&gt;0,P1392&lt;&gt;""),"记录齐全","待补实测记录")))))))))))</x:f>
        <x:v>待展开路径</x:v>
      </x:c>
    </x:row>
    <x:row r="1393" ht="43.5" customHeight="1">
      <x:c r="A1393" s="20" t="str">
        <x:v>REC-01384</x:v>
      </x:c>
      <x:c r="B1393" s="20" t="str">
        <x:v>P3-B4-01</x:v>
      </x:c>
      <x:c r="C1393" s="30" t="str">
        <x:f>IF(B1393="","",IF(COUNTIFS(Equipment[组合编号],B1393)&lt;&gt;1,"组合编号无效",INDEX(Equipment[PLC组],MATCH(B1393,Equipment[组合编号],0))))</x:f>
        <x:v>欧姆龙</x:v>
      </x:c>
      <x:c r="D1393" s="30" t="str">
        <x:f>IF(B1393="","",IF(COUNTIFS(Equipment[组合编号],B1393)&lt;&gt;1,"组合编号无效",INDEX(Equipment[驱动品牌],MATCH(B1393,Equipment[组合编号],0))))</x:f>
        <x:v>Elmo</x:v>
      </x:c>
      <x:c r="E1393" s="20" t="str">
        <x:v>M06</x:v>
      </x:c>
      <x:c r="F1393" s="20"/>
      <x:c r="G1393" s="20"/>
      <x:c r="H1393" s="20" t="str">
        <x:v>待判定</x:v>
      </x:c>
      <x:c r="I1393" s="20"/>
      <x:c r="J1393" s="20" t="str">
        <x:v>未测试</x:v>
      </x:c>
      <x:c r="K1393" s="20"/>
      <x:c r="L1393" s="20"/>
      <x:c r="M1393" s="20"/>
      <x:c r="N1393" s="20"/>
      <x:c r="O1393" s="31"/>
      <x:c r="P1393" s="20"/>
      <x:c r="Q1393" s="20"/>
      <x:c r="R1393" s="20" t="str">
        <x:v>待展开</x:v>
      </x:c>
      <x:c r="S1393" s="20"/>
      <x:c r="T1393" s="31"/>
      <x:c r="U1393" s="30" t="str">
        <x:f>IF(A1393="","缺记录编号",IF(COUNTIFS(PathRecords[记录编号],A1393)&lt;&gt;1,"记录编号重复",IF(OR(B1393="",E1393=""),"缺组合/功能",IF(COUNTIFS(Equipment[组合编号],B1393)&lt;&gt;1,"组合编号无效",IF(COUNTIFS(FunctionMatrix[编号],E1393)=0,"功能编号无效",IF(H1393="不适用",IF(J1393="已实测","适用性冲突",IF(I1393="","待补不适用依据","不适用（非实测）")),IF(J1393="阻塞",IF(I1393="","待补阻塞原因","阻塞（非实测）"),IF(J1393&lt;&gt;"已实测",IF(F1393="","待展开路径","未实测"),IF(H1393&lt;&gt;"适用","待确认适用性",IF(INDEX(Equipment[登记状态（自动）],MATCH(B1393,Equipment[组合编号],0))&lt;&gt;"已登记","待补设备组合",IF(AND(F1393&lt;&gt;"",G1393&lt;&gt;"",K1393&lt;&gt;"",L1393&lt;&gt;"",M1393&lt;&gt;"",N1393&lt;&gt;"",ISNUMBER(O1393),O1393&gt;0,P1393&lt;&gt;""),"记录齐全","待补实测记录")))))))))))</x:f>
        <x:v>待展开路径</x:v>
      </x:c>
    </x:row>
    <x:row r="1394" ht="43.5" customHeight="1">
      <x:c r="A1394" s="20" t="str">
        <x:v>REC-01385</x:v>
      </x:c>
      <x:c r="B1394" s="20" t="str">
        <x:v>P3-B4-01</x:v>
      </x:c>
      <x:c r="C1394" s="30" t="str">
        <x:f>IF(B1394="","",IF(COUNTIFS(Equipment[组合编号],B1394)&lt;&gt;1,"组合编号无效",INDEX(Equipment[PLC组],MATCH(B1394,Equipment[组合编号],0))))</x:f>
        <x:v>欧姆龙</x:v>
      </x:c>
      <x:c r="D1394" s="30" t="str">
        <x:f>IF(B1394="","",IF(COUNTIFS(Equipment[组合编号],B1394)&lt;&gt;1,"组合编号无效",INDEX(Equipment[驱动品牌],MATCH(B1394,Equipment[组合编号],0))))</x:f>
        <x:v>Elmo</x:v>
      </x:c>
      <x:c r="E1394" s="20" t="str">
        <x:v>M07</x:v>
      </x:c>
      <x:c r="F1394" s="20"/>
      <x:c r="G1394" s="20"/>
      <x:c r="H1394" s="20" t="str">
        <x:v>待判定</x:v>
      </x:c>
      <x:c r="I1394" s="20"/>
      <x:c r="J1394" s="20" t="str">
        <x:v>未测试</x:v>
      </x:c>
      <x:c r="K1394" s="20"/>
      <x:c r="L1394" s="20"/>
      <x:c r="M1394" s="20"/>
      <x:c r="N1394" s="20"/>
      <x:c r="O1394" s="31"/>
      <x:c r="P1394" s="20"/>
      <x:c r="Q1394" s="20"/>
      <x:c r="R1394" s="20" t="str">
        <x:v>待展开</x:v>
      </x:c>
      <x:c r="S1394" s="20"/>
      <x:c r="T1394" s="31"/>
      <x:c r="U1394" s="30" t="str">
        <x:f>IF(A1394="","缺记录编号",IF(COUNTIFS(PathRecords[记录编号],A1394)&lt;&gt;1,"记录编号重复",IF(OR(B1394="",E1394=""),"缺组合/功能",IF(COUNTIFS(Equipment[组合编号],B1394)&lt;&gt;1,"组合编号无效",IF(COUNTIFS(FunctionMatrix[编号],E1394)=0,"功能编号无效",IF(H1394="不适用",IF(J1394="已实测","适用性冲突",IF(I1394="","待补不适用依据","不适用（非实测）")),IF(J1394="阻塞",IF(I1394="","待补阻塞原因","阻塞（非实测）"),IF(J1394&lt;&gt;"已实测",IF(F1394="","待展开路径","未实测"),IF(H1394&lt;&gt;"适用","待确认适用性",IF(INDEX(Equipment[登记状态（自动）],MATCH(B1394,Equipment[组合编号],0))&lt;&gt;"已登记","待补设备组合",IF(AND(F1394&lt;&gt;"",G1394&lt;&gt;"",K1394&lt;&gt;"",L1394&lt;&gt;"",M1394&lt;&gt;"",N1394&lt;&gt;"",ISNUMBER(O1394),O1394&gt;0,P1394&lt;&gt;""),"记录齐全","待补实测记录")))))))))))</x:f>
        <x:v>待展开路径</x:v>
      </x:c>
    </x:row>
    <x:row r="1395" ht="43.5" customHeight="1">
      <x:c r="A1395" s="20" t="str">
        <x:v>REC-01386</x:v>
      </x:c>
      <x:c r="B1395" s="20" t="str">
        <x:v>P3-B4-01</x:v>
      </x:c>
      <x:c r="C1395" s="30" t="str">
        <x:f>IF(B1395="","",IF(COUNTIFS(Equipment[组合编号],B1395)&lt;&gt;1,"组合编号无效",INDEX(Equipment[PLC组],MATCH(B1395,Equipment[组合编号],0))))</x:f>
        <x:v>欧姆龙</x:v>
      </x:c>
      <x:c r="D1395" s="30" t="str">
        <x:f>IF(B1395="","",IF(COUNTIFS(Equipment[组合编号],B1395)&lt;&gt;1,"组合编号无效",INDEX(Equipment[驱动品牌],MATCH(B1395,Equipment[组合编号],0))))</x:f>
        <x:v>Elmo</x:v>
      </x:c>
      <x:c r="E1395" s="20" t="str">
        <x:v>M09</x:v>
      </x:c>
      <x:c r="F1395" s="20"/>
      <x:c r="G1395" s="20"/>
      <x:c r="H1395" s="20" t="str">
        <x:v>待判定</x:v>
      </x:c>
      <x:c r="I1395" s="20"/>
      <x:c r="J1395" s="20" t="str">
        <x:v>未测试</x:v>
      </x:c>
      <x:c r="K1395" s="20"/>
      <x:c r="L1395" s="20"/>
      <x:c r="M1395" s="20"/>
      <x:c r="N1395" s="20"/>
      <x:c r="O1395" s="31"/>
      <x:c r="P1395" s="20"/>
      <x:c r="Q1395" s="20"/>
      <x:c r="R1395" s="20" t="str">
        <x:v>待展开</x:v>
      </x:c>
      <x:c r="S1395" s="20"/>
      <x:c r="T1395" s="31"/>
      <x:c r="U1395" s="30" t="str">
        <x:f>IF(A1395="","缺记录编号",IF(COUNTIFS(PathRecords[记录编号],A1395)&lt;&gt;1,"记录编号重复",IF(OR(B1395="",E1395=""),"缺组合/功能",IF(COUNTIFS(Equipment[组合编号],B1395)&lt;&gt;1,"组合编号无效",IF(COUNTIFS(FunctionMatrix[编号],E1395)=0,"功能编号无效",IF(H1395="不适用",IF(J1395="已实测","适用性冲突",IF(I1395="","待补不适用依据","不适用（非实测）")),IF(J1395="阻塞",IF(I1395="","待补阻塞原因","阻塞（非实测）"),IF(J1395&lt;&gt;"已实测",IF(F1395="","待展开路径","未实测"),IF(H1395&lt;&gt;"适用","待确认适用性",IF(INDEX(Equipment[登记状态（自动）],MATCH(B1395,Equipment[组合编号],0))&lt;&gt;"已登记","待补设备组合",IF(AND(F1395&lt;&gt;"",G1395&lt;&gt;"",K1395&lt;&gt;"",L1395&lt;&gt;"",M1395&lt;&gt;"",N1395&lt;&gt;"",ISNUMBER(O1395),O1395&gt;0,P1395&lt;&gt;""),"记录齐全","待补实测记录")))))))))))</x:f>
        <x:v>待展开路径</x:v>
      </x:c>
    </x:row>
    <x:row r="1396" ht="43.5" customHeight="1">
      <x:c r="A1396" s="20" t="str">
        <x:v>REC-01387</x:v>
      </x:c>
      <x:c r="B1396" s="20" t="str">
        <x:v>P3-B4-01</x:v>
      </x:c>
      <x:c r="C1396" s="30" t="str">
        <x:f>IF(B1396="","",IF(COUNTIFS(Equipment[组合编号],B1396)&lt;&gt;1,"组合编号无效",INDEX(Equipment[PLC组],MATCH(B1396,Equipment[组合编号],0))))</x:f>
        <x:v>欧姆龙</x:v>
      </x:c>
      <x:c r="D1396" s="30" t="str">
        <x:f>IF(B1396="","",IF(COUNTIFS(Equipment[组合编号],B1396)&lt;&gt;1,"组合编号无效",INDEX(Equipment[驱动品牌],MATCH(B1396,Equipment[组合编号],0))))</x:f>
        <x:v>Elmo</x:v>
      </x:c>
      <x:c r="E1396" s="20" t="str">
        <x:v>M10</x:v>
      </x:c>
      <x:c r="F1396" s="20"/>
      <x:c r="G1396" s="20"/>
      <x:c r="H1396" s="20" t="str">
        <x:v>待判定</x:v>
      </x:c>
      <x:c r="I1396" s="20"/>
      <x:c r="J1396" s="20" t="str">
        <x:v>未测试</x:v>
      </x:c>
      <x:c r="K1396" s="20"/>
      <x:c r="L1396" s="20"/>
      <x:c r="M1396" s="20"/>
      <x:c r="N1396" s="20"/>
      <x:c r="O1396" s="31"/>
      <x:c r="P1396" s="20"/>
      <x:c r="Q1396" s="20"/>
      <x:c r="R1396" s="20" t="str">
        <x:v>待展开</x:v>
      </x:c>
      <x:c r="S1396" s="20"/>
      <x:c r="T1396" s="31"/>
      <x:c r="U1396" s="30" t="str">
        <x:f>IF(A1396="","缺记录编号",IF(COUNTIFS(PathRecords[记录编号],A1396)&lt;&gt;1,"记录编号重复",IF(OR(B1396="",E1396=""),"缺组合/功能",IF(COUNTIFS(Equipment[组合编号],B1396)&lt;&gt;1,"组合编号无效",IF(COUNTIFS(FunctionMatrix[编号],E1396)=0,"功能编号无效",IF(H1396="不适用",IF(J1396="已实测","适用性冲突",IF(I1396="","待补不适用依据","不适用（非实测）")),IF(J1396="阻塞",IF(I1396="","待补阻塞原因","阻塞（非实测）"),IF(J1396&lt;&gt;"已实测",IF(F1396="","待展开路径","未实测"),IF(H1396&lt;&gt;"适用","待确认适用性",IF(INDEX(Equipment[登记状态（自动）],MATCH(B1396,Equipment[组合编号],0))&lt;&gt;"已登记","待补设备组合",IF(AND(F1396&lt;&gt;"",G1396&lt;&gt;"",K1396&lt;&gt;"",L1396&lt;&gt;"",M1396&lt;&gt;"",N1396&lt;&gt;"",ISNUMBER(O1396),O1396&gt;0,P1396&lt;&gt;""),"记录齐全","待补实测记录")))))))))))</x:f>
        <x:v>待展开路径</x:v>
      </x:c>
    </x:row>
    <x:row r="1397" ht="43.5" customHeight="1">
      <x:c r="A1397" s="20" t="str">
        <x:v>REC-01388</x:v>
      </x:c>
      <x:c r="B1397" s="20" t="str">
        <x:v>P3-B4-01</x:v>
      </x:c>
      <x:c r="C1397" s="30" t="str">
        <x:f>IF(B1397="","",IF(COUNTIFS(Equipment[组合编号],B1397)&lt;&gt;1,"组合编号无效",INDEX(Equipment[PLC组],MATCH(B1397,Equipment[组合编号],0))))</x:f>
        <x:v>欧姆龙</x:v>
      </x:c>
      <x:c r="D1397" s="30" t="str">
        <x:f>IF(B1397="","",IF(COUNTIFS(Equipment[组合编号],B1397)&lt;&gt;1,"组合编号无效",INDEX(Equipment[驱动品牌],MATCH(B1397,Equipment[组合编号],0))))</x:f>
        <x:v>Elmo</x:v>
      </x:c>
      <x:c r="E1397" s="20" t="str">
        <x:v>D01</x:v>
      </x:c>
      <x:c r="F1397" s="20"/>
      <x:c r="G1397" s="20"/>
      <x:c r="H1397" s="20" t="str">
        <x:v>待判定</x:v>
      </x:c>
      <x:c r="I1397" s="20"/>
      <x:c r="J1397" s="20" t="str">
        <x:v>未测试</x:v>
      </x:c>
      <x:c r="K1397" s="20"/>
      <x:c r="L1397" s="20"/>
      <x:c r="M1397" s="20"/>
      <x:c r="N1397" s="20"/>
      <x:c r="O1397" s="31"/>
      <x:c r="P1397" s="20"/>
      <x:c r="Q1397" s="20"/>
      <x:c r="R1397" s="20" t="str">
        <x:v>待展开</x:v>
      </x:c>
      <x:c r="S1397" s="20"/>
      <x:c r="T1397" s="31"/>
      <x:c r="U1397" s="30" t="str">
        <x:f>IF(A1397="","缺记录编号",IF(COUNTIFS(PathRecords[记录编号],A1397)&lt;&gt;1,"记录编号重复",IF(OR(B1397="",E1397=""),"缺组合/功能",IF(COUNTIFS(Equipment[组合编号],B1397)&lt;&gt;1,"组合编号无效",IF(COUNTIFS(FunctionMatrix[编号],E1397)=0,"功能编号无效",IF(H1397="不适用",IF(J1397="已实测","适用性冲突",IF(I1397="","待补不适用依据","不适用（非实测）")),IF(J1397="阻塞",IF(I1397="","待补阻塞原因","阻塞（非实测）"),IF(J1397&lt;&gt;"已实测",IF(F1397="","待展开路径","未实测"),IF(H1397&lt;&gt;"适用","待确认适用性",IF(INDEX(Equipment[登记状态（自动）],MATCH(B1397,Equipment[组合编号],0))&lt;&gt;"已登记","待补设备组合",IF(AND(F1397&lt;&gt;"",G1397&lt;&gt;"",K1397&lt;&gt;"",L1397&lt;&gt;"",M1397&lt;&gt;"",N1397&lt;&gt;"",ISNUMBER(O1397),O1397&gt;0,P1397&lt;&gt;""),"记录齐全","待补实测记录")))))))))))</x:f>
        <x:v>待展开路径</x:v>
      </x:c>
    </x:row>
    <x:row r="1398" ht="43.5" customHeight="1">
      <x:c r="A1398" s="20" t="str">
        <x:v>REC-01389</x:v>
      </x:c>
      <x:c r="B1398" s="20" t="str">
        <x:v>P3-B4-01</x:v>
      </x:c>
      <x:c r="C1398" s="30" t="str">
        <x:f>IF(B1398="","",IF(COUNTIFS(Equipment[组合编号],B1398)&lt;&gt;1,"组合编号无效",INDEX(Equipment[PLC组],MATCH(B1398,Equipment[组合编号],0))))</x:f>
        <x:v>欧姆龙</x:v>
      </x:c>
      <x:c r="D1398" s="30" t="str">
        <x:f>IF(B1398="","",IF(COUNTIFS(Equipment[组合编号],B1398)&lt;&gt;1,"组合编号无效",INDEX(Equipment[驱动品牌],MATCH(B1398,Equipment[组合编号],0))))</x:f>
        <x:v>Elmo</x:v>
      </x:c>
      <x:c r="E1398" s="20" t="str">
        <x:v>D02</x:v>
      </x:c>
      <x:c r="F1398" s="20"/>
      <x:c r="G1398" s="20"/>
      <x:c r="H1398" s="20" t="str">
        <x:v>待判定</x:v>
      </x:c>
      <x:c r="I1398" s="20"/>
      <x:c r="J1398" s="20" t="str">
        <x:v>未测试</x:v>
      </x:c>
      <x:c r="K1398" s="20"/>
      <x:c r="L1398" s="20"/>
      <x:c r="M1398" s="20"/>
      <x:c r="N1398" s="20"/>
      <x:c r="O1398" s="31"/>
      <x:c r="P1398" s="20"/>
      <x:c r="Q1398" s="20"/>
      <x:c r="R1398" s="20" t="str">
        <x:v>待展开</x:v>
      </x:c>
      <x:c r="S1398" s="20"/>
      <x:c r="T1398" s="31"/>
      <x:c r="U1398" s="30" t="str">
        <x:f>IF(A1398="","缺记录编号",IF(COUNTIFS(PathRecords[记录编号],A1398)&lt;&gt;1,"记录编号重复",IF(OR(B1398="",E1398=""),"缺组合/功能",IF(COUNTIFS(Equipment[组合编号],B1398)&lt;&gt;1,"组合编号无效",IF(COUNTIFS(FunctionMatrix[编号],E1398)=0,"功能编号无效",IF(H1398="不适用",IF(J1398="已实测","适用性冲突",IF(I1398="","待补不适用依据","不适用（非实测）")),IF(J1398="阻塞",IF(I1398="","待补阻塞原因","阻塞（非实测）"),IF(J1398&lt;&gt;"已实测",IF(F1398="","待展开路径","未实测"),IF(H1398&lt;&gt;"适用","待确认适用性",IF(INDEX(Equipment[登记状态（自动）],MATCH(B1398,Equipment[组合编号],0))&lt;&gt;"已登记","待补设备组合",IF(AND(F1398&lt;&gt;"",G1398&lt;&gt;"",K1398&lt;&gt;"",L1398&lt;&gt;"",M1398&lt;&gt;"",N1398&lt;&gt;"",ISNUMBER(O1398),O1398&gt;0,P1398&lt;&gt;""),"记录齐全","待补实测记录")))))))))))</x:f>
        <x:v>待展开路径</x:v>
      </x:c>
    </x:row>
    <x:row r="1399" ht="43.5" customHeight="1">
      <x:c r="A1399" s="20" t="str">
        <x:v>REC-01390</x:v>
      </x:c>
      <x:c r="B1399" s="20" t="str">
        <x:v>P3-B4-01</x:v>
      </x:c>
      <x:c r="C1399" s="30" t="str">
        <x:f>IF(B1399="","",IF(COUNTIFS(Equipment[组合编号],B1399)&lt;&gt;1,"组合编号无效",INDEX(Equipment[PLC组],MATCH(B1399,Equipment[组合编号],0))))</x:f>
        <x:v>欧姆龙</x:v>
      </x:c>
      <x:c r="D1399" s="30" t="str">
        <x:f>IF(B1399="","",IF(COUNTIFS(Equipment[组合编号],B1399)&lt;&gt;1,"组合编号无效",INDEX(Equipment[驱动品牌],MATCH(B1399,Equipment[组合编号],0))))</x:f>
        <x:v>Elmo</x:v>
      </x:c>
      <x:c r="E1399" s="20" t="str">
        <x:v>D03</x:v>
      </x:c>
      <x:c r="F1399" s="20"/>
      <x:c r="G1399" s="20"/>
      <x:c r="H1399" s="20" t="str">
        <x:v>待判定</x:v>
      </x:c>
      <x:c r="I1399" s="20"/>
      <x:c r="J1399" s="20" t="str">
        <x:v>未测试</x:v>
      </x:c>
      <x:c r="K1399" s="20"/>
      <x:c r="L1399" s="20"/>
      <x:c r="M1399" s="20"/>
      <x:c r="N1399" s="20"/>
      <x:c r="O1399" s="31"/>
      <x:c r="P1399" s="20"/>
      <x:c r="Q1399" s="20"/>
      <x:c r="R1399" s="20" t="str">
        <x:v>待展开</x:v>
      </x:c>
      <x:c r="S1399" s="20"/>
      <x:c r="T1399" s="31"/>
      <x:c r="U1399" s="30" t="str">
        <x:f>IF(A1399="","缺记录编号",IF(COUNTIFS(PathRecords[记录编号],A1399)&lt;&gt;1,"记录编号重复",IF(OR(B1399="",E1399=""),"缺组合/功能",IF(COUNTIFS(Equipment[组合编号],B1399)&lt;&gt;1,"组合编号无效",IF(COUNTIFS(FunctionMatrix[编号],E1399)=0,"功能编号无效",IF(H1399="不适用",IF(J1399="已实测","适用性冲突",IF(I1399="","待补不适用依据","不适用（非实测）")),IF(J1399="阻塞",IF(I1399="","待补阻塞原因","阻塞（非实测）"),IF(J1399&lt;&gt;"已实测",IF(F1399="","待展开路径","未实测"),IF(H1399&lt;&gt;"适用","待确认适用性",IF(INDEX(Equipment[登记状态（自动）],MATCH(B1399,Equipment[组合编号],0))&lt;&gt;"已登记","待补设备组合",IF(AND(F1399&lt;&gt;"",G1399&lt;&gt;"",K1399&lt;&gt;"",L1399&lt;&gt;"",M1399&lt;&gt;"",N1399&lt;&gt;"",ISNUMBER(O1399),O1399&gt;0,P1399&lt;&gt;""),"记录齐全","待补实测记录")))))))))))</x:f>
        <x:v>待展开路径</x:v>
      </x:c>
    </x:row>
    <x:row r="1400" ht="43.5" customHeight="1">
      <x:c r="A1400" s="20" t="str">
        <x:v>REC-01391</x:v>
      </x:c>
      <x:c r="B1400" s="20" t="str">
        <x:v>P3-B4-01</x:v>
      </x:c>
      <x:c r="C1400" s="30" t="str">
        <x:f>IF(B1400="","",IF(COUNTIFS(Equipment[组合编号],B1400)&lt;&gt;1,"组合编号无效",INDEX(Equipment[PLC组],MATCH(B1400,Equipment[组合编号],0))))</x:f>
        <x:v>欧姆龙</x:v>
      </x:c>
      <x:c r="D1400" s="30" t="str">
        <x:f>IF(B1400="","",IF(COUNTIFS(Equipment[组合编号],B1400)&lt;&gt;1,"组合编号无效",INDEX(Equipment[驱动品牌],MATCH(B1400,Equipment[组合编号],0))))</x:f>
        <x:v>Elmo</x:v>
      </x:c>
      <x:c r="E1400" s="20" t="str">
        <x:v>D04</x:v>
      </x:c>
      <x:c r="F1400" s="20"/>
      <x:c r="G1400" s="20"/>
      <x:c r="H1400" s="20" t="str">
        <x:v>待判定</x:v>
      </x:c>
      <x:c r="I1400" s="20"/>
      <x:c r="J1400" s="20" t="str">
        <x:v>未测试</x:v>
      </x:c>
      <x:c r="K1400" s="20"/>
      <x:c r="L1400" s="20"/>
      <x:c r="M1400" s="20"/>
      <x:c r="N1400" s="20"/>
      <x:c r="O1400" s="31"/>
      <x:c r="P1400" s="20"/>
      <x:c r="Q1400" s="20"/>
      <x:c r="R1400" s="20" t="str">
        <x:v>待展开</x:v>
      </x:c>
      <x:c r="S1400" s="20"/>
      <x:c r="T1400" s="31"/>
      <x:c r="U1400" s="30" t="str">
        <x:f>IF(A1400="","缺记录编号",IF(COUNTIFS(PathRecords[记录编号],A1400)&lt;&gt;1,"记录编号重复",IF(OR(B1400="",E1400=""),"缺组合/功能",IF(COUNTIFS(Equipment[组合编号],B1400)&lt;&gt;1,"组合编号无效",IF(COUNTIFS(FunctionMatrix[编号],E1400)=0,"功能编号无效",IF(H1400="不适用",IF(J1400="已实测","适用性冲突",IF(I1400="","待补不适用依据","不适用（非实测）")),IF(J1400="阻塞",IF(I1400="","待补阻塞原因","阻塞（非实测）"),IF(J1400&lt;&gt;"已实测",IF(F1400="","待展开路径","未实测"),IF(H1400&lt;&gt;"适用","待确认适用性",IF(INDEX(Equipment[登记状态（自动）],MATCH(B1400,Equipment[组合编号],0))&lt;&gt;"已登记","待补设备组合",IF(AND(F1400&lt;&gt;"",G1400&lt;&gt;"",K1400&lt;&gt;"",L1400&lt;&gt;"",M1400&lt;&gt;"",N1400&lt;&gt;"",ISNUMBER(O1400),O1400&gt;0,P1400&lt;&gt;""),"记录齐全","待补实测记录")))))))))))</x:f>
        <x:v>待展开路径</x:v>
      </x:c>
    </x:row>
    <x:row r="1401" ht="43.5" customHeight="1">
      <x:c r="A1401" s="20" t="str">
        <x:v>REC-01392</x:v>
      </x:c>
      <x:c r="B1401" s="20" t="str">
        <x:v>P3-B4-01</x:v>
      </x:c>
      <x:c r="C1401" s="30" t="str">
        <x:f>IF(B1401="","",IF(COUNTIFS(Equipment[组合编号],B1401)&lt;&gt;1,"组合编号无效",INDEX(Equipment[PLC组],MATCH(B1401,Equipment[组合编号],0))))</x:f>
        <x:v>欧姆龙</x:v>
      </x:c>
      <x:c r="D1401" s="30" t="str">
        <x:f>IF(B1401="","",IF(COUNTIFS(Equipment[组合编号],B1401)&lt;&gt;1,"组合编号无效",INDEX(Equipment[驱动品牌],MATCH(B1401,Equipment[组合编号],0))))</x:f>
        <x:v>Elmo</x:v>
      </x:c>
      <x:c r="E1401" s="20" t="str">
        <x:v>D05</x:v>
      </x:c>
      <x:c r="F1401" s="20"/>
      <x:c r="G1401" s="20"/>
      <x:c r="H1401" s="20" t="str">
        <x:v>待判定</x:v>
      </x:c>
      <x:c r="I1401" s="20"/>
      <x:c r="J1401" s="20" t="str">
        <x:v>未测试</x:v>
      </x:c>
      <x:c r="K1401" s="20"/>
      <x:c r="L1401" s="20"/>
      <x:c r="M1401" s="20"/>
      <x:c r="N1401" s="20"/>
      <x:c r="O1401" s="31"/>
      <x:c r="P1401" s="20"/>
      <x:c r="Q1401" s="20"/>
      <x:c r="R1401" s="20" t="str">
        <x:v>待展开</x:v>
      </x:c>
      <x:c r="S1401" s="20"/>
      <x:c r="T1401" s="31"/>
      <x:c r="U1401" s="30" t="str">
        <x:f>IF(A1401="","缺记录编号",IF(COUNTIFS(PathRecords[记录编号],A1401)&lt;&gt;1,"记录编号重复",IF(OR(B1401="",E1401=""),"缺组合/功能",IF(COUNTIFS(Equipment[组合编号],B1401)&lt;&gt;1,"组合编号无效",IF(COUNTIFS(FunctionMatrix[编号],E1401)=0,"功能编号无效",IF(H1401="不适用",IF(J1401="已实测","适用性冲突",IF(I1401="","待补不适用依据","不适用（非实测）")),IF(J1401="阻塞",IF(I1401="","待补阻塞原因","阻塞（非实测）"),IF(J1401&lt;&gt;"已实测",IF(F1401="","待展开路径","未实测"),IF(H1401&lt;&gt;"适用","待确认适用性",IF(INDEX(Equipment[登记状态（自动）],MATCH(B1401,Equipment[组合编号],0))&lt;&gt;"已登记","待补设备组合",IF(AND(F1401&lt;&gt;"",G1401&lt;&gt;"",K1401&lt;&gt;"",L1401&lt;&gt;"",M1401&lt;&gt;"",N1401&lt;&gt;"",ISNUMBER(O1401),O1401&gt;0,P1401&lt;&gt;""),"记录齐全","待补实测记录")))))))))))</x:f>
        <x:v>待展开路径</x:v>
      </x:c>
    </x:row>
    <x:row r="1402" ht="43.5" customHeight="1">
      <x:c r="A1402" s="20" t="str">
        <x:v>REC-01393</x:v>
      </x:c>
      <x:c r="B1402" s="20" t="str">
        <x:v>P3-B4-01</x:v>
      </x:c>
      <x:c r="C1402" s="30" t="str">
        <x:f>IF(B1402="","",IF(COUNTIFS(Equipment[组合编号],B1402)&lt;&gt;1,"组合编号无效",INDEX(Equipment[PLC组],MATCH(B1402,Equipment[组合编号],0))))</x:f>
        <x:v>欧姆龙</x:v>
      </x:c>
      <x:c r="D1402" s="30" t="str">
        <x:f>IF(B1402="","",IF(COUNTIFS(Equipment[组合编号],B1402)&lt;&gt;1,"组合编号无效",INDEX(Equipment[驱动品牌],MATCH(B1402,Equipment[组合编号],0))))</x:f>
        <x:v>Elmo</x:v>
      </x:c>
      <x:c r="E1402" s="20" t="str">
        <x:v>D06</x:v>
      </x:c>
      <x:c r="F1402" s="20"/>
      <x:c r="G1402" s="20"/>
      <x:c r="H1402" s="20" t="str">
        <x:v>待判定</x:v>
      </x:c>
      <x:c r="I1402" s="20"/>
      <x:c r="J1402" s="20" t="str">
        <x:v>未测试</x:v>
      </x:c>
      <x:c r="K1402" s="20"/>
      <x:c r="L1402" s="20"/>
      <x:c r="M1402" s="20"/>
      <x:c r="N1402" s="20"/>
      <x:c r="O1402" s="31"/>
      <x:c r="P1402" s="20"/>
      <x:c r="Q1402" s="20"/>
      <x:c r="R1402" s="20" t="str">
        <x:v>待展开</x:v>
      </x:c>
      <x:c r="S1402" s="20"/>
      <x:c r="T1402" s="31"/>
      <x:c r="U1402" s="30" t="str">
        <x:f>IF(A1402="","缺记录编号",IF(COUNTIFS(PathRecords[记录编号],A1402)&lt;&gt;1,"记录编号重复",IF(OR(B1402="",E1402=""),"缺组合/功能",IF(COUNTIFS(Equipment[组合编号],B1402)&lt;&gt;1,"组合编号无效",IF(COUNTIFS(FunctionMatrix[编号],E1402)=0,"功能编号无效",IF(H1402="不适用",IF(J1402="已实测","适用性冲突",IF(I1402="","待补不适用依据","不适用（非实测）")),IF(J1402="阻塞",IF(I1402="","待补阻塞原因","阻塞（非实测）"),IF(J1402&lt;&gt;"已实测",IF(F1402="","待展开路径","未实测"),IF(H1402&lt;&gt;"适用","待确认适用性",IF(INDEX(Equipment[登记状态（自动）],MATCH(B1402,Equipment[组合编号],0))&lt;&gt;"已登记","待补设备组合",IF(AND(F1402&lt;&gt;"",G1402&lt;&gt;"",K1402&lt;&gt;"",L1402&lt;&gt;"",M1402&lt;&gt;"",N1402&lt;&gt;"",ISNUMBER(O1402),O1402&gt;0,P1402&lt;&gt;""),"记录齐全","待补实测记录")))))))))))</x:f>
        <x:v>待展开路径</x:v>
      </x:c>
    </x:row>
    <x:row r="1403" ht="43.5" customHeight="1">
      <x:c r="A1403" s="20" t="str">
        <x:v>REC-01394</x:v>
      </x:c>
      <x:c r="B1403" s="20" t="str">
        <x:v>P3-B4-01</x:v>
      </x:c>
      <x:c r="C1403" s="30" t="str">
        <x:f>IF(B1403="","",IF(COUNTIFS(Equipment[组合编号],B1403)&lt;&gt;1,"组合编号无效",INDEX(Equipment[PLC组],MATCH(B1403,Equipment[组合编号],0))))</x:f>
        <x:v>欧姆龙</x:v>
      </x:c>
      <x:c r="D1403" s="30" t="str">
        <x:f>IF(B1403="","",IF(COUNTIFS(Equipment[组合编号],B1403)&lt;&gt;1,"组合编号无效",INDEX(Equipment[驱动品牌],MATCH(B1403,Equipment[组合编号],0))))</x:f>
        <x:v>Elmo</x:v>
      </x:c>
      <x:c r="E1403" s="20" t="str">
        <x:v>D07</x:v>
      </x:c>
      <x:c r="F1403" s="20"/>
      <x:c r="G1403" s="20"/>
      <x:c r="H1403" s="20" t="str">
        <x:v>待判定</x:v>
      </x:c>
      <x:c r="I1403" s="20"/>
      <x:c r="J1403" s="20" t="str">
        <x:v>未测试</x:v>
      </x:c>
      <x:c r="K1403" s="20"/>
      <x:c r="L1403" s="20"/>
      <x:c r="M1403" s="20"/>
      <x:c r="N1403" s="20"/>
      <x:c r="O1403" s="31"/>
      <x:c r="P1403" s="20"/>
      <x:c r="Q1403" s="20"/>
      <x:c r="R1403" s="20" t="str">
        <x:v>待展开</x:v>
      </x:c>
      <x:c r="S1403" s="20"/>
      <x:c r="T1403" s="31"/>
      <x:c r="U1403" s="30" t="str">
        <x:f>IF(A1403="","缺记录编号",IF(COUNTIFS(PathRecords[记录编号],A1403)&lt;&gt;1,"记录编号重复",IF(OR(B1403="",E1403=""),"缺组合/功能",IF(COUNTIFS(Equipment[组合编号],B1403)&lt;&gt;1,"组合编号无效",IF(COUNTIFS(FunctionMatrix[编号],E1403)=0,"功能编号无效",IF(H1403="不适用",IF(J1403="已实测","适用性冲突",IF(I1403="","待补不适用依据","不适用（非实测）")),IF(J1403="阻塞",IF(I1403="","待补阻塞原因","阻塞（非实测）"),IF(J1403&lt;&gt;"已实测",IF(F1403="","待展开路径","未实测"),IF(H1403&lt;&gt;"适用","待确认适用性",IF(INDEX(Equipment[登记状态（自动）],MATCH(B1403,Equipment[组合编号],0))&lt;&gt;"已登记","待补设备组合",IF(AND(F1403&lt;&gt;"",G1403&lt;&gt;"",K1403&lt;&gt;"",L1403&lt;&gt;"",M1403&lt;&gt;"",N1403&lt;&gt;"",ISNUMBER(O1403),O1403&gt;0,P1403&lt;&gt;""),"记录齐全","待补实测记录")))))))))))</x:f>
        <x:v>待展开路径</x:v>
      </x:c>
    </x:row>
    <x:row r="1404" ht="43.5" customHeight="1">
      <x:c r="A1404" s="20" t="str">
        <x:v>REC-01395</x:v>
      </x:c>
      <x:c r="B1404" s="20" t="str">
        <x:v>P3-B4-01</x:v>
      </x:c>
      <x:c r="C1404" s="30" t="str">
        <x:f>IF(B1404="","",IF(COUNTIFS(Equipment[组合编号],B1404)&lt;&gt;1,"组合编号无效",INDEX(Equipment[PLC组],MATCH(B1404,Equipment[组合编号],0))))</x:f>
        <x:v>欧姆龙</x:v>
      </x:c>
      <x:c r="D1404" s="30" t="str">
        <x:f>IF(B1404="","",IF(COUNTIFS(Equipment[组合编号],B1404)&lt;&gt;1,"组合编号无效",INDEX(Equipment[驱动品牌],MATCH(B1404,Equipment[组合编号],0))))</x:f>
        <x:v>Elmo</x:v>
      </x:c>
      <x:c r="E1404" s="20" t="str">
        <x:v>D08</x:v>
      </x:c>
      <x:c r="F1404" s="20"/>
      <x:c r="G1404" s="20"/>
      <x:c r="H1404" s="20" t="str">
        <x:v>待判定</x:v>
      </x:c>
      <x:c r="I1404" s="20"/>
      <x:c r="J1404" s="20" t="str">
        <x:v>未测试</x:v>
      </x:c>
      <x:c r="K1404" s="20"/>
      <x:c r="L1404" s="20"/>
      <x:c r="M1404" s="20"/>
      <x:c r="N1404" s="20"/>
      <x:c r="O1404" s="31"/>
      <x:c r="P1404" s="20"/>
      <x:c r="Q1404" s="20"/>
      <x:c r="R1404" s="20" t="str">
        <x:v>待展开</x:v>
      </x:c>
      <x:c r="S1404" s="20"/>
      <x:c r="T1404" s="31"/>
      <x:c r="U1404" s="30" t="str">
        <x:f>IF(A1404="","缺记录编号",IF(COUNTIFS(PathRecords[记录编号],A1404)&lt;&gt;1,"记录编号重复",IF(OR(B1404="",E1404=""),"缺组合/功能",IF(COUNTIFS(Equipment[组合编号],B1404)&lt;&gt;1,"组合编号无效",IF(COUNTIFS(FunctionMatrix[编号],E1404)=0,"功能编号无效",IF(H1404="不适用",IF(J1404="已实测","适用性冲突",IF(I1404="","待补不适用依据","不适用（非实测）")),IF(J1404="阻塞",IF(I1404="","待补阻塞原因","阻塞（非实测）"),IF(J1404&lt;&gt;"已实测",IF(F1404="","待展开路径","未实测"),IF(H1404&lt;&gt;"适用","待确认适用性",IF(INDEX(Equipment[登记状态（自动）],MATCH(B1404,Equipment[组合编号],0))&lt;&gt;"已登记","待补设备组合",IF(AND(F1404&lt;&gt;"",G1404&lt;&gt;"",K1404&lt;&gt;"",L1404&lt;&gt;"",M1404&lt;&gt;"",N1404&lt;&gt;"",ISNUMBER(O1404),O1404&gt;0,P1404&lt;&gt;""),"记录齐全","待补实测记录")))))))))))</x:f>
        <x:v>待展开路径</x:v>
      </x:c>
    </x:row>
    <x:row r="1405" ht="43.5" customHeight="1">
      <x:c r="A1405" s="20" t="str">
        <x:v>REC-01396</x:v>
      </x:c>
      <x:c r="B1405" s="20" t="str">
        <x:v>P3-B4-01</x:v>
      </x:c>
      <x:c r="C1405" s="30" t="str">
        <x:f>IF(B1405="","",IF(COUNTIFS(Equipment[组合编号],B1405)&lt;&gt;1,"组合编号无效",INDEX(Equipment[PLC组],MATCH(B1405,Equipment[组合编号],0))))</x:f>
        <x:v>欧姆龙</x:v>
      </x:c>
      <x:c r="D1405" s="30" t="str">
        <x:f>IF(B1405="","",IF(COUNTIFS(Equipment[组合编号],B1405)&lt;&gt;1,"组合编号无效",INDEX(Equipment[驱动品牌],MATCH(B1405,Equipment[组合编号],0))))</x:f>
        <x:v>Elmo</x:v>
      </x:c>
      <x:c r="E1405" s="20" t="str">
        <x:v>D09</x:v>
      </x:c>
      <x:c r="F1405" s="20"/>
      <x:c r="G1405" s="20"/>
      <x:c r="H1405" s="20" t="str">
        <x:v>待判定</x:v>
      </x:c>
      <x:c r="I1405" s="20"/>
      <x:c r="J1405" s="20" t="str">
        <x:v>未测试</x:v>
      </x:c>
      <x:c r="K1405" s="20"/>
      <x:c r="L1405" s="20"/>
      <x:c r="M1405" s="20"/>
      <x:c r="N1405" s="20"/>
      <x:c r="O1405" s="31"/>
      <x:c r="P1405" s="20"/>
      <x:c r="Q1405" s="20"/>
      <x:c r="R1405" s="20" t="str">
        <x:v>待展开</x:v>
      </x:c>
      <x:c r="S1405" s="20"/>
      <x:c r="T1405" s="31"/>
      <x:c r="U1405" s="30" t="str">
        <x:f>IF(A1405="","缺记录编号",IF(COUNTIFS(PathRecords[记录编号],A1405)&lt;&gt;1,"记录编号重复",IF(OR(B1405="",E1405=""),"缺组合/功能",IF(COUNTIFS(Equipment[组合编号],B1405)&lt;&gt;1,"组合编号无效",IF(COUNTIFS(FunctionMatrix[编号],E1405)=0,"功能编号无效",IF(H1405="不适用",IF(J1405="已实测","适用性冲突",IF(I1405="","待补不适用依据","不适用（非实测）")),IF(J1405="阻塞",IF(I1405="","待补阻塞原因","阻塞（非实测）"),IF(J1405&lt;&gt;"已实测",IF(F1405="","待展开路径","未实测"),IF(H1405&lt;&gt;"适用","待确认适用性",IF(INDEX(Equipment[登记状态（自动）],MATCH(B1405,Equipment[组合编号],0))&lt;&gt;"已登记","待补设备组合",IF(AND(F1405&lt;&gt;"",G1405&lt;&gt;"",K1405&lt;&gt;"",L1405&lt;&gt;"",M1405&lt;&gt;"",N1405&lt;&gt;"",ISNUMBER(O1405),O1405&gt;0,P1405&lt;&gt;""),"记录齐全","待补实测记录")))))))))))</x:f>
        <x:v>待展开路径</x:v>
      </x:c>
    </x:row>
    <x:row r="1406" ht="43.5" customHeight="1">
      <x:c r="A1406" s="20" t="str">
        <x:v>REC-01397</x:v>
      </x:c>
      <x:c r="B1406" s="20" t="str">
        <x:v>P3-B4-01</x:v>
      </x:c>
      <x:c r="C1406" s="30" t="str">
        <x:f>IF(B1406="","",IF(COUNTIFS(Equipment[组合编号],B1406)&lt;&gt;1,"组合编号无效",INDEX(Equipment[PLC组],MATCH(B1406,Equipment[组合编号],0))))</x:f>
        <x:v>欧姆龙</x:v>
      </x:c>
      <x:c r="D1406" s="30" t="str">
        <x:f>IF(B1406="","",IF(COUNTIFS(Equipment[组合编号],B1406)&lt;&gt;1,"组合编号无效",INDEX(Equipment[驱动品牌],MATCH(B1406,Equipment[组合编号],0))))</x:f>
        <x:v>Elmo</x:v>
      </x:c>
      <x:c r="E1406" s="20" t="str">
        <x:v>S01</x:v>
      </x:c>
      <x:c r="F1406" s="20"/>
      <x:c r="G1406" s="20"/>
      <x:c r="H1406" s="20" t="str">
        <x:v>待判定</x:v>
      </x:c>
      <x:c r="I1406" s="20"/>
      <x:c r="J1406" s="20" t="str">
        <x:v>未测试</x:v>
      </x:c>
      <x:c r="K1406" s="20"/>
      <x:c r="L1406" s="20"/>
      <x:c r="M1406" s="20"/>
      <x:c r="N1406" s="20"/>
      <x:c r="O1406" s="31"/>
      <x:c r="P1406" s="20"/>
      <x:c r="Q1406" s="20"/>
      <x:c r="R1406" s="20" t="str">
        <x:v>待展开</x:v>
      </x:c>
      <x:c r="S1406" s="20"/>
      <x:c r="T1406" s="31"/>
      <x:c r="U1406" s="30" t="str">
        <x:f>IF(A1406="","缺记录编号",IF(COUNTIFS(PathRecords[记录编号],A1406)&lt;&gt;1,"记录编号重复",IF(OR(B1406="",E1406=""),"缺组合/功能",IF(COUNTIFS(Equipment[组合编号],B1406)&lt;&gt;1,"组合编号无效",IF(COUNTIFS(FunctionMatrix[编号],E1406)=0,"功能编号无效",IF(H1406="不适用",IF(J1406="已实测","适用性冲突",IF(I1406="","待补不适用依据","不适用（非实测）")),IF(J1406="阻塞",IF(I1406="","待补阻塞原因","阻塞（非实测）"),IF(J1406&lt;&gt;"已实测",IF(F1406="","待展开路径","未实测"),IF(H1406&lt;&gt;"适用","待确认适用性",IF(INDEX(Equipment[登记状态（自动）],MATCH(B1406,Equipment[组合编号],0))&lt;&gt;"已登记","待补设备组合",IF(AND(F1406&lt;&gt;"",G1406&lt;&gt;"",K1406&lt;&gt;"",L1406&lt;&gt;"",M1406&lt;&gt;"",N1406&lt;&gt;"",ISNUMBER(O1406),O1406&gt;0,P1406&lt;&gt;""),"记录齐全","待补实测记录")))))))))))</x:f>
        <x:v>待展开路径</x:v>
      </x:c>
    </x:row>
    <x:row r="1407" ht="43.5" customHeight="1">
      <x:c r="A1407" s="20" t="str">
        <x:v>REC-01398</x:v>
      </x:c>
      <x:c r="B1407" s="20" t="str">
        <x:v>P3-B4-01</x:v>
      </x:c>
      <x:c r="C1407" s="30" t="str">
        <x:f>IF(B1407="","",IF(COUNTIFS(Equipment[组合编号],B1407)&lt;&gt;1,"组合编号无效",INDEX(Equipment[PLC组],MATCH(B1407,Equipment[组合编号],0))))</x:f>
        <x:v>欧姆龙</x:v>
      </x:c>
      <x:c r="D1407" s="30" t="str">
        <x:f>IF(B1407="","",IF(COUNTIFS(Equipment[组合编号],B1407)&lt;&gt;1,"组合编号无效",INDEX(Equipment[驱动品牌],MATCH(B1407,Equipment[组合编号],0))))</x:f>
        <x:v>Elmo</x:v>
      </x:c>
      <x:c r="E1407" s="20" t="str">
        <x:v>S02</x:v>
      </x:c>
      <x:c r="F1407" s="20"/>
      <x:c r="G1407" s="20"/>
      <x:c r="H1407" s="20" t="str">
        <x:v>待判定</x:v>
      </x:c>
      <x:c r="I1407" s="20"/>
      <x:c r="J1407" s="20" t="str">
        <x:v>未测试</x:v>
      </x:c>
      <x:c r="K1407" s="20"/>
      <x:c r="L1407" s="20"/>
      <x:c r="M1407" s="20"/>
      <x:c r="N1407" s="20"/>
      <x:c r="O1407" s="31"/>
      <x:c r="P1407" s="20"/>
      <x:c r="Q1407" s="20"/>
      <x:c r="R1407" s="20" t="str">
        <x:v>待展开</x:v>
      </x:c>
      <x:c r="S1407" s="20"/>
      <x:c r="T1407" s="31"/>
      <x:c r="U1407" s="30" t="str">
        <x:f>IF(A1407="","缺记录编号",IF(COUNTIFS(PathRecords[记录编号],A1407)&lt;&gt;1,"记录编号重复",IF(OR(B1407="",E1407=""),"缺组合/功能",IF(COUNTIFS(Equipment[组合编号],B1407)&lt;&gt;1,"组合编号无效",IF(COUNTIFS(FunctionMatrix[编号],E1407)=0,"功能编号无效",IF(H1407="不适用",IF(J1407="已实测","适用性冲突",IF(I1407="","待补不适用依据","不适用（非实测）")),IF(J1407="阻塞",IF(I1407="","待补阻塞原因","阻塞（非实测）"),IF(J1407&lt;&gt;"已实测",IF(F1407="","待展开路径","未实测"),IF(H1407&lt;&gt;"适用","待确认适用性",IF(INDEX(Equipment[登记状态（自动）],MATCH(B1407,Equipment[组合编号],0))&lt;&gt;"已登记","待补设备组合",IF(AND(F1407&lt;&gt;"",G1407&lt;&gt;"",K1407&lt;&gt;"",L1407&lt;&gt;"",M1407&lt;&gt;"",N1407&lt;&gt;"",ISNUMBER(O1407),O1407&gt;0,P1407&lt;&gt;""),"记录齐全","待补实测记录")))))))))))</x:f>
        <x:v>待展开路径</x:v>
      </x:c>
    </x:row>
    <x:row r="1408" ht="43.5" customHeight="1">
      <x:c r="A1408" s="20" t="str">
        <x:v>REC-01399</x:v>
      </x:c>
      <x:c r="B1408" s="20" t="str">
        <x:v>P3-B4-01</x:v>
      </x:c>
      <x:c r="C1408" s="30" t="str">
        <x:f>IF(B1408="","",IF(COUNTIFS(Equipment[组合编号],B1408)&lt;&gt;1,"组合编号无效",INDEX(Equipment[PLC组],MATCH(B1408,Equipment[组合编号],0))))</x:f>
        <x:v>欧姆龙</x:v>
      </x:c>
      <x:c r="D1408" s="30" t="str">
        <x:f>IF(B1408="","",IF(COUNTIFS(Equipment[组合编号],B1408)&lt;&gt;1,"组合编号无效",INDEX(Equipment[驱动品牌],MATCH(B1408,Equipment[组合编号],0))))</x:f>
        <x:v>Elmo</x:v>
      </x:c>
      <x:c r="E1408" s="20" t="str">
        <x:v>S03</x:v>
      </x:c>
      <x:c r="F1408" s="20"/>
      <x:c r="G1408" s="20"/>
      <x:c r="H1408" s="20" t="str">
        <x:v>待判定</x:v>
      </x:c>
      <x:c r="I1408" s="20"/>
      <x:c r="J1408" s="20" t="str">
        <x:v>未测试</x:v>
      </x:c>
      <x:c r="K1408" s="20"/>
      <x:c r="L1408" s="20"/>
      <x:c r="M1408" s="20"/>
      <x:c r="N1408" s="20"/>
      <x:c r="O1408" s="31"/>
      <x:c r="P1408" s="20"/>
      <x:c r="Q1408" s="20"/>
      <x:c r="R1408" s="20" t="str">
        <x:v>待展开</x:v>
      </x:c>
      <x:c r="S1408" s="20"/>
      <x:c r="T1408" s="31"/>
      <x:c r="U1408" s="30" t="str">
        <x:f>IF(A1408="","缺记录编号",IF(COUNTIFS(PathRecords[记录编号],A1408)&lt;&gt;1,"记录编号重复",IF(OR(B1408="",E1408=""),"缺组合/功能",IF(COUNTIFS(Equipment[组合编号],B1408)&lt;&gt;1,"组合编号无效",IF(COUNTIFS(FunctionMatrix[编号],E1408)=0,"功能编号无效",IF(H1408="不适用",IF(J1408="已实测","适用性冲突",IF(I1408="","待补不适用依据","不适用（非实测）")),IF(J1408="阻塞",IF(I1408="","待补阻塞原因","阻塞（非实测）"),IF(J1408&lt;&gt;"已实测",IF(F1408="","待展开路径","未实测"),IF(H1408&lt;&gt;"适用","待确认适用性",IF(INDEX(Equipment[登记状态（自动）],MATCH(B1408,Equipment[组合编号],0))&lt;&gt;"已登记","待补设备组合",IF(AND(F1408&lt;&gt;"",G1408&lt;&gt;"",K1408&lt;&gt;"",L1408&lt;&gt;"",M1408&lt;&gt;"",N1408&lt;&gt;"",ISNUMBER(O1408),O1408&gt;0,P1408&lt;&gt;""),"记录齐全","待补实测记录")))))))))))</x:f>
        <x:v>待展开路径</x:v>
      </x:c>
    </x:row>
    <x:row r="1409" ht="43.5" customHeight="1">
      <x:c r="A1409" s="20" t="str">
        <x:v>REC-01400</x:v>
      </x:c>
      <x:c r="B1409" s="20" t="str">
        <x:v>P3-B4-01</x:v>
      </x:c>
      <x:c r="C1409" s="30" t="str">
        <x:f>IF(B1409="","",IF(COUNTIFS(Equipment[组合编号],B1409)&lt;&gt;1,"组合编号无效",INDEX(Equipment[PLC组],MATCH(B1409,Equipment[组合编号],0))))</x:f>
        <x:v>欧姆龙</x:v>
      </x:c>
      <x:c r="D1409" s="30" t="str">
        <x:f>IF(B1409="","",IF(COUNTIFS(Equipment[组合编号],B1409)&lt;&gt;1,"组合编号无效",INDEX(Equipment[驱动品牌],MATCH(B1409,Equipment[组合编号],0))))</x:f>
        <x:v>Elmo</x:v>
      </x:c>
      <x:c r="E1409" s="20" t="str">
        <x:v>S04</x:v>
      </x:c>
      <x:c r="F1409" s="20"/>
      <x:c r="G1409" s="20"/>
      <x:c r="H1409" s="20" t="str">
        <x:v>待判定</x:v>
      </x:c>
      <x:c r="I1409" s="20"/>
      <x:c r="J1409" s="20" t="str">
        <x:v>未测试</x:v>
      </x:c>
      <x:c r="K1409" s="20"/>
      <x:c r="L1409" s="20"/>
      <x:c r="M1409" s="20"/>
      <x:c r="N1409" s="20"/>
      <x:c r="O1409" s="31"/>
      <x:c r="P1409" s="20"/>
      <x:c r="Q1409" s="20"/>
      <x:c r="R1409" s="20" t="str">
        <x:v>待展开</x:v>
      </x:c>
      <x:c r="S1409" s="20"/>
      <x:c r="T1409" s="31"/>
      <x:c r="U1409" s="30" t="str">
        <x:f>IF(A1409="","缺记录编号",IF(COUNTIFS(PathRecords[记录编号],A1409)&lt;&gt;1,"记录编号重复",IF(OR(B1409="",E1409=""),"缺组合/功能",IF(COUNTIFS(Equipment[组合编号],B1409)&lt;&gt;1,"组合编号无效",IF(COUNTIFS(FunctionMatrix[编号],E1409)=0,"功能编号无效",IF(H1409="不适用",IF(J1409="已实测","适用性冲突",IF(I1409="","待补不适用依据","不适用（非实测）")),IF(J1409="阻塞",IF(I1409="","待补阻塞原因","阻塞（非实测）"),IF(J1409&lt;&gt;"已实测",IF(F1409="","待展开路径","未实测"),IF(H1409&lt;&gt;"适用","待确认适用性",IF(INDEX(Equipment[登记状态（自动）],MATCH(B1409,Equipment[组合编号],0))&lt;&gt;"已登记","待补设备组合",IF(AND(F1409&lt;&gt;"",G1409&lt;&gt;"",K1409&lt;&gt;"",L1409&lt;&gt;"",M1409&lt;&gt;"",N1409&lt;&gt;"",ISNUMBER(O1409),O1409&gt;0,P1409&lt;&gt;""),"记录齐全","待补实测记录")))))))))))</x:f>
        <x:v>待展开路径</x:v>
      </x:c>
    </x:row>
    <x:row r="1410" ht="43.5" customHeight="1">
      <x:c r="A1410" s="20" t="str">
        <x:v>REC-01401</x:v>
      </x:c>
      <x:c r="B1410" s="20" t="str">
        <x:v>P3-B4-01</x:v>
      </x:c>
      <x:c r="C1410" s="30" t="str">
        <x:f>IF(B1410="","",IF(COUNTIFS(Equipment[组合编号],B1410)&lt;&gt;1,"组合编号无效",INDEX(Equipment[PLC组],MATCH(B1410,Equipment[组合编号],0))))</x:f>
        <x:v>欧姆龙</x:v>
      </x:c>
      <x:c r="D1410" s="30" t="str">
        <x:f>IF(B1410="","",IF(COUNTIFS(Equipment[组合编号],B1410)&lt;&gt;1,"组合编号无效",INDEX(Equipment[驱动品牌],MATCH(B1410,Equipment[组合编号],0))))</x:f>
        <x:v>Elmo</x:v>
      </x:c>
      <x:c r="E1410" s="20" t="str">
        <x:v>S05</x:v>
      </x:c>
      <x:c r="F1410" s="20"/>
      <x:c r="G1410" s="20"/>
      <x:c r="H1410" s="20" t="str">
        <x:v>待判定</x:v>
      </x:c>
      <x:c r="I1410" s="20"/>
      <x:c r="J1410" s="20" t="str">
        <x:v>未测试</x:v>
      </x:c>
      <x:c r="K1410" s="20"/>
      <x:c r="L1410" s="20"/>
      <x:c r="M1410" s="20"/>
      <x:c r="N1410" s="20"/>
      <x:c r="O1410" s="31"/>
      <x:c r="P1410" s="20"/>
      <x:c r="Q1410" s="20"/>
      <x:c r="R1410" s="20" t="str">
        <x:v>待展开</x:v>
      </x:c>
      <x:c r="S1410" s="20"/>
      <x:c r="T1410" s="31"/>
      <x:c r="U1410" s="30" t="str">
        <x:f>IF(A1410="","缺记录编号",IF(COUNTIFS(PathRecords[记录编号],A1410)&lt;&gt;1,"记录编号重复",IF(OR(B1410="",E1410=""),"缺组合/功能",IF(COUNTIFS(Equipment[组合编号],B1410)&lt;&gt;1,"组合编号无效",IF(COUNTIFS(FunctionMatrix[编号],E1410)=0,"功能编号无效",IF(H1410="不适用",IF(J1410="已实测","适用性冲突",IF(I1410="","待补不适用依据","不适用（非实测）")),IF(J1410="阻塞",IF(I1410="","待补阻塞原因","阻塞（非实测）"),IF(J1410&lt;&gt;"已实测",IF(F1410="","待展开路径","未实测"),IF(H1410&lt;&gt;"适用","待确认适用性",IF(INDEX(Equipment[登记状态（自动）],MATCH(B1410,Equipment[组合编号],0))&lt;&gt;"已登记","待补设备组合",IF(AND(F1410&lt;&gt;"",G1410&lt;&gt;"",K1410&lt;&gt;"",L1410&lt;&gt;"",M1410&lt;&gt;"",N1410&lt;&gt;"",ISNUMBER(O1410),O1410&gt;0,P1410&lt;&gt;""),"记录齐全","待补实测记录")))))))))))</x:f>
        <x:v>待展开路径</x:v>
      </x:c>
    </x:row>
    <x:row r="1411" ht="43.5" customHeight="1">
      <x:c r="A1411" s="20" t="str">
        <x:v>REC-01402</x:v>
      </x:c>
      <x:c r="B1411" s="20" t="str">
        <x:v>P3-B4-01</x:v>
      </x:c>
      <x:c r="C1411" s="30" t="str">
        <x:f>IF(B1411="","",IF(COUNTIFS(Equipment[组合编号],B1411)&lt;&gt;1,"组合编号无效",INDEX(Equipment[PLC组],MATCH(B1411,Equipment[组合编号],0))))</x:f>
        <x:v>欧姆龙</x:v>
      </x:c>
      <x:c r="D1411" s="30" t="str">
        <x:f>IF(B1411="","",IF(COUNTIFS(Equipment[组合编号],B1411)&lt;&gt;1,"组合编号无效",INDEX(Equipment[驱动品牌],MATCH(B1411,Equipment[组合编号],0))))</x:f>
        <x:v>Elmo</x:v>
      </x:c>
      <x:c r="E1411" s="20" t="str">
        <x:v>S06</x:v>
      </x:c>
      <x:c r="F1411" s="20"/>
      <x:c r="G1411" s="20"/>
      <x:c r="H1411" s="20" t="str">
        <x:v>待判定</x:v>
      </x:c>
      <x:c r="I1411" s="20"/>
      <x:c r="J1411" s="20" t="str">
        <x:v>未测试</x:v>
      </x:c>
      <x:c r="K1411" s="20"/>
      <x:c r="L1411" s="20"/>
      <x:c r="M1411" s="20"/>
      <x:c r="N1411" s="20"/>
      <x:c r="O1411" s="31"/>
      <x:c r="P1411" s="20"/>
      <x:c r="Q1411" s="20"/>
      <x:c r="R1411" s="20" t="str">
        <x:v>待展开</x:v>
      </x:c>
      <x:c r="S1411" s="20"/>
      <x:c r="T1411" s="31"/>
      <x:c r="U1411" s="30" t="str">
        <x:f>IF(A1411="","缺记录编号",IF(COUNTIFS(PathRecords[记录编号],A1411)&lt;&gt;1,"记录编号重复",IF(OR(B1411="",E1411=""),"缺组合/功能",IF(COUNTIFS(Equipment[组合编号],B1411)&lt;&gt;1,"组合编号无效",IF(COUNTIFS(FunctionMatrix[编号],E1411)=0,"功能编号无效",IF(H1411="不适用",IF(J1411="已实测","适用性冲突",IF(I1411="","待补不适用依据","不适用（非实测）")),IF(J1411="阻塞",IF(I1411="","待补阻塞原因","阻塞（非实测）"),IF(J1411&lt;&gt;"已实测",IF(F1411="","待展开路径","未实测"),IF(H1411&lt;&gt;"适用","待确认适用性",IF(INDEX(Equipment[登记状态（自动）],MATCH(B1411,Equipment[组合编号],0))&lt;&gt;"已登记","待补设备组合",IF(AND(F1411&lt;&gt;"",G1411&lt;&gt;"",K1411&lt;&gt;"",L1411&lt;&gt;"",M1411&lt;&gt;"",N1411&lt;&gt;"",ISNUMBER(O1411),O1411&gt;0,P1411&lt;&gt;""),"记录齐全","待补实测记录")))))))))))</x:f>
        <x:v>待展开路径</x:v>
      </x:c>
    </x:row>
    <x:row r="1412" ht="43.5" customHeight="1">
      <x:c r="A1412" s="20" t="str">
        <x:v>REC-01403</x:v>
      </x:c>
      <x:c r="B1412" s="20" t="str">
        <x:v>P3-B4-01</x:v>
      </x:c>
      <x:c r="C1412" s="30" t="str">
        <x:f>IF(B1412="","",IF(COUNTIFS(Equipment[组合编号],B1412)&lt;&gt;1,"组合编号无效",INDEX(Equipment[PLC组],MATCH(B1412,Equipment[组合编号],0))))</x:f>
        <x:v>欧姆龙</x:v>
      </x:c>
      <x:c r="D1412" s="30" t="str">
        <x:f>IF(B1412="","",IF(COUNTIFS(Equipment[组合编号],B1412)&lt;&gt;1,"组合编号无效",INDEX(Equipment[驱动品牌],MATCH(B1412,Equipment[组合编号],0))))</x:f>
        <x:v>Elmo</x:v>
      </x:c>
      <x:c r="E1412" s="20" t="str">
        <x:v>S07</x:v>
      </x:c>
      <x:c r="F1412" s="20"/>
      <x:c r="G1412" s="20"/>
      <x:c r="H1412" s="20" t="str">
        <x:v>待判定</x:v>
      </x:c>
      <x:c r="I1412" s="20"/>
      <x:c r="J1412" s="20" t="str">
        <x:v>未测试</x:v>
      </x:c>
      <x:c r="K1412" s="20"/>
      <x:c r="L1412" s="20"/>
      <x:c r="M1412" s="20"/>
      <x:c r="N1412" s="20"/>
      <x:c r="O1412" s="31"/>
      <x:c r="P1412" s="20"/>
      <x:c r="Q1412" s="20"/>
      <x:c r="R1412" s="20" t="str">
        <x:v>待展开</x:v>
      </x:c>
      <x:c r="S1412" s="20"/>
      <x:c r="T1412" s="31"/>
      <x:c r="U1412" s="30" t="str">
        <x:f>IF(A1412="","缺记录编号",IF(COUNTIFS(PathRecords[记录编号],A1412)&lt;&gt;1,"记录编号重复",IF(OR(B1412="",E1412=""),"缺组合/功能",IF(COUNTIFS(Equipment[组合编号],B1412)&lt;&gt;1,"组合编号无效",IF(COUNTIFS(FunctionMatrix[编号],E1412)=0,"功能编号无效",IF(H1412="不适用",IF(J1412="已实测","适用性冲突",IF(I1412="","待补不适用依据","不适用（非实测）")),IF(J1412="阻塞",IF(I1412="","待补阻塞原因","阻塞（非实测）"),IF(J1412&lt;&gt;"已实测",IF(F1412="","待展开路径","未实测"),IF(H1412&lt;&gt;"适用","待确认适用性",IF(INDEX(Equipment[登记状态（自动）],MATCH(B1412,Equipment[组合编号],0))&lt;&gt;"已登记","待补设备组合",IF(AND(F1412&lt;&gt;"",G1412&lt;&gt;"",K1412&lt;&gt;"",L1412&lt;&gt;"",M1412&lt;&gt;"",N1412&lt;&gt;"",ISNUMBER(O1412),O1412&gt;0,P1412&lt;&gt;""),"记录齐全","待补实测记录")))))))))))</x:f>
        <x:v>待展开路径</x:v>
      </x:c>
    </x:row>
    <x:row r="1413" ht="43.5" customHeight="1">
      <x:c r="A1413" s="20" t="str">
        <x:v>REC-01404</x:v>
      </x:c>
      <x:c r="B1413" s="20" t="str">
        <x:v>P3-B4-01</x:v>
      </x:c>
      <x:c r="C1413" s="30" t="str">
        <x:f>IF(B1413="","",IF(COUNTIFS(Equipment[组合编号],B1413)&lt;&gt;1,"组合编号无效",INDEX(Equipment[PLC组],MATCH(B1413,Equipment[组合编号],0))))</x:f>
        <x:v>欧姆龙</x:v>
      </x:c>
      <x:c r="D1413" s="30" t="str">
        <x:f>IF(B1413="","",IF(COUNTIFS(Equipment[组合编号],B1413)&lt;&gt;1,"组合编号无效",INDEX(Equipment[驱动品牌],MATCH(B1413,Equipment[组合编号],0))))</x:f>
        <x:v>Elmo</x:v>
      </x:c>
      <x:c r="E1413" s="20" t="str">
        <x:v>S08</x:v>
      </x:c>
      <x:c r="F1413" s="20"/>
      <x:c r="G1413" s="20"/>
      <x:c r="H1413" s="20" t="str">
        <x:v>待判定</x:v>
      </x:c>
      <x:c r="I1413" s="20"/>
      <x:c r="J1413" s="20" t="str">
        <x:v>未测试</x:v>
      </x:c>
      <x:c r="K1413" s="20"/>
      <x:c r="L1413" s="20"/>
      <x:c r="M1413" s="20"/>
      <x:c r="N1413" s="20"/>
      <x:c r="O1413" s="31"/>
      <x:c r="P1413" s="20"/>
      <x:c r="Q1413" s="20"/>
      <x:c r="R1413" s="20" t="str">
        <x:v>待展开</x:v>
      </x:c>
      <x:c r="S1413" s="20"/>
      <x:c r="T1413" s="31"/>
      <x:c r="U1413" s="30" t="str">
        <x:f>IF(A1413="","缺记录编号",IF(COUNTIFS(PathRecords[记录编号],A1413)&lt;&gt;1,"记录编号重复",IF(OR(B1413="",E1413=""),"缺组合/功能",IF(COUNTIFS(Equipment[组合编号],B1413)&lt;&gt;1,"组合编号无效",IF(COUNTIFS(FunctionMatrix[编号],E1413)=0,"功能编号无效",IF(H1413="不适用",IF(J1413="已实测","适用性冲突",IF(I1413="","待补不适用依据","不适用（非实测）")),IF(J1413="阻塞",IF(I1413="","待补阻塞原因","阻塞（非实测）"),IF(J1413&lt;&gt;"已实测",IF(F1413="","待展开路径","未实测"),IF(H1413&lt;&gt;"适用","待确认适用性",IF(INDEX(Equipment[登记状态（自动）],MATCH(B1413,Equipment[组合编号],0))&lt;&gt;"已登记","待补设备组合",IF(AND(F1413&lt;&gt;"",G1413&lt;&gt;"",K1413&lt;&gt;"",L1413&lt;&gt;"",M1413&lt;&gt;"",N1413&lt;&gt;"",ISNUMBER(O1413),O1413&gt;0,P1413&lt;&gt;""),"记录齐全","待补实测记录")))))))))))</x:f>
        <x:v>待展开路径</x:v>
      </x:c>
    </x:row>
    <x:row r="1414" ht="43.5" customHeight="1">
      <x:c r="A1414" s="20" t="str">
        <x:v>REC-01405</x:v>
      </x:c>
      <x:c r="B1414" s="20" t="str">
        <x:v>P3-B4-01</x:v>
      </x:c>
      <x:c r="C1414" s="30" t="str">
        <x:f>IF(B1414="","",IF(COUNTIFS(Equipment[组合编号],B1414)&lt;&gt;1,"组合编号无效",INDEX(Equipment[PLC组],MATCH(B1414,Equipment[组合编号],0))))</x:f>
        <x:v>欧姆龙</x:v>
      </x:c>
      <x:c r="D1414" s="30" t="str">
        <x:f>IF(B1414="","",IF(COUNTIFS(Equipment[组合编号],B1414)&lt;&gt;1,"组合编号无效",INDEX(Equipment[驱动品牌],MATCH(B1414,Equipment[组合编号],0))))</x:f>
        <x:v>Elmo</x:v>
      </x:c>
      <x:c r="E1414" s="20" t="str">
        <x:v>S09</x:v>
      </x:c>
      <x:c r="F1414" s="20"/>
      <x:c r="G1414" s="20"/>
      <x:c r="H1414" s="20" t="str">
        <x:v>待判定</x:v>
      </x:c>
      <x:c r="I1414" s="20"/>
      <x:c r="J1414" s="20" t="str">
        <x:v>未测试</x:v>
      </x:c>
      <x:c r="K1414" s="20"/>
      <x:c r="L1414" s="20"/>
      <x:c r="M1414" s="20"/>
      <x:c r="N1414" s="20"/>
      <x:c r="O1414" s="31"/>
      <x:c r="P1414" s="20"/>
      <x:c r="Q1414" s="20"/>
      <x:c r="R1414" s="20" t="str">
        <x:v>待展开</x:v>
      </x:c>
      <x:c r="S1414" s="20"/>
      <x:c r="T1414" s="31"/>
      <x:c r="U1414" s="30" t="str">
        <x:f>IF(A1414="","缺记录编号",IF(COUNTIFS(PathRecords[记录编号],A1414)&lt;&gt;1,"记录编号重复",IF(OR(B1414="",E1414=""),"缺组合/功能",IF(COUNTIFS(Equipment[组合编号],B1414)&lt;&gt;1,"组合编号无效",IF(COUNTIFS(FunctionMatrix[编号],E1414)=0,"功能编号无效",IF(H1414="不适用",IF(J1414="已实测","适用性冲突",IF(I1414="","待补不适用依据","不适用（非实测）")),IF(J1414="阻塞",IF(I1414="","待补阻塞原因","阻塞（非实测）"),IF(J1414&lt;&gt;"已实测",IF(F1414="","待展开路径","未实测"),IF(H1414&lt;&gt;"适用","待确认适用性",IF(INDEX(Equipment[登记状态（自动）],MATCH(B1414,Equipment[组合编号],0))&lt;&gt;"已登记","待补设备组合",IF(AND(F1414&lt;&gt;"",G1414&lt;&gt;"",K1414&lt;&gt;"",L1414&lt;&gt;"",M1414&lt;&gt;"",N1414&lt;&gt;"",ISNUMBER(O1414),O1414&gt;0,P1414&lt;&gt;""),"记录齐全","待补实测记录")))))))))))</x:f>
        <x:v>待展开路径</x:v>
      </x:c>
    </x:row>
    <x:row r="1415" ht="43.5" customHeight="1">
      <x:c r="A1415" s="20" t="str">
        <x:v>REC-01406</x:v>
      </x:c>
      <x:c r="B1415" s="20" t="str">
        <x:v>P3-B4-01</x:v>
      </x:c>
      <x:c r="C1415" s="30" t="str">
        <x:f>IF(B1415="","",IF(COUNTIFS(Equipment[组合编号],B1415)&lt;&gt;1,"组合编号无效",INDEX(Equipment[PLC组],MATCH(B1415,Equipment[组合编号],0))))</x:f>
        <x:v>欧姆龙</x:v>
      </x:c>
      <x:c r="D1415" s="30" t="str">
        <x:f>IF(B1415="","",IF(COUNTIFS(Equipment[组合编号],B1415)&lt;&gt;1,"组合编号无效",INDEX(Equipment[驱动品牌],MATCH(B1415,Equipment[组合编号],0))))</x:f>
        <x:v>Elmo</x:v>
      </x:c>
      <x:c r="E1415" s="20" t="str">
        <x:v>U01</x:v>
      </x:c>
      <x:c r="F1415" s="20"/>
      <x:c r="G1415" s="20"/>
      <x:c r="H1415" s="20" t="str">
        <x:v>待判定</x:v>
      </x:c>
      <x:c r="I1415" s="20"/>
      <x:c r="J1415" s="20" t="str">
        <x:v>未测试</x:v>
      </x:c>
      <x:c r="K1415" s="20"/>
      <x:c r="L1415" s="20"/>
      <x:c r="M1415" s="20"/>
      <x:c r="N1415" s="20"/>
      <x:c r="O1415" s="31"/>
      <x:c r="P1415" s="20"/>
      <x:c r="Q1415" s="20"/>
      <x:c r="R1415" s="20" t="str">
        <x:v>待展开</x:v>
      </x:c>
      <x:c r="S1415" s="20"/>
      <x:c r="T1415" s="31"/>
      <x:c r="U1415" s="30" t="str">
        <x:f>IF(A1415="","缺记录编号",IF(COUNTIFS(PathRecords[记录编号],A1415)&lt;&gt;1,"记录编号重复",IF(OR(B1415="",E1415=""),"缺组合/功能",IF(COUNTIFS(Equipment[组合编号],B1415)&lt;&gt;1,"组合编号无效",IF(COUNTIFS(FunctionMatrix[编号],E1415)=0,"功能编号无效",IF(H1415="不适用",IF(J1415="已实测","适用性冲突",IF(I1415="","待补不适用依据","不适用（非实测）")),IF(J1415="阻塞",IF(I1415="","待补阻塞原因","阻塞（非实测）"),IF(J1415&lt;&gt;"已实测",IF(F1415="","待展开路径","未实测"),IF(H1415&lt;&gt;"适用","待确认适用性",IF(INDEX(Equipment[登记状态（自动）],MATCH(B1415,Equipment[组合编号],0))&lt;&gt;"已登记","待补设备组合",IF(AND(F1415&lt;&gt;"",G1415&lt;&gt;"",K1415&lt;&gt;"",L1415&lt;&gt;"",M1415&lt;&gt;"",N1415&lt;&gt;"",ISNUMBER(O1415),O1415&gt;0,P1415&lt;&gt;""),"记录齐全","待补实测记录")))))))))))</x:f>
        <x:v>待展开路径</x:v>
      </x:c>
    </x:row>
    <x:row r="1416" ht="43.5" customHeight="1">
      <x:c r="A1416" s="20" t="str">
        <x:v>REC-01407</x:v>
      </x:c>
      <x:c r="B1416" s="20" t="str">
        <x:v>P3-B4-01</x:v>
      </x:c>
      <x:c r="C1416" s="30" t="str">
        <x:f>IF(B1416="","",IF(COUNTIFS(Equipment[组合编号],B1416)&lt;&gt;1,"组合编号无效",INDEX(Equipment[PLC组],MATCH(B1416,Equipment[组合编号],0))))</x:f>
        <x:v>欧姆龙</x:v>
      </x:c>
      <x:c r="D1416" s="30" t="str">
        <x:f>IF(B1416="","",IF(COUNTIFS(Equipment[组合编号],B1416)&lt;&gt;1,"组合编号无效",INDEX(Equipment[驱动品牌],MATCH(B1416,Equipment[组合编号],0))))</x:f>
        <x:v>Elmo</x:v>
      </x:c>
      <x:c r="E1416" s="20" t="str">
        <x:v>U02</x:v>
      </x:c>
      <x:c r="F1416" s="20"/>
      <x:c r="G1416" s="20"/>
      <x:c r="H1416" s="20" t="str">
        <x:v>待判定</x:v>
      </x:c>
      <x:c r="I1416" s="20"/>
      <x:c r="J1416" s="20" t="str">
        <x:v>未测试</x:v>
      </x:c>
      <x:c r="K1416" s="20"/>
      <x:c r="L1416" s="20"/>
      <x:c r="M1416" s="20"/>
      <x:c r="N1416" s="20"/>
      <x:c r="O1416" s="31"/>
      <x:c r="P1416" s="20"/>
      <x:c r="Q1416" s="20"/>
      <x:c r="R1416" s="20" t="str">
        <x:v>待展开</x:v>
      </x:c>
      <x:c r="S1416" s="20"/>
      <x:c r="T1416" s="31"/>
      <x:c r="U1416" s="30" t="str">
        <x:f>IF(A1416="","缺记录编号",IF(COUNTIFS(PathRecords[记录编号],A1416)&lt;&gt;1,"记录编号重复",IF(OR(B1416="",E1416=""),"缺组合/功能",IF(COUNTIFS(Equipment[组合编号],B1416)&lt;&gt;1,"组合编号无效",IF(COUNTIFS(FunctionMatrix[编号],E1416)=0,"功能编号无效",IF(H1416="不适用",IF(J1416="已实测","适用性冲突",IF(I1416="","待补不适用依据","不适用（非实测）")),IF(J1416="阻塞",IF(I1416="","待补阻塞原因","阻塞（非实测）"),IF(J1416&lt;&gt;"已实测",IF(F1416="","待展开路径","未实测"),IF(H1416&lt;&gt;"适用","待确认适用性",IF(INDEX(Equipment[登记状态（自动）],MATCH(B1416,Equipment[组合编号],0))&lt;&gt;"已登记","待补设备组合",IF(AND(F1416&lt;&gt;"",G1416&lt;&gt;"",K1416&lt;&gt;"",L1416&lt;&gt;"",M1416&lt;&gt;"",N1416&lt;&gt;"",ISNUMBER(O1416),O1416&gt;0,P1416&lt;&gt;""),"记录齐全","待补实测记录")))))))))))</x:f>
        <x:v>待展开路径</x:v>
      </x:c>
    </x:row>
    <x:row r="1417" ht="43.5" customHeight="1">
      <x:c r="A1417" s="20" t="str">
        <x:v>REC-01408</x:v>
      </x:c>
      <x:c r="B1417" s="20" t="str">
        <x:v>P3-B4-01</x:v>
      </x:c>
      <x:c r="C1417" s="30" t="str">
        <x:f>IF(B1417="","",IF(COUNTIFS(Equipment[组合编号],B1417)&lt;&gt;1,"组合编号无效",INDEX(Equipment[PLC组],MATCH(B1417,Equipment[组合编号],0))))</x:f>
        <x:v>欧姆龙</x:v>
      </x:c>
      <x:c r="D1417" s="30" t="str">
        <x:f>IF(B1417="","",IF(COUNTIFS(Equipment[组合编号],B1417)&lt;&gt;1,"组合编号无效",INDEX(Equipment[驱动品牌],MATCH(B1417,Equipment[组合编号],0))))</x:f>
        <x:v>Elmo</x:v>
      </x:c>
      <x:c r="E1417" s="20" t="str">
        <x:v>U03</x:v>
      </x:c>
      <x:c r="F1417" s="20"/>
      <x:c r="G1417" s="20"/>
      <x:c r="H1417" s="20" t="str">
        <x:v>待判定</x:v>
      </x:c>
      <x:c r="I1417" s="20"/>
      <x:c r="J1417" s="20" t="str">
        <x:v>未测试</x:v>
      </x:c>
      <x:c r="K1417" s="20"/>
      <x:c r="L1417" s="20"/>
      <x:c r="M1417" s="20"/>
      <x:c r="N1417" s="20"/>
      <x:c r="O1417" s="31"/>
      <x:c r="P1417" s="20"/>
      <x:c r="Q1417" s="20"/>
      <x:c r="R1417" s="20" t="str">
        <x:v>待展开</x:v>
      </x:c>
      <x:c r="S1417" s="20"/>
      <x:c r="T1417" s="31"/>
      <x:c r="U1417" s="30" t="str">
        <x:f>IF(A1417="","缺记录编号",IF(COUNTIFS(PathRecords[记录编号],A1417)&lt;&gt;1,"记录编号重复",IF(OR(B1417="",E1417=""),"缺组合/功能",IF(COUNTIFS(Equipment[组合编号],B1417)&lt;&gt;1,"组合编号无效",IF(COUNTIFS(FunctionMatrix[编号],E1417)=0,"功能编号无效",IF(H1417="不适用",IF(J1417="已实测","适用性冲突",IF(I1417="","待补不适用依据","不适用（非实测）")),IF(J1417="阻塞",IF(I1417="","待补阻塞原因","阻塞（非实测）"),IF(J1417&lt;&gt;"已实测",IF(F1417="","待展开路径","未实测"),IF(H1417&lt;&gt;"适用","待确认适用性",IF(INDEX(Equipment[登记状态（自动）],MATCH(B1417,Equipment[组合编号],0))&lt;&gt;"已登记","待补设备组合",IF(AND(F1417&lt;&gt;"",G1417&lt;&gt;"",K1417&lt;&gt;"",L1417&lt;&gt;"",M1417&lt;&gt;"",N1417&lt;&gt;"",ISNUMBER(O1417),O1417&gt;0,P1417&lt;&gt;""),"记录齐全","待补实测记录")))))))))))</x:f>
        <x:v>待展开路径</x:v>
      </x:c>
    </x:row>
    <x:row r="1418" ht="43.5" customHeight="1">
      <x:c r="A1418" s="20" t="str">
        <x:v>REC-01409</x:v>
      </x:c>
      <x:c r="B1418" s="20" t="str">
        <x:v>P3-B4-01</x:v>
      </x:c>
      <x:c r="C1418" s="30" t="str">
        <x:f>IF(B1418="","",IF(COUNTIFS(Equipment[组合编号],B1418)&lt;&gt;1,"组合编号无效",INDEX(Equipment[PLC组],MATCH(B1418,Equipment[组合编号],0))))</x:f>
        <x:v>欧姆龙</x:v>
      </x:c>
      <x:c r="D1418" s="30" t="str">
        <x:f>IF(B1418="","",IF(COUNTIFS(Equipment[组合编号],B1418)&lt;&gt;1,"组合编号无效",INDEX(Equipment[驱动品牌],MATCH(B1418,Equipment[组合编号],0))))</x:f>
        <x:v>Elmo</x:v>
      </x:c>
      <x:c r="E1418" s="20" t="str">
        <x:v>U04</x:v>
      </x:c>
      <x:c r="F1418" s="20"/>
      <x:c r="G1418" s="20"/>
      <x:c r="H1418" s="20" t="str">
        <x:v>待判定</x:v>
      </x:c>
      <x:c r="I1418" s="20"/>
      <x:c r="J1418" s="20" t="str">
        <x:v>未测试</x:v>
      </x:c>
      <x:c r="K1418" s="20"/>
      <x:c r="L1418" s="20"/>
      <x:c r="M1418" s="20"/>
      <x:c r="N1418" s="20"/>
      <x:c r="O1418" s="31"/>
      <x:c r="P1418" s="20"/>
      <x:c r="Q1418" s="20"/>
      <x:c r="R1418" s="20" t="str">
        <x:v>待展开</x:v>
      </x:c>
      <x:c r="S1418" s="20"/>
      <x:c r="T1418" s="31"/>
      <x:c r="U1418" s="30" t="str">
        <x:f>IF(A1418="","缺记录编号",IF(COUNTIFS(PathRecords[记录编号],A1418)&lt;&gt;1,"记录编号重复",IF(OR(B1418="",E1418=""),"缺组合/功能",IF(COUNTIFS(Equipment[组合编号],B1418)&lt;&gt;1,"组合编号无效",IF(COUNTIFS(FunctionMatrix[编号],E1418)=0,"功能编号无效",IF(H1418="不适用",IF(J1418="已实测","适用性冲突",IF(I1418="","待补不适用依据","不适用（非实测）")),IF(J1418="阻塞",IF(I1418="","待补阻塞原因","阻塞（非实测）"),IF(J1418&lt;&gt;"已实测",IF(F1418="","待展开路径","未实测"),IF(H1418&lt;&gt;"适用","待确认适用性",IF(INDEX(Equipment[登记状态（自动）],MATCH(B1418,Equipment[组合编号],0))&lt;&gt;"已登记","待补设备组合",IF(AND(F1418&lt;&gt;"",G1418&lt;&gt;"",K1418&lt;&gt;"",L1418&lt;&gt;"",M1418&lt;&gt;"",N1418&lt;&gt;"",ISNUMBER(O1418),O1418&gt;0,P1418&lt;&gt;""),"记录齐全","待补实测记录")))))))))))</x:f>
        <x:v>待展开路径</x:v>
      </x:c>
    </x:row>
    <x:row r="1419" ht="43.5" customHeight="1">
      <x:c r="A1419" s="20" t="str">
        <x:v>REC-01410</x:v>
      </x:c>
      <x:c r="B1419" s="20" t="str">
        <x:v>P3-B4-01</x:v>
      </x:c>
      <x:c r="C1419" s="30" t="str">
        <x:f>IF(B1419="","",IF(COUNTIFS(Equipment[组合编号],B1419)&lt;&gt;1,"组合编号无效",INDEX(Equipment[PLC组],MATCH(B1419,Equipment[组合编号],0))))</x:f>
        <x:v>欧姆龙</x:v>
      </x:c>
      <x:c r="D1419" s="30" t="str">
        <x:f>IF(B1419="","",IF(COUNTIFS(Equipment[组合编号],B1419)&lt;&gt;1,"组合编号无效",INDEX(Equipment[驱动品牌],MATCH(B1419,Equipment[组合编号],0))))</x:f>
        <x:v>Elmo</x:v>
      </x:c>
      <x:c r="E1419" s="20" t="str">
        <x:v>U05</x:v>
      </x:c>
      <x:c r="F1419" s="20"/>
      <x:c r="G1419" s="20"/>
      <x:c r="H1419" s="20" t="str">
        <x:v>待判定</x:v>
      </x:c>
      <x:c r="I1419" s="20"/>
      <x:c r="J1419" s="20" t="str">
        <x:v>未测试</x:v>
      </x:c>
      <x:c r="K1419" s="20"/>
      <x:c r="L1419" s="20"/>
      <x:c r="M1419" s="20"/>
      <x:c r="N1419" s="20"/>
      <x:c r="O1419" s="31"/>
      <x:c r="P1419" s="20"/>
      <x:c r="Q1419" s="20"/>
      <x:c r="R1419" s="20" t="str">
        <x:v>待展开</x:v>
      </x:c>
      <x:c r="S1419" s="20"/>
      <x:c r="T1419" s="31"/>
      <x:c r="U1419" s="30" t="str">
        <x:f>IF(A1419="","缺记录编号",IF(COUNTIFS(PathRecords[记录编号],A1419)&lt;&gt;1,"记录编号重复",IF(OR(B1419="",E1419=""),"缺组合/功能",IF(COUNTIFS(Equipment[组合编号],B1419)&lt;&gt;1,"组合编号无效",IF(COUNTIFS(FunctionMatrix[编号],E1419)=0,"功能编号无效",IF(H1419="不适用",IF(J1419="已实测","适用性冲突",IF(I1419="","待补不适用依据","不适用（非实测）")),IF(J1419="阻塞",IF(I1419="","待补阻塞原因","阻塞（非实测）"),IF(J1419&lt;&gt;"已实测",IF(F1419="","待展开路径","未实测"),IF(H1419&lt;&gt;"适用","待确认适用性",IF(INDEX(Equipment[登记状态（自动）],MATCH(B1419,Equipment[组合编号],0))&lt;&gt;"已登记","待补设备组合",IF(AND(F1419&lt;&gt;"",G1419&lt;&gt;"",K1419&lt;&gt;"",L1419&lt;&gt;"",M1419&lt;&gt;"",N1419&lt;&gt;"",ISNUMBER(O1419),O1419&gt;0,P1419&lt;&gt;""),"记录齐全","待补实测记录")))))))))))</x:f>
        <x:v>待展开路径</x:v>
      </x:c>
    </x:row>
    <x:row r="1420" ht="43.5" customHeight="1">
      <x:c r="A1420" s="20" t="str">
        <x:v>REC-01411</x:v>
      </x:c>
      <x:c r="B1420" s="20" t="str">
        <x:v>P3-B4-01</x:v>
      </x:c>
      <x:c r="C1420" s="30" t="str">
        <x:f>IF(B1420="","",IF(COUNTIFS(Equipment[组合编号],B1420)&lt;&gt;1,"组合编号无效",INDEX(Equipment[PLC组],MATCH(B1420,Equipment[组合编号],0))))</x:f>
        <x:v>欧姆龙</x:v>
      </x:c>
      <x:c r="D1420" s="30" t="str">
        <x:f>IF(B1420="","",IF(COUNTIFS(Equipment[组合编号],B1420)&lt;&gt;1,"组合编号无效",INDEX(Equipment[驱动品牌],MATCH(B1420,Equipment[组合编号],0))))</x:f>
        <x:v>Elmo</x:v>
      </x:c>
      <x:c r="E1420" s="20" t="str">
        <x:v>U06</x:v>
      </x:c>
      <x:c r="F1420" s="20"/>
      <x:c r="G1420" s="20"/>
      <x:c r="H1420" s="20" t="str">
        <x:v>待判定</x:v>
      </x:c>
      <x:c r="I1420" s="20"/>
      <x:c r="J1420" s="20" t="str">
        <x:v>未测试</x:v>
      </x:c>
      <x:c r="K1420" s="20"/>
      <x:c r="L1420" s="20"/>
      <x:c r="M1420" s="20"/>
      <x:c r="N1420" s="20"/>
      <x:c r="O1420" s="31"/>
      <x:c r="P1420" s="20"/>
      <x:c r="Q1420" s="20"/>
      <x:c r="R1420" s="20" t="str">
        <x:v>待展开</x:v>
      </x:c>
      <x:c r="S1420" s="20"/>
      <x:c r="T1420" s="31"/>
      <x:c r="U1420" s="30" t="str">
        <x:f>IF(A1420="","缺记录编号",IF(COUNTIFS(PathRecords[记录编号],A1420)&lt;&gt;1,"记录编号重复",IF(OR(B1420="",E1420=""),"缺组合/功能",IF(COUNTIFS(Equipment[组合编号],B1420)&lt;&gt;1,"组合编号无效",IF(COUNTIFS(FunctionMatrix[编号],E1420)=0,"功能编号无效",IF(H1420="不适用",IF(J1420="已实测","适用性冲突",IF(I1420="","待补不适用依据","不适用（非实测）")),IF(J1420="阻塞",IF(I1420="","待补阻塞原因","阻塞（非实测）"),IF(J1420&lt;&gt;"已实测",IF(F1420="","待展开路径","未实测"),IF(H1420&lt;&gt;"适用","待确认适用性",IF(INDEX(Equipment[登记状态（自动）],MATCH(B1420,Equipment[组合编号],0))&lt;&gt;"已登记","待补设备组合",IF(AND(F1420&lt;&gt;"",G1420&lt;&gt;"",K1420&lt;&gt;"",L1420&lt;&gt;"",M1420&lt;&gt;"",N1420&lt;&gt;"",ISNUMBER(O1420),O1420&gt;0,P1420&lt;&gt;""),"记录齐全","待补实测记录")))))))))))</x:f>
        <x:v>待展开路径</x:v>
      </x:c>
    </x:row>
    <x:row r="1421" ht="43.5" customHeight="1">
      <x:c r="A1421" s="20" t="str">
        <x:v>REC-01412</x:v>
      </x:c>
      <x:c r="B1421" s="20" t="str">
        <x:v>P3-B4-01</x:v>
      </x:c>
      <x:c r="C1421" s="30" t="str">
        <x:f>IF(B1421="","",IF(COUNTIFS(Equipment[组合编号],B1421)&lt;&gt;1,"组合编号无效",INDEX(Equipment[PLC组],MATCH(B1421,Equipment[组合编号],0))))</x:f>
        <x:v>欧姆龙</x:v>
      </x:c>
      <x:c r="D1421" s="30" t="str">
        <x:f>IF(B1421="","",IF(COUNTIFS(Equipment[组合编号],B1421)&lt;&gt;1,"组合编号无效",INDEX(Equipment[驱动品牌],MATCH(B1421,Equipment[组合编号],0))))</x:f>
        <x:v>Elmo</x:v>
      </x:c>
      <x:c r="E1421" s="20" t="str">
        <x:v>U07</x:v>
      </x:c>
      <x:c r="F1421" s="20"/>
      <x:c r="G1421" s="20"/>
      <x:c r="H1421" s="20" t="str">
        <x:v>待判定</x:v>
      </x:c>
      <x:c r="I1421" s="20"/>
      <x:c r="J1421" s="20" t="str">
        <x:v>未测试</x:v>
      </x:c>
      <x:c r="K1421" s="20"/>
      <x:c r="L1421" s="20"/>
      <x:c r="M1421" s="20"/>
      <x:c r="N1421" s="20"/>
      <x:c r="O1421" s="31"/>
      <x:c r="P1421" s="20"/>
      <x:c r="Q1421" s="20"/>
      <x:c r="R1421" s="20" t="str">
        <x:v>待展开</x:v>
      </x:c>
      <x:c r="S1421" s="20"/>
      <x:c r="T1421" s="31"/>
      <x:c r="U1421" s="30" t="str">
        <x:f>IF(A1421="","缺记录编号",IF(COUNTIFS(PathRecords[记录编号],A1421)&lt;&gt;1,"记录编号重复",IF(OR(B1421="",E1421=""),"缺组合/功能",IF(COUNTIFS(Equipment[组合编号],B1421)&lt;&gt;1,"组合编号无效",IF(COUNTIFS(FunctionMatrix[编号],E1421)=0,"功能编号无效",IF(H1421="不适用",IF(J1421="已实测","适用性冲突",IF(I1421="","待补不适用依据","不适用（非实测）")),IF(J1421="阻塞",IF(I1421="","待补阻塞原因","阻塞（非实测）"),IF(J1421&lt;&gt;"已实测",IF(F1421="","待展开路径","未实测"),IF(H1421&lt;&gt;"适用","待确认适用性",IF(INDEX(Equipment[登记状态（自动）],MATCH(B1421,Equipment[组合编号],0))&lt;&gt;"已登记","待补设备组合",IF(AND(F1421&lt;&gt;"",G1421&lt;&gt;"",K1421&lt;&gt;"",L1421&lt;&gt;"",M1421&lt;&gt;"",N1421&lt;&gt;"",ISNUMBER(O1421),O1421&gt;0,P1421&lt;&gt;""),"记录齐全","待补实测记录")))))))))))</x:f>
        <x:v>待展开路径</x:v>
      </x:c>
    </x:row>
    <x:row r="1422" ht="43.5" customHeight="1">
      <x:c r="A1422" s="20" t="str">
        <x:v>REC-01413</x:v>
      </x:c>
      <x:c r="B1422" s="20" t="str">
        <x:v>P3-B4-01</x:v>
      </x:c>
      <x:c r="C1422" s="30" t="str">
        <x:f>IF(B1422="","",IF(COUNTIFS(Equipment[组合编号],B1422)&lt;&gt;1,"组合编号无效",INDEX(Equipment[PLC组],MATCH(B1422,Equipment[组合编号],0))))</x:f>
        <x:v>欧姆龙</x:v>
      </x:c>
      <x:c r="D1422" s="30" t="str">
        <x:f>IF(B1422="","",IF(COUNTIFS(Equipment[组合编号],B1422)&lt;&gt;1,"组合编号无效",INDEX(Equipment[驱动品牌],MATCH(B1422,Equipment[组合编号],0))))</x:f>
        <x:v>Elmo</x:v>
      </x:c>
      <x:c r="E1422" s="20" t="str">
        <x:v>U08</x:v>
      </x:c>
      <x:c r="F1422" s="20"/>
      <x:c r="G1422" s="20"/>
      <x:c r="H1422" s="20" t="str">
        <x:v>待判定</x:v>
      </x:c>
      <x:c r="I1422" s="20"/>
      <x:c r="J1422" s="20" t="str">
        <x:v>未测试</x:v>
      </x:c>
      <x:c r="K1422" s="20"/>
      <x:c r="L1422" s="20"/>
      <x:c r="M1422" s="20"/>
      <x:c r="N1422" s="20"/>
      <x:c r="O1422" s="31"/>
      <x:c r="P1422" s="20"/>
      <x:c r="Q1422" s="20"/>
      <x:c r="R1422" s="20" t="str">
        <x:v>待展开</x:v>
      </x:c>
      <x:c r="S1422" s="20"/>
      <x:c r="T1422" s="31"/>
      <x:c r="U1422" s="30" t="str">
        <x:f>IF(A1422="","缺记录编号",IF(COUNTIFS(PathRecords[记录编号],A1422)&lt;&gt;1,"记录编号重复",IF(OR(B1422="",E1422=""),"缺组合/功能",IF(COUNTIFS(Equipment[组合编号],B1422)&lt;&gt;1,"组合编号无效",IF(COUNTIFS(FunctionMatrix[编号],E1422)=0,"功能编号无效",IF(H1422="不适用",IF(J1422="已实测","适用性冲突",IF(I1422="","待补不适用依据","不适用（非实测）")),IF(J1422="阻塞",IF(I1422="","待补阻塞原因","阻塞（非实测）"),IF(J1422&lt;&gt;"已实测",IF(F1422="","待展开路径","未实测"),IF(H1422&lt;&gt;"适用","待确认适用性",IF(INDEX(Equipment[登记状态（自动）],MATCH(B1422,Equipment[组合编号],0))&lt;&gt;"已登记","待补设备组合",IF(AND(F1422&lt;&gt;"",G1422&lt;&gt;"",K1422&lt;&gt;"",L1422&lt;&gt;"",M1422&lt;&gt;"",N1422&lt;&gt;"",ISNUMBER(O1422),O1422&gt;0,P1422&lt;&gt;""),"记录齐全","待补实测记录")))))))))))</x:f>
        <x:v>待展开路径</x:v>
      </x:c>
    </x:row>
    <x:row r="1423" ht="43.5" customHeight="1">
      <x:c r="A1423" s="20" t="str">
        <x:v>REC-01414</x:v>
      </x:c>
      <x:c r="B1423" s="20" t="str">
        <x:v>P3-B4-01</x:v>
      </x:c>
      <x:c r="C1423" s="30" t="str">
        <x:f>IF(B1423="","",IF(COUNTIFS(Equipment[组合编号],B1423)&lt;&gt;1,"组合编号无效",INDEX(Equipment[PLC组],MATCH(B1423,Equipment[组合编号],0))))</x:f>
        <x:v>欧姆龙</x:v>
      </x:c>
      <x:c r="D1423" s="30" t="str">
        <x:f>IF(B1423="","",IF(COUNTIFS(Equipment[组合编号],B1423)&lt;&gt;1,"组合编号无效",INDEX(Equipment[驱动品牌],MATCH(B1423,Equipment[组合编号],0))))</x:f>
        <x:v>Elmo</x:v>
      </x:c>
      <x:c r="E1423" s="20" t="str">
        <x:v>U09</x:v>
      </x:c>
      <x:c r="F1423" s="20"/>
      <x:c r="G1423" s="20"/>
      <x:c r="H1423" s="20" t="str">
        <x:v>待判定</x:v>
      </x:c>
      <x:c r="I1423" s="20"/>
      <x:c r="J1423" s="20" t="str">
        <x:v>未测试</x:v>
      </x:c>
      <x:c r="K1423" s="20"/>
      <x:c r="L1423" s="20"/>
      <x:c r="M1423" s="20"/>
      <x:c r="N1423" s="20"/>
      <x:c r="O1423" s="31"/>
      <x:c r="P1423" s="20"/>
      <x:c r="Q1423" s="20"/>
      <x:c r="R1423" s="20" t="str">
        <x:v>待展开</x:v>
      </x:c>
      <x:c r="S1423" s="20"/>
      <x:c r="T1423" s="31"/>
      <x:c r="U1423" s="30" t="str">
        <x:f>IF(A1423="","缺记录编号",IF(COUNTIFS(PathRecords[记录编号],A1423)&lt;&gt;1,"记录编号重复",IF(OR(B1423="",E1423=""),"缺组合/功能",IF(COUNTIFS(Equipment[组合编号],B1423)&lt;&gt;1,"组合编号无效",IF(COUNTIFS(FunctionMatrix[编号],E1423)=0,"功能编号无效",IF(H1423="不适用",IF(J1423="已实测","适用性冲突",IF(I1423="","待补不适用依据","不适用（非实测）")),IF(J1423="阻塞",IF(I1423="","待补阻塞原因","阻塞（非实测）"),IF(J1423&lt;&gt;"已实测",IF(F1423="","待展开路径","未实测"),IF(H1423&lt;&gt;"适用","待确认适用性",IF(INDEX(Equipment[登记状态（自动）],MATCH(B1423,Equipment[组合编号],0))&lt;&gt;"已登记","待补设备组合",IF(AND(F1423&lt;&gt;"",G1423&lt;&gt;"",K1423&lt;&gt;"",L1423&lt;&gt;"",M1423&lt;&gt;"",N1423&lt;&gt;"",ISNUMBER(O1423),O1423&gt;0,P1423&lt;&gt;""),"记录齐全","待补实测记录")))))))))))</x:f>
        <x:v>待展开路径</x:v>
      </x:c>
    </x:row>
    <x:row r="1424" ht="43.5" customHeight="1">
      <x:c r="A1424" s="20" t="str">
        <x:v>REC-01415</x:v>
      </x:c>
      <x:c r="B1424" s="20" t="str">
        <x:v>P3-B4-01</x:v>
      </x:c>
      <x:c r="C1424" s="30" t="str">
        <x:f>IF(B1424="","",IF(COUNTIFS(Equipment[组合编号],B1424)&lt;&gt;1,"组合编号无效",INDEX(Equipment[PLC组],MATCH(B1424,Equipment[组合编号],0))))</x:f>
        <x:v>欧姆龙</x:v>
      </x:c>
      <x:c r="D1424" s="30" t="str">
        <x:f>IF(B1424="","",IF(COUNTIFS(Equipment[组合编号],B1424)&lt;&gt;1,"组合编号无效",INDEX(Equipment[驱动品牌],MATCH(B1424,Equipment[组合编号],0))))</x:f>
        <x:v>Elmo</x:v>
      </x:c>
      <x:c r="E1424" s="20" t="str">
        <x:v>U10</x:v>
      </x:c>
      <x:c r="F1424" s="20"/>
      <x:c r="G1424" s="20"/>
      <x:c r="H1424" s="20" t="str">
        <x:v>待判定</x:v>
      </x:c>
      <x:c r="I1424" s="20"/>
      <x:c r="J1424" s="20" t="str">
        <x:v>未测试</x:v>
      </x:c>
      <x:c r="K1424" s="20"/>
      <x:c r="L1424" s="20"/>
      <x:c r="M1424" s="20"/>
      <x:c r="N1424" s="20"/>
      <x:c r="O1424" s="31"/>
      <x:c r="P1424" s="20"/>
      <x:c r="Q1424" s="20"/>
      <x:c r="R1424" s="20" t="str">
        <x:v>待展开</x:v>
      </x:c>
      <x:c r="S1424" s="20"/>
      <x:c r="T1424" s="31"/>
      <x:c r="U1424" s="30" t="str">
        <x:f>IF(A1424="","缺记录编号",IF(COUNTIFS(PathRecords[记录编号],A1424)&lt;&gt;1,"记录编号重复",IF(OR(B1424="",E1424=""),"缺组合/功能",IF(COUNTIFS(Equipment[组合编号],B1424)&lt;&gt;1,"组合编号无效",IF(COUNTIFS(FunctionMatrix[编号],E1424)=0,"功能编号无效",IF(H1424="不适用",IF(J1424="已实测","适用性冲突",IF(I1424="","待补不适用依据","不适用（非实测）")),IF(J1424="阻塞",IF(I1424="","待补阻塞原因","阻塞（非实测）"),IF(J1424&lt;&gt;"已实测",IF(F1424="","待展开路径","未实测"),IF(H1424&lt;&gt;"适用","待确认适用性",IF(INDEX(Equipment[登记状态（自动）],MATCH(B1424,Equipment[组合编号],0))&lt;&gt;"已登记","待补设备组合",IF(AND(F1424&lt;&gt;"",G1424&lt;&gt;"",K1424&lt;&gt;"",L1424&lt;&gt;"",M1424&lt;&gt;"",N1424&lt;&gt;"",ISNUMBER(O1424),O1424&gt;0,P1424&lt;&gt;""),"记录齐全","待补实测记录")))))))))))</x:f>
        <x:v>待展开路径</x:v>
      </x:c>
    </x:row>
    <x:row r="1425" ht="43.5" customHeight="1">
      <x:c r="A1425" s="20" t="str">
        <x:v>REC-01416</x:v>
      </x:c>
      <x:c r="B1425" s="20" t="str">
        <x:v>P3-B4-01</x:v>
      </x:c>
      <x:c r="C1425" s="30" t="str">
        <x:f>IF(B1425="","",IF(COUNTIFS(Equipment[组合编号],B1425)&lt;&gt;1,"组合编号无效",INDEX(Equipment[PLC组],MATCH(B1425,Equipment[组合编号],0))))</x:f>
        <x:v>欧姆龙</x:v>
      </x:c>
      <x:c r="D1425" s="30" t="str">
        <x:f>IF(B1425="","",IF(COUNTIFS(Equipment[组合编号],B1425)&lt;&gt;1,"组合编号无效",INDEX(Equipment[驱动品牌],MATCH(B1425,Equipment[组合编号],0))))</x:f>
        <x:v>Elmo</x:v>
      </x:c>
      <x:c r="E1425" s="20" t="str">
        <x:v>H01</x:v>
      </x:c>
      <x:c r="F1425" s="20"/>
      <x:c r="G1425" s="20"/>
      <x:c r="H1425" s="20" t="str">
        <x:v>待判定</x:v>
      </x:c>
      <x:c r="I1425" s="20"/>
      <x:c r="J1425" s="20" t="str">
        <x:v>未测试</x:v>
      </x:c>
      <x:c r="K1425" s="20"/>
      <x:c r="L1425" s="20"/>
      <x:c r="M1425" s="20"/>
      <x:c r="N1425" s="20"/>
      <x:c r="O1425" s="31"/>
      <x:c r="P1425" s="20"/>
      <x:c r="Q1425" s="20"/>
      <x:c r="R1425" s="20" t="str">
        <x:v>待展开</x:v>
      </x:c>
      <x:c r="S1425" s="20"/>
      <x:c r="T1425" s="31"/>
      <x:c r="U1425" s="30" t="str">
        <x:f>IF(A1425="","缺记录编号",IF(COUNTIFS(PathRecords[记录编号],A1425)&lt;&gt;1,"记录编号重复",IF(OR(B1425="",E1425=""),"缺组合/功能",IF(COUNTIFS(Equipment[组合编号],B1425)&lt;&gt;1,"组合编号无效",IF(COUNTIFS(FunctionMatrix[编号],E1425)=0,"功能编号无效",IF(H1425="不适用",IF(J1425="已实测","适用性冲突",IF(I1425="","待补不适用依据","不适用（非实测）")),IF(J1425="阻塞",IF(I1425="","待补阻塞原因","阻塞（非实测）"),IF(J1425&lt;&gt;"已实测",IF(F1425="","待展开路径","未实测"),IF(H1425&lt;&gt;"适用","待确认适用性",IF(INDEX(Equipment[登记状态（自动）],MATCH(B1425,Equipment[组合编号],0))&lt;&gt;"已登记","待补设备组合",IF(AND(F1425&lt;&gt;"",G1425&lt;&gt;"",K1425&lt;&gt;"",L1425&lt;&gt;"",M1425&lt;&gt;"",N1425&lt;&gt;"",ISNUMBER(O1425),O1425&gt;0,P1425&lt;&gt;""),"记录齐全","待补实测记录")))))))))))</x:f>
        <x:v>待展开路径</x:v>
      </x:c>
    </x:row>
    <x:row r="1426" ht="43.5" customHeight="1">
      <x:c r="A1426" s="20" t="str">
        <x:v>REC-01417</x:v>
      </x:c>
      <x:c r="B1426" s="20" t="str">
        <x:v>P3-B4-01</x:v>
      </x:c>
      <x:c r="C1426" s="30" t="str">
        <x:f>IF(B1426="","",IF(COUNTIFS(Equipment[组合编号],B1426)&lt;&gt;1,"组合编号无效",INDEX(Equipment[PLC组],MATCH(B1426,Equipment[组合编号],0))))</x:f>
        <x:v>欧姆龙</x:v>
      </x:c>
      <x:c r="D1426" s="30" t="str">
        <x:f>IF(B1426="","",IF(COUNTIFS(Equipment[组合编号],B1426)&lt;&gt;1,"组合编号无效",INDEX(Equipment[驱动品牌],MATCH(B1426,Equipment[组合编号],0))))</x:f>
        <x:v>Elmo</x:v>
      </x:c>
      <x:c r="E1426" s="20" t="str">
        <x:v>H02</x:v>
      </x:c>
      <x:c r="F1426" s="20"/>
      <x:c r="G1426" s="20"/>
      <x:c r="H1426" s="20" t="str">
        <x:v>待判定</x:v>
      </x:c>
      <x:c r="I1426" s="20"/>
      <x:c r="J1426" s="20" t="str">
        <x:v>未测试</x:v>
      </x:c>
      <x:c r="K1426" s="20"/>
      <x:c r="L1426" s="20"/>
      <x:c r="M1426" s="20"/>
      <x:c r="N1426" s="20"/>
      <x:c r="O1426" s="31"/>
      <x:c r="P1426" s="20"/>
      <x:c r="Q1426" s="20"/>
      <x:c r="R1426" s="20" t="str">
        <x:v>待展开</x:v>
      </x:c>
      <x:c r="S1426" s="20"/>
      <x:c r="T1426" s="31"/>
      <x:c r="U1426" s="30" t="str">
        <x:f>IF(A1426="","缺记录编号",IF(COUNTIFS(PathRecords[记录编号],A1426)&lt;&gt;1,"记录编号重复",IF(OR(B1426="",E1426=""),"缺组合/功能",IF(COUNTIFS(Equipment[组合编号],B1426)&lt;&gt;1,"组合编号无效",IF(COUNTIFS(FunctionMatrix[编号],E1426)=0,"功能编号无效",IF(H1426="不适用",IF(J1426="已实测","适用性冲突",IF(I1426="","待补不适用依据","不适用（非实测）")),IF(J1426="阻塞",IF(I1426="","待补阻塞原因","阻塞（非实测）"),IF(J1426&lt;&gt;"已实测",IF(F1426="","待展开路径","未实测"),IF(H1426&lt;&gt;"适用","待确认适用性",IF(INDEX(Equipment[登记状态（自动）],MATCH(B1426,Equipment[组合编号],0))&lt;&gt;"已登记","待补设备组合",IF(AND(F1426&lt;&gt;"",G1426&lt;&gt;"",K1426&lt;&gt;"",L1426&lt;&gt;"",M1426&lt;&gt;"",N1426&lt;&gt;"",ISNUMBER(O1426),O1426&gt;0,P1426&lt;&gt;""),"记录齐全","待补实测记录")))))))))))</x:f>
        <x:v>待展开路径</x:v>
      </x:c>
    </x:row>
    <x:row r="1427" ht="43.5" customHeight="1">
      <x:c r="A1427" s="20" t="str">
        <x:v>REC-01418</x:v>
      </x:c>
      <x:c r="B1427" s="20" t="str">
        <x:v>P3-B4-01</x:v>
      </x:c>
      <x:c r="C1427" s="30" t="str">
        <x:f>IF(B1427="","",IF(COUNTIFS(Equipment[组合编号],B1427)&lt;&gt;1,"组合编号无效",INDEX(Equipment[PLC组],MATCH(B1427,Equipment[组合编号],0))))</x:f>
        <x:v>欧姆龙</x:v>
      </x:c>
      <x:c r="D1427" s="30" t="str">
        <x:f>IF(B1427="","",IF(COUNTIFS(Equipment[组合编号],B1427)&lt;&gt;1,"组合编号无效",INDEX(Equipment[驱动品牌],MATCH(B1427,Equipment[组合编号],0))))</x:f>
        <x:v>Elmo</x:v>
      </x:c>
      <x:c r="E1427" s="20" t="str">
        <x:v>H03</x:v>
      </x:c>
      <x:c r="F1427" s="20"/>
      <x:c r="G1427" s="20"/>
      <x:c r="H1427" s="20" t="str">
        <x:v>待判定</x:v>
      </x:c>
      <x:c r="I1427" s="20"/>
      <x:c r="J1427" s="20" t="str">
        <x:v>未测试</x:v>
      </x:c>
      <x:c r="K1427" s="20"/>
      <x:c r="L1427" s="20"/>
      <x:c r="M1427" s="20"/>
      <x:c r="N1427" s="20"/>
      <x:c r="O1427" s="31"/>
      <x:c r="P1427" s="20"/>
      <x:c r="Q1427" s="20"/>
      <x:c r="R1427" s="20" t="str">
        <x:v>待展开</x:v>
      </x:c>
      <x:c r="S1427" s="20"/>
      <x:c r="T1427" s="31"/>
      <x:c r="U1427" s="30" t="str">
        <x:f>IF(A1427="","缺记录编号",IF(COUNTIFS(PathRecords[记录编号],A1427)&lt;&gt;1,"记录编号重复",IF(OR(B1427="",E1427=""),"缺组合/功能",IF(COUNTIFS(Equipment[组合编号],B1427)&lt;&gt;1,"组合编号无效",IF(COUNTIFS(FunctionMatrix[编号],E1427)=0,"功能编号无效",IF(H1427="不适用",IF(J1427="已实测","适用性冲突",IF(I1427="","待补不适用依据","不适用（非实测）")),IF(J1427="阻塞",IF(I1427="","待补阻塞原因","阻塞（非实测）"),IF(J1427&lt;&gt;"已实测",IF(F1427="","待展开路径","未实测"),IF(H1427&lt;&gt;"适用","待确认适用性",IF(INDEX(Equipment[登记状态（自动）],MATCH(B1427,Equipment[组合编号],0))&lt;&gt;"已登记","待补设备组合",IF(AND(F1427&lt;&gt;"",G1427&lt;&gt;"",K1427&lt;&gt;"",L1427&lt;&gt;"",M1427&lt;&gt;"",N1427&lt;&gt;"",ISNUMBER(O1427),O1427&gt;0,P1427&lt;&gt;""),"记录齐全","待补实测记录")))))))))))</x:f>
        <x:v>待展开路径</x:v>
      </x:c>
    </x:row>
    <x:row r="1428" ht="43.5" customHeight="1">
      <x:c r="A1428" s="20" t="str">
        <x:v>REC-01419</x:v>
      </x:c>
      <x:c r="B1428" s="20" t="str">
        <x:v>P3-B4-01</x:v>
      </x:c>
      <x:c r="C1428" s="30" t="str">
        <x:f>IF(B1428="","",IF(COUNTIFS(Equipment[组合编号],B1428)&lt;&gt;1,"组合编号无效",INDEX(Equipment[PLC组],MATCH(B1428,Equipment[组合编号],0))))</x:f>
        <x:v>欧姆龙</x:v>
      </x:c>
      <x:c r="D1428" s="30" t="str">
        <x:f>IF(B1428="","",IF(COUNTIFS(Equipment[组合编号],B1428)&lt;&gt;1,"组合编号无效",INDEX(Equipment[驱动品牌],MATCH(B1428,Equipment[组合编号],0))))</x:f>
        <x:v>Elmo</x:v>
      </x:c>
      <x:c r="E1428" s="20" t="str">
        <x:v>H04</x:v>
      </x:c>
      <x:c r="F1428" s="20"/>
      <x:c r="G1428" s="20"/>
      <x:c r="H1428" s="20" t="str">
        <x:v>待判定</x:v>
      </x:c>
      <x:c r="I1428" s="20"/>
      <x:c r="J1428" s="20" t="str">
        <x:v>未测试</x:v>
      </x:c>
      <x:c r="K1428" s="20"/>
      <x:c r="L1428" s="20"/>
      <x:c r="M1428" s="20"/>
      <x:c r="N1428" s="20"/>
      <x:c r="O1428" s="31"/>
      <x:c r="P1428" s="20"/>
      <x:c r="Q1428" s="20"/>
      <x:c r="R1428" s="20" t="str">
        <x:v>待展开</x:v>
      </x:c>
      <x:c r="S1428" s="20"/>
      <x:c r="T1428" s="31"/>
      <x:c r="U1428" s="30" t="str">
        <x:f>IF(A1428="","缺记录编号",IF(COUNTIFS(PathRecords[记录编号],A1428)&lt;&gt;1,"记录编号重复",IF(OR(B1428="",E1428=""),"缺组合/功能",IF(COUNTIFS(Equipment[组合编号],B1428)&lt;&gt;1,"组合编号无效",IF(COUNTIFS(FunctionMatrix[编号],E1428)=0,"功能编号无效",IF(H1428="不适用",IF(J1428="已实测","适用性冲突",IF(I1428="","待补不适用依据","不适用（非实测）")),IF(J1428="阻塞",IF(I1428="","待补阻塞原因","阻塞（非实测）"),IF(J1428&lt;&gt;"已实测",IF(F1428="","待展开路径","未实测"),IF(H1428&lt;&gt;"适用","待确认适用性",IF(INDEX(Equipment[登记状态（自动）],MATCH(B1428,Equipment[组合编号],0))&lt;&gt;"已登记","待补设备组合",IF(AND(F1428&lt;&gt;"",G1428&lt;&gt;"",K1428&lt;&gt;"",L1428&lt;&gt;"",M1428&lt;&gt;"",N1428&lt;&gt;"",ISNUMBER(O1428),O1428&gt;0,P1428&lt;&gt;""),"记录齐全","待补实测记录")))))))))))</x:f>
        <x:v>待展开路径</x:v>
      </x:c>
    </x:row>
    <x:row r="1429" ht="43.5" customHeight="1">
      <x:c r="A1429" s="20" t="str">
        <x:v>REC-01420</x:v>
      </x:c>
      <x:c r="B1429" s="20" t="str">
        <x:v>P3-B4-01</x:v>
      </x:c>
      <x:c r="C1429" s="30" t="str">
        <x:f>IF(B1429="","",IF(COUNTIFS(Equipment[组合编号],B1429)&lt;&gt;1,"组合编号无效",INDEX(Equipment[PLC组],MATCH(B1429,Equipment[组合编号],0))))</x:f>
        <x:v>欧姆龙</x:v>
      </x:c>
      <x:c r="D1429" s="30" t="str">
        <x:f>IF(B1429="","",IF(COUNTIFS(Equipment[组合编号],B1429)&lt;&gt;1,"组合编号无效",INDEX(Equipment[驱动品牌],MATCH(B1429,Equipment[组合编号],0))))</x:f>
        <x:v>Elmo</x:v>
      </x:c>
      <x:c r="E1429" s="20" t="str">
        <x:v>H05</x:v>
      </x:c>
      <x:c r="F1429" s="20"/>
      <x:c r="G1429" s="20"/>
      <x:c r="H1429" s="20" t="str">
        <x:v>待判定</x:v>
      </x:c>
      <x:c r="I1429" s="20"/>
      <x:c r="J1429" s="20" t="str">
        <x:v>未测试</x:v>
      </x:c>
      <x:c r="K1429" s="20"/>
      <x:c r="L1429" s="20"/>
      <x:c r="M1429" s="20"/>
      <x:c r="N1429" s="20"/>
      <x:c r="O1429" s="31"/>
      <x:c r="P1429" s="20"/>
      <x:c r="Q1429" s="20"/>
      <x:c r="R1429" s="20" t="str">
        <x:v>待展开</x:v>
      </x:c>
      <x:c r="S1429" s="20"/>
      <x:c r="T1429" s="31"/>
      <x:c r="U1429" s="30" t="str">
        <x:f>IF(A1429="","缺记录编号",IF(COUNTIFS(PathRecords[记录编号],A1429)&lt;&gt;1,"记录编号重复",IF(OR(B1429="",E1429=""),"缺组合/功能",IF(COUNTIFS(Equipment[组合编号],B1429)&lt;&gt;1,"组合编号无效",IF(COUNTIFS(FunctionMatrix[编号],E1429)=0,"功能编号无效",IF(H1429="不适用",IF(J1429="已实测","适用性冲突",IF(I1429="","待补不适用依据","不适用（非实测）")),IF(J1429="阻塞",IF(I1429="","待补阻塞原因","阻塞（非实测）"),IF(J1429&lt;&gt;"已实测",IF(F1429="","待展开路径","未实测"),IF(H1429&lt;&gt;"适用","待确认适用性",IF(INDEX(Equipment[登记状态（自动）],MATCH(B1429,Equipment[组合编号],0))&lt;&gt;"已登记","待补设备组合",IF(AND(F1429&lt;&gt;"",G1429&lt;&gt;"",K1429&lt;&gt;"",L1429&lt;&gt;"",M1429&lt;&gt;"",N1429&lt;&gt;"",ISNUMBER(O1429),O1429&gt;0,P1429&lt;&gt;""),"记录齐全","待补实测记录")))))))))))</x:f>
        <x:v>待展开路径</x:v>
      </x:c>
    </x:row>
    <x:row r="1430" ht="43.5" customHeight="1">
      <x:c r="A1430" s="20" t="str">
        <x:v>REC-01421</x:v>
      </x:c>
      <x:c r="B1430" s="20" t="str">
        <x:v>P3-B4-01</x:v>
      </x:c>
      <x:c r="C1430" s="30" t="str">
        <x:f>IF(B1430="","",IF(COUNTIFS(Equipment[组合编号],B1430)&lt;&gt;1,"组合编号无效",INDEX(Equipment[PLC组],MATCH(B1430,Equipment[组合编号],0))))</x:f>
        <x:v>欧姆龙</x:v>
      </x:c>
      <x:c r="D1430" s="30" t="str">
        <x:f>IF(B1430="","",IF(COUNTIFS(Equipment[组合编号],B1430)&lt;&gt;1,"组合编号无效",INDEX(Equipment[驱动品牌],MATCH(B1430,Equipment[组合编号],0))))</x:f>
        <x:v>Elmo</x:v>
      </x:c>
      <x:c r="E1430" s="20" t="str">
        <x:v>H06</x:v>
      </x:c>
      <x:c r="F1430" s="20"/>
      <x:c r="G1430" s="20"/>
      <x:c r="H1430" s="20" t="str">
        <x:v>待判定</x:v>
      </x:c>
      <x:c r="I1430" s="20"/>
      <x:c r="J1430" s="20" t="str">
        <x:v>未测试</x:v>
      </x:c>
      <x:c r="K1430" s="20"/>
      <x:c r="L1430" s="20"/>
      <x:c r="M1430" s="20"/>
      <x:c r="N1430" s="20"/>
      <x:c r="O1430" s="31"/>
      <x:c r="P1430" s="20"/>
      <x:c r="Q1430" s="20"/>
      <x:c r="R1430" s="20" t="str">
        <x:v>待展开</x:v>
      </x:c>
      <x:c r="S1430" s="20"/>
      <x:c r="T1430" s="31"/>
      <x:c r="U1430" s="30" t="str">
        <x:f>IF(A1430="","缺记录编号",IF(COUNTIFS(PathRecords[记录编号],A1430)&lt;&gt;1,"记录编号重复",IF(OR(B1430="",E1430=""),"缺组合/功能",IF(COUNTIFS(Equipment[组合编号],B1430)&lt;&gt;1,"组合编号无效",IF(COUNTIFS(FunctionMatrix[编号],E1430)=0,"功能编号无效",IF(H1430="不适用",IF(J1430="已实测","适用性冲突",IF(I1430="","待补不适用依据","不适用（非实测）")),IF(J1430="阻塞",IF(I1430="","待补阻塞原因","阻塞（非实测）"),IF(J1430&lt;&gt;"已实测",IF(F1430="","待展开路径","未实测"),IF(H1430&lt;&gt;"适用","待确认适用性",IF(INDEX(Equipment[登记状态（自动）],MATCH(B1430,Equipment[组合编号],0))&lt;&gt;"已登记","待补设备组合",IF(AND(F1430&lt;&gt;"",G1430&lt;&gt;"",K1430&lt;&gt;"",L1430&lt;&gt;"",M1430&lt;&gt;"",N1430&lt;&gt;"",ISNUMBER(O1430),O1430&gt;0,P1430&lt;&gt;""),"记录齐全","待补实测记录")))))))))))</x:f>
        <x:v>待展开路径</x:v>
      </x:c>
    </x:row>
    <x:row r="1431" ht="43.5" customHeight="1">
      <x:c r="A1431" s="20" t="str">
        <x:v>REC-01422</x:v>
      </x:c>
      <x:c r="B1431" s="20" t="str">
        <x:v>P3-B4-01</x:v>
      </x:c>
      <x:c r="C1431" s="30" t="str">
        <x:f>IF(B1431="","",IF(COUNTIFS(Equipment[组合编号],B1431)&lt;&gt;1,"组合编号无效",INDEX(Equipment[PLC组],MATCH(B1431,Equipment[组合编号],0))))</x:f>
        <x:v>欧姆龙</x:v>
      </x:c>
      <x:c r="D1431" s="30" t="str">
        <x:f>IF(B1431="","",IF(COUNTIFS(Equipment[组合编号],B1431)&lt;&gt;1,"组合编号无效",INDEX(Equipment[驱动品牌],MATCH(B1431,Equipment[组合编号],0))))</x:f>
        <x:v>Elmo</x:v>
      </x:c>
      <x:c r="E1431" s="20" t="str">
        <x:v>H07</x:v>
      </x:c>
      <x:c r="F1431" s="20"/>
      <x:c r="G1431" s="20"/>
      <x:c r="H1431" s="20" t="str">
        <x:v>待判定</x:v>
      </x:c>
      <x:c r="I1431" s="20"/>
      <x:c r="J1431" s="20" t="str">
        <x:v>未测试</x:v>
      </x:c>
      <x:c r="K1431" s="20"/>
      <x:c r="L1431" s="20"/>
      <x:c r="M1431" s="20"/>
      <x:c r="N1431" s="20"/>
      <x:c r="O1431" s="31"/>
      <x:c r="P1431" s="20"/>
      <x:c r="Q1431" s="20"/>
      <x:c r="R1431" s="20" t="str">
        <x:v>待展开</x:v>
      </x:c>
      <x:c r="S1431" s="20"/>
      <x:c r="T1431" s="31"/>
      <x:c r="U1431" s="30" t="str">
        <x:f>IF(A1431="","缺记录编号",IF(COUNTIFS(PathRecords[记录编号],A1431)&lt;&gt;1,"记录编号重复",IF(OR(B1431="",E1431=""),"缺组合/功能",IF(COUNTIFS(Equipment[组合编号],B1431)&lt;&gt;1,"组合编号无效",IF(COUNTIFS(FunctionMatrix[编号],E1431)=0,"功能编号无效",IF(H1431="不适用",IF(J1431="已实测","适用性冲突",IF(I1431="","待补不适用依据","不适用（非实测）")),IF(J1431="阻塞",IF(I1431="","待补阻塞原因","阻塞（非实测）"),IF(J1431&lt;&gt;"已实测",IF(F1431="","待展开路径","未实测"),IF(H1431&lt;&gt;"适用","待确认适用性",IF(INDEX(Equipment[登记状态（自动）],MATCH(B1431,Equipment[组合编号],0))&lt;&gt;"已登记","待补设备组合",IF(AND(F1431&lt;&gt;"",G1431&lt;&gt;"",K1431&lt;&gt;"",L1431&lt;&gt;"",M1431&lt;&gt;"",N1431&lt;&gt;"",ISNUMBER(O1431),O1431&gt;0,P1431&lt;&gt;""),"记录齐全","待补实测记录")))))))))))</x:f>
        <x:v>待展开路径</x:v>
      </x:c>
    </x:row>
    <x:row r="1432" ht="43.5" customHeight="1">
      <x:c r="A1432" s="20" t="str">
        <x:v>REC-01423</x:v>
      </x:c>
      <x:c r="B1432" s="20" t="str">
        <x:v>P3-B4-01</x:v>
      </x:c>
      <x:c r="C1432" s="30" t="str">
        <x:f>IF(B1432="","",IF(COUNTIFS(Equipment[组合编号],B1432)&lt;&gt;1,"组合编号无效",INDEX(Equipment[PLC组],MATCH(B1432,Equipment[组合编号],0))))</x:f>
        <x:v>欧姆龙</x:v>
      </x:c>
      <x:c r="D1432" s="30" t="str">
        <x:f>IF(B1432="","",IF(COUNTIFS(Equipment[组合编号],B1432)&lt;&gt;1,"组合编号无效",INDEX(Equipment[驱动品牌],MATCH(B1432,Equipment[组合编号],0))))</x:f>
        <x:v>Elmo</x:v>
      </x:c>
      <x:c r="E1432" s="20" t="str">
        <x:v>H08</x:v>
      </x:c>
      <x:c r="F1432" s="20"/>
      <x:c r="G1432" s="20"/>
      <x:c r="H1432" s="20" t="str">
        <x:v>待判定</x:v>
      </x:c>
      <x:c r="I1432" s="20"/>
      <x:c r="J1432" s="20" t="str">
        <x:v>未测试</x:v>
      </x:c>
      <x:c r="K1432" s="20"/>
      <x:c r="L1432" s="20"/>
      <x:c r="M1432" s="20"/>
      <x:c r="N1432" s="20"/>
      <x:c r="O1432" s="31"/>
      <x:c r="P1432" s="20"/>
      <x:c r="Q1432" s="20"/>
      <x:c r="R1432" s="20" t="str">
        <x:v>待展开</x:v>
      </x:c>
      <x:c r="S1432" s="20"/>
      <x:c r="T1432" s="31"/>
      <x:c r="U1432" s="30" t="str">
        <x:f>IF(A1432="","缺记录编号",IF(COUNTIFS(PathRecords[记录编号],A1432)&lt;&gt;1,"记录编号重复",IF(OR(B1432="",E1432=""),"缺组合/功能",IF(COUNTIFS(Equipment[组合编号],B1432)&lt;&gt;1,"组合编号无效",IF(COUNTIFS(FunctionMatrix[编号],E1432)=0,"功能编号无效",IF(H1432="不适用",IF(J1432="已实测","适用性冲突",IF(I1432="","待补不适用依据","不适用（非实测）")),IF(J1432="阻塞",IF(I1432="","待补阻塞原因","阻塞（非实测）"),IF(J1432&lt;&gt;"已实测",IF(F1432="","待展开路径","未实测"),IF(H1432&lt;&gt;"适用","待确认适用性",IF(INDEX(Equipment[登记状态（自动）],MATCH(B1432,Equipment[组合编号],0))&lt;&gt;"已登记","待补设备组合",IF(AND(F1432&lt;&gt;"",G1432&lt;&gt;"",K1432&lt;&gt;"",L1432&lt;&gt;"",M1432&lt;&gt;"",N1432&lt;&gt;"",ISNUMBER(O1432),O1432&gt;0,P1432&lt;&gt;""),"记录齐全","待补实测记录")))))))))))</x:f>
        <x:v>待展开路径</x:v>
      </x:c>
    </x:row>
    <x:row r="1433" ht="43.5" customHeight="1">
      <x:c r="A1433" s="20" t="str">
        <x:v>REC-01424</x:v>
      </x:c>
      <x:c r="B1433" s="20" t="str">
        <x:v>P3-B4-01</x:v>
      </x:c>
      <x:c r="C1433" s="30" t="str">
        <x:f>IF(B1433="","",IF(COUNTIFS(Equipment[组合编号],B1433)&lt;&gt;1,"组合编号无效",INDEX(Equipment[PLC组],MATCH(B1433,Equipment[组合编号],0))))</x:f>
        <x:v>欧姆龙</x:v>
      </x:c>
      <x:c r="D1433" s="30" t="str">
        <x:f>IF(B1433="","",IF(COUNTIFS(Equipment[组合编号],B1433)&lt;&gt;1,"组合编号无效",INDEX(Equipment[驱动品牌],MATCH(B1433,Equipment[组合编号],0))))</x:f>
        <x:v>Elmo</x:v>
      </x:c>
      <x:c r="E1433" s="20" t="str">
        <x:v>H09</x:v>
      </x:c>
      <x:c r="F1433" s="20"/>
      <x:c r="G1433" s="20"/>
      <x:c r="H1433" s="20" t="str">
        <x:v>待判定</x:v>
      </x:c>
      <x:c r="I1433" s="20"/>
      <x:c r="J1433" s="20" t="str">
        <x:v>未测试</x:v>
      </x:c>
      <x:c r="K1433" s="20"/>
      <x:c r="L1433" s="20"/>
      <x:c r="M1433" s="20"/>
      <x:c r="N1433" s="20"/>
      <x:c r="O1433" s="31"/>
      <x:c r="P1433" s="20"/>
      <x:c r="Q1433" s="20"/>
      <x:c r="R1433" s="20" t="str">
        <x:v>待展开</x:v>
      </x:c>
      <x:c r="S1433" s="20"/>
      <x:c r="T1433" s="31"/>
      <x:c r="U1433" s="30" t="str">
        <x:f>IF(A1433="","缺记录编号",IF(COUNTIFS(PathRecords[记录编号],A1433)&lt;&gt;1,"记录编号重复",IF(OR(B1433="",E1433=""),"缺组合/功能",IF(COUNTIFS(Equipment[组合编号],B1433)&lt;&gt;1,"组合编号无效",IF(COUNTIFS(FunctionMatrix[编号],E1433)=0,"功能编号无效",IF(H1433="不适用",IF(J1433="已实测","适用性冲突",IF(I1433="","待补不适用依据","不适用（非实测）")),IF(J1433="阻塞",IF(I1433="","待补阻塞原因","阻塞（非实测）"),IF(J1433&lt;&gt;"已实测",IF(F1433="","待展开路径","未实测"),IF(H1433&lt;&gt;"适用","待确认适用性",IF(INDEX(Equipment[登记状态（自动）],MATCH(B1433,Equipment[组合编号],0))&lt;&gt;"已登记","待补设备组合",IF(AND(F1433&lt;&gt;"",G1433&lt;&gt;"",K1433&lt;&gt;"",L1433&lt;&gt;"",M1433&lt;&gt;"",N1433&lt;&gt;"",ISNUMBER(O1433),O1433&gt;0,P1433&lt;&gt;""),"记录齐全","待补实测记录")))))))))))</x:f>
        <x:v>待展开路径</x:v>
      </x:c>
    </x:row>
    <x:row r="1434" ht="43.5" customHeight="1">
      <x:c r="A1434" s="20" t="str">
        <x:v>REC-01425</x:v>
      </x:c>
      <x:c r="B1434" s="20" t="str">
        <x:v>P3-B4-01</x:v>
      </x:c>
      <x:c r="C1434" s="30" t="str">
        <x:f>IF(B1434="","",IF(COUNTIFS(Equipment[组合编号],B1434)&lt;&gt;1,"组合编号无效",INDEX(Equipment[PLC组],MATCH(B1434,Equipment[组合编号],0))))</x:f>
        <x:v>欧姆龙</x:v>
      </x:c>
      <x:c r="D1434" s="30" t="str">
        <x:f>IF(B1434="","",IF(COUNTIFS(Equipment[组合编号],B1434)&lt;&gt;1,"组合编号无效",INDEX(Equipment[驱动品牌],MATCH(B1434,Equipment[组合编号],0))))</x:f>
        <x:v>Elmo</x:v>
      </x:c>
      <x:c r="E1434" s="20" t="str">
        <x:v>H10</x:v>
      </x:c>
      <x:c r="F1434" s="20"/>
      <x:c r="G1434" s="20"/>
      <x:c r="H1434" s="20" t="str">
        <x:v>待判定</x:v>
      </x:c>
      <x:c r="I1434" s="20"/>
      <x:c r="J1434" s="20" t="str">
        <x:v>未测试</x:v>
      </x:c>
      <x:c r="K1434" s="20"/>
      <x:c r="L1434" s="20"/>
      <x:c r="M1434" s="20"/>
      <x:c r="N1434" s="20"/>
      <x:c r="O1434" s="31"/>
      <x:c r="P1434" s="20"/>
      <x:c r="Q1434" s="20"/>
      <x:c r="R1434" s="20" t="str">
        <x:v>待展开</x:v>
      </x:c>
      <x:c r="S1434" s="20"/>
      <x:c r="T1434" s="31"/>
      <x:c r="U1434" s="30" t="str">
        <x:f>IF(A1434="","缺记录编号",IF(COUNTIFS(PathRecords[记录编号],A1434)&lt;&gt;1,"记录编号重复",IF(OR(B1434="",E1434=""),"缺组合/功能",IF(COUNTIFS(Equipment[组合编号],B1434)&lt;&gt;1,"组合编号无效",IF(COUNTIFS(FunctionMatrix[编号],E1434)=0,"功能编号无效",IF(H1434="不适用",IF(J1434="已实测","适用性冲突",IF(I1434="","待补不适用依据","不适用（非实测）")),IF(J1434="阻塞",IF(I1434="","待补阻塞原因","阻塞（非实测）"),IF(J1434&lt;&gt;"已实测",IF(F1434="","待展开路径","未实测"),IF(H1434&lt;&gt;"适用","待确认适用性",IF(INDEX(Equipment[登记状态（自动）],MATCH(B1434,Equipment[组合编号],0))&lt;&gt;"已登记","待补设备组合",IF(AND(F1434&lt;&gt;"",G1434&lt;&gt;"",K1434&lt;&gt;"",L1434&lt;&gt;"",M1434&lt;&gt;"",N1434&lt;&gt;"",ISNUMBER(O1434),O1434&gt;0,P1434&lt;&gt;""),"记录齐全","待补实测记录")))))))))))</x:f>
        <x:v>待展开路径</x:v>
      </x:c>
    </x:row>
    <x:row r="1435" ht="43.5" customHeight="1">
      <x:c r="A1435" s="20" t="str">
        <x:v>REC-01426</x:v>
      </x:c>
      <x:c r="B1435" s="20" t="str">
        <x:v>P3-B4-01</x:v>
      </x:c>
      <x:c r="C1435" s="30" t="str">
        <x:f>IF(B1435="","",IF(COUNTIFS(Equipment[组合编号],B1435)&lt;&gt;1,"组合编号无效",INDEX(Equipment[PLC组],MATCH(B1435,Equipment[组合编号],0))))</x:f>
        <x:v>欧姆龙</x:v>
      </x:c>
      <x:c r="D1435" s="30" t="str">
        <x:f>IF(B1435="","",IF(COUNTIFS(Equipment[组合编号],B1435)&lt;&gt;1,"组合编号无效",INDEX(Equipment[驱动品牌],MATCH(B1435,Equipment[组合编号],0))))</x:f>
        <x:v>Elmo</x:v>
      </x:c>
      <x:c r="E1435" s="20" t="str">
        <x:v>H11</x:v>
      </x:c>
      <x:c r="F1435" s="20"/>
      <x:c r="G1435" s="20"/>
      <x:c r="H1435" s="20" t="str">
        <x:v>待判定</x:v>
      </x:c>
      <x:c r="I1435" s="20"/>
      <x:c r="J1435" s="20" t="str">
        <x:v>未测试</x:v>
      </x:c>
      <x:c r="K1435" s="20"/>
      <x:c r="L1435" s="20"/>
      <x:c r="M1435" s="20"/>
      <x:c r="N1435" s="20"/>
      <x:c r="O1435" s="31"/>
      <x:c r="P1435" s="20"/>
      <x:c r="Q1435" s="20"/>
      <x:c r="R1435" s="20" t="str">
        <x:v>待展开</x:v>
      </x:c>
      <x:c r="S1435" s="20"/>
      <x:c r="T1435" s="31"/>
      <x:c r="U1435" s="30" t="str">
        <x:f>IF(A1435="","缺记录编号",IF(COUNTIFS(PathRecords[记录编号],A1435)&lt;&gt;1,"记录编号重复",IF(OR(B1435="",E1435=""),"缺组合/功能",IF(COUNTIFS(Equipment[组合编号],B1435)&lt;&gt;1,"组合编号无效",IF(COUNTIFS(FunctionMatrix[编号],E1435)=0,"功能编号无效",IF(H1435="不适用",IF(J1435="已实测","适用性冲突",IF(I1435="","待补不适用依据","不适用（非实测）")),IF(J1435="阻塞",IF(I1435="","待补阻塞原因","阻塞（非实测）"),IF(J1435&lt;&gt;"已实测",IF(F1435="","待展开路径","未实测"),IF(H1435&lt;&gt;"适用","待确认适用性",IF(INDEX(Equipment[登记状态（自动）],MATCH(B1435,Equipment[组合编号],0))&lt;&gt;"已登记","待补设备组合",IF(AND(F1435&lt;&gt;"",G1435&lt;&gt;"",K1435&lt;&gt;"",L1435&lt;&gt;"",M1435&lt;&gt;"",N1435&lt;&gt;"",ISNUMBER(O1435),O1435&gt;0,P1435&lt;&gt;""),"记录齐全","待补实测记录")))))))))))</x:f>
        <x:v>待展开路径</x:v>
      </x:c>
    </x:row>
    <x:row r="1436" ht="43.5" customHeight="1">
      <x:c r="A1436" s="20" t="str">
        <x:v>REC-01427</x:v>
      </x:c>
      <x:c r="B1436" s="20" t="str">
        <x:v>P3-B4-01</x:v>
      </x:c>
      <x:c r="C1436" s="30" t="str">
        <x:f>IF(B1436="","",IF(COUNTIFS(Equipment[组合编号],B1436)&lt;&gt;1,"组合编号无效",INDEX(Equipment[PLC组],MATCH(B1436,Equipment[组合编号],0))))</x:f>
        <x:v>欧姆龙</x:v>
      </x:c>
      <x:c r="D1436" s="30" t="str">
        <x:f>IF(B1436="","",IF(COUNTIFS(Equipment[组合编号],B1436)&lt;&gt;1,"组合编号无效",INDEX(Equipment[驱动品牌],MATCH(B1436,Equipment[组合编号],0))))</x:f>
        <x:v>Elmo</x:v>
      </x:c>
      <x:c r="E1436" s="20" t="str">
        <x:v>N01</x:v>
      </x:c>
      <x:c r="F1436" s="20"/>
      <x:c r="G1436" s="20"/>
      <x:c r="H1436" s="20" t="str">
        <x:v>待判定</x:v>
      </x:c>
      <x:c r="I1436" s="20"/>
      <x:c r="J1436" s="20" t="str">
        <x:v>未测试</x:v>
      </x:c>
      <x:c r="K1436" s="20"/>
      <x:c r="L1436" s="20"/>
      <x:c r="M1436" s="20"/>
      <x:c r="N1436" s="20"/>
      <x:c r="O1436" s="31"/>
      <x:c r="P1436" s="20"/>
      <x:c r="Q1436" s="20"/>
      <x:c r="R1436" s="20" t="str">
        <x:v>待展开</x:v>
      </x:c>
      <x:c r="S1436" s="20"/>
      <x:c r="T1436" s="31"/>
      <x:c r="U1436" s="30" t="str">
        <x:f>IF(A1436="","缺记录编号",IF(COUNTIFS(PathRecords[记录编号],A1436)&lt;&gt;1,"记录编号重复",IF(OR(B1436="",E1436=""),"缺组合/功能",IF(COUNTIFS(Equipment[组合编号],B1436)&lt;&gt;1,"组合编号无效",IF(COUNTIFS(FunctionMatrix[编号],E1436)=0,"功能编号无效",IF(H1436="不适用",IF(J1436="已实测","适用性冲突",IF(I1436="","待补不适用依据","不适用（非实测）")),IF(J1436="阻塞",IF(I1436="","待补阻塞原因","阻塞（非实测）"),IF(J1436&lt;&gt;"已实测",IF(F1436="","待展开路径","未实测"),IF(H1436&lt;&gt;"适用","待确认适用性",IF(INDEX(Equipment[登记状态（自动）],MATCH(B1436,Equipment[组合编号],0))&lt;&gt;"已登记","待补设备组合",IF(AND(F1436&lt;&gt;"",G1436&lt;&gt;"",K1436&lt;&gt;"",L1436&lt;&gt;"",M1436&lt;&gt;"",N1436&lt;&gt;"",ISNUMBER(O1436),O1436&gt;0,P1436&lt;&gt;""),"记录齐全","待补实测记录")))))))))))</x:f>
        <x:v>待展开路径</x:v>
      </x:c>
    </x:row>
    <x:row r="1437" ht="43.5" customHeight="1">
      <x:c r="A1437" s="20" t="str">
        <x:v>REC-01428</x:v>
      </x:c>
      <x:c r="B1437" s="20" t="str">
        <x:v>P3-B4-01</x:v>
      </x:c>
      <x:c r="C1437" s="30" t="str">
        <x:f>IF(B1437="","",IF(COUNTIFS(Equipment[组合编号],B1437)&lt;&gt;1,"组合编号无效",INDEX(Equipment[PLC组],MATCH(B1437,Equipment[组合编号],0))))</x:f>
        <x:v>欧姆龙</x:v>
      </x:c>
      <x:c r="D1437" s="30" t="str">
        <x:f>IF(B1437="","",IF(COUNTIFS(Equipment[组合编号],B1437)&lt;&gt;1,"组合编号无效",INDEX(Equipment[驱动品牌],MATCH(B1437,Equipment[组合编号],0))))</x:f>
        <x:v>Elmo</x:v>
      </x:c>
      <x:c r="E1437" s="20" t="str">
        <x:v>N02</x:v>
      </x:c>
      <x:c r="F1437" s="20"/>
      <x:c r="G1437" s="20"/>
      <x:c r="H1437" s="20" t="str">
        <x:v>待判定</x:v>
      </x:c>
      <x:c r="I1437" s="20"/>
      <x:c r="J1437" s="20" t="str">
        <x:v>未测试</x:v>
      </x:c>
      <x:c r="K1437" s="20"/>
      <x:c r="L1437" s="20"/>
      <x:c r="M1437" s="20"/>
      <x:c r="N1437" s="20"/>
      <x:c r="O1437" s="31"/>
      <x:c r="P1437" s="20"/>
      <x:c r="Q1437" s="20"/>
      <x:c r="R1437" s="20" t="str">
        <x:v>待展开</x:v>
      </x:c>
      <x:c r="S1437" s="20"/>
      <x:c r="T1437" s="31"/>
      <x:c r="U1437" s="30" t="str">
        <x:f>IF(A1437="","缺记录编号",IF(COUNTIFS(PathRecords[记录编号],A1437)&lt;&gt;1,"记录编号重复",IF(OR(B1437="",E1437=""),"缺组合/功能",IF(COUNTIFS(Equipment[组合编号],B1437)&lt;&gt;1,"组合编号无效",IF(COUNTIFS(FunctionMatrix[编号],E1437)=0,"功能编号无效",IF(H1437="不适用",IF(J1437="已实测","适用性冲突",IF(I1437="","待补不适用依据","不适用（非实测）")),IF(J1437="阻塞",IF(I1437="","待补阻塞原因","阻塞（非实测）"),IF(J1437&lt;&gt;"已实测",IF(F1437="","待展开路径","未实测"),IF(H1437&lt;&gt;"适用","待确认适用性",IF(INDEX(Equipment[登记状态（自动）],MATCH(B1437,Equipment[组合编号],0))&lt;&gt;"已登记","待补设备组合",IF(AND(F1437&lt;&gt;"",G1437&lt;&gt;"",K1437&lt;&gt;"",L1437&lt;&gt;"",M1437&lt;&gt;"",N1437&lt;&gt;"",ISNUMBER(O1437),O1437&gt;0,P1437&lt;&gt;""),"记录齐全","待补实测记录")))))))))))</x:f>
        <x:v>待展开路径</x:v>
      </x:c>
    </x:row>
    <x:row r="1438" ht="43.5" customHeight="1">
      <x:c r="A1438" s="20" t="str">
        <x:v>REC-01429</x:v>
      </x:c>
      <x:c r="B1438" s="20" t="str">
        <x:v>P3-B4-01</x:v>
      </x:c>
      <x:c r="C1438" s="30" t="str">
        <x:f>IF(B1438="","",IF(COUNTIFS(Equipment[组合编号],B1438)&lt;&gt;1,"组合编号无效",INDEX(Equipment[PLC组],MATCH(B1438,Equipment[组合编号],0))))</x:f>
        <x:v>欧姆龙</x:v>
      </x:c>
      <x:c r="D1438" s="30" t="str">
        <x:f>IF(B1438="","",IF(COUNTIFS(Equipment[组合编号],B1438)&lt;&gt;1,"组合编号无效",INDEX(Equipment[驱动品牌],MATCH(B1438,Equipment[组合编号],0))))</x:f>
        <x:v>Elmo</x:v>
      </x:c>
      <x:c r="E1438" s="20" t="str">
        <x:v>N03</x:v>
      </x:c>
      <x:c r="F1438" s="20"/>
      <x:c r="G1438" s="20"/>
      <x:c r="H1438" s="20" t="str">
        <x:v>待判定</x:v>
      </x:c>
      <x:c r="I1438" s="20"/>
      <x:c r="J1438" s="20" t="str">
        <x:v>未测试</x:v>
      </x:c>
      <x:c r="K1438" s="20"/>
      <x:c r="L1438" s="20"/>
      <x:c r="M1438" s="20"/>
      <x:c r="N1438" s="20"/>
      <x:c r="O1438" s="31"/>
      <x:c r="P1438" s="20"/>
      <x:c r="Q1438" s="20"/>
      <x:c r="R1438" s="20" t="str">
        <x:v>待展开</x:v>
      </x:c>
      <x:c r="S1438" s="20"/>
      <x:c r="T1438" s="31"/>
      <x:c r="U1438" s="30" t="str">
        <x:f>IF(A1438="","缺记录编号",IF(COUNTIFS(PathRecords[记录编号],A1438)&lt;&gt;1,"记录编号重复",IF(OR(B1438="",E1438=""),"缺组合/功能",IF(COUNTIFS(Equipment[组合编号],B1438)&lt;&gt;1,"组合编号无效",IF(COUNTIFS(FunctionMatrix[编号],E1438)=0,"功能编号无效",IF(H1438="不适用",IF(J1438="已实测","适用性冲突",IF(I1438="","待补不适用依据","不适用（非实测）")),IF(J1438="阻塞",IF(I1438="","待补阻塞原因","阻塞（非实测）"),IF(J1438&lt;&gt;"已实测",IF(F1438="","待展开路径","未实测"),IF(H1438&lt;&gt;"适用","待确认适用性",IF(INDEX(Equipment[登记状态（自动）],MATCH(B1438,Equipment[组合编号],0))&lt;&gt;"已登记","待补设备组合",IF(AND(F1438&lt;&gt;"",G1438&lt;&gt;"",K1438&lt;&gt;"",L1438&lt;&gt;"",M1438&lt;&gt;"",N1438&lt;&gt;"",ISNUMBER(O1438),O1438&gt;0,P1438&lt;&gt;""),"记录齐全","待补实测记录")))))))))))</x:f>
        <x:v>待展开路径</x:v>
      </x:c>
    </x:row>
    <x:row r="1439" ht="43.5" customHeight="1">
      <x:c r="A1439" s="20" t="str">
        <x:v>REC-01430</x:v>
      </x:c>
      <x:c r="B1439" s="20" t="str">
        <x:v>P3-B4-01</x:v>
      </x:c>
      <x:c r="C1439" s="30" t="str">
        <x:f>IF(B1439="","",IF(COUNTIFS(Equipment[组合编号],B1439)&lt;&gt;1,"组合编号无效",INDEX(Equipment[PLC组],MATCH(B1439,Equipment[组合编号],0))))</x:f>
        <x:v>欧姆龙</x:v>
      </x:c>
      <x:c r="D1439" s="30" t="str">
        <x:f>IF(B1439="","",IF(COUNTIFS(Equipment[组合编号],B1439)&lt;&gt;1,"组合编号无效",INDEX(Equipment[驱动品牌],MATCH(B1439,Equipment[组合编号],0))))</x:f>
        <x:v>Elmo</x:v>
      </x:c>
      <x:c r="E1439" s="20" t="str">
        <x:v>N04</x:v>
      </x:c>
      <x:c r="F1439" s="20"/>
      <x:c r="G1439" s="20"/>
      <x:c r="H1439" s="20" t="str">
        <x:v>待判定</x:v>
      </x:c>
      <x:c r="I1439" s="20"/>
      <x:c r="J1439" s="20" t="str">
        <x:v>未测试</x:v>
      </x:c>
      <x:c r="K1439" s="20"/>
      <x:c r="L1439" s="20"/>
      <x:c r="M1439" s="20"/>
      <x:c r="N1439" s="20"/>
      <x:c r="O1439" s="31"/>
      <x:c r="P1439" s="20"/>
      <x:c r="Q1439" s="20"/>
      <x:c r="R1439" s="20" t="str">
        <x:v>待展开</x:v>
      </x:c>
      <x:c r="S1439" s="20"/>
      <x:c r="T1439" s="31"/>
      <x:c r="U1439" s="30" t="str">
        <x:f>IF(A1439="","缺记录编号",IF(COUNTIFS(PathRecords[记录编号],A1439)&lt;&gt;1,"记录编号重复",IF(OR(B1439="",E1439=""),"缺组合/功能",IF(COUNTIFS(Equipment[组合编号],B1439)&lt;&gt;1,"组合编号无效",IF(COUNTIFS(FunctionMatrix[编号],E1439)=0,"功能编号无效",IF(H1439="不适用",IF(J1439="已实测","适用性冲突",IF(I1439="","待补不适用依据","不适用（非实测）")),IF(J1439="阻塞",IF(I1439="","待补阻塞原因","阻塞（非实测）"),IF(J1439&lt;&gt;"已实测",IF(F1439="","待展开路径","未实测"),IF(H1439&lt;&gt;"适用","待确认适用性",IF(INDEX(Equipment[登记状态（自动）],MATCH(B1439,Equipment[组合编号],0))&lt;&gt;"已登记","待补设备组合",IF(AND(F1439&lt;&gt;"",G1439&lt;&gt;"",K1439&lt;&gt;"",L1439&lt;&gt;"",M1439&lt;&gt;"",N1439&lt;&gt;"",ISNUMBER(O1439),O1439&gt;0,P1439&lt;&gt;""),"记录齐全","待补实测记录")))))))))))</x:f>
        <x:v>待展开路径</x:v>
      </x:c>
    </x:row>
    <x:row r="1440" ht="43.5" customHeight="1">
      <x:c r="A1440" s="20" t="str">
        <x:v>REC-01431</x:v>
      </x:c>
      <x:c r="B1440" s="20" t="str">
        <x:v>P3-B4-01</x:v>
      </x:c>
      <x:c r="C1440" s="30" t="str">
        <x:f>IF(B1440="","",IF(COUNTIFS(Equipment[组合编号],B1440)&lt;&gt;1,"组合编号无效",INDEX(Equipment[PLC组],MATCH(B1440,Equipment[组合编号],0))))</x:f>
        <x:v>欧姆龙</x:v>
      </x:c>
      <x:c r="D1440" s="30" t="str">
        <x:f>IF(B1440="","",IF(COUNTIFS(Equipment[组合编号],B1440)&lt;&gt;1,"组合编号无效",INDEX(Equipment[驱动品牌],MATCH(B1440,Equipment[组合编号],0))))</x:f>
        <x:v>Elmo</x:v>
      </x:c>
      <x:c r="E1440" s="20" t="str">
        <x:v>N05</x:v>
      </x:c>
      <x:c r="F1440" s="20"/>
      <x:c r="G1440" s="20"/>
      <x:c r="H1440" s="20" t="str">
        <x:v>待判定</x:v>
      </x:c>
      <x:c r="I1440" s="20"/>
      <x:c r="J1440" s="20" t="str">
        <x:v>未测试</x:v>
      </x:c>
      <x:c r="K1440" s="20"/>
      <x:c r="L1440" s="20"/>
      <x:c r="M1440" s="20"/>
      <x:c r="N1440" s="20"/>
      <x:c r="O1440" s="31"/>
      <x:c r="P1440" s="20"/>
      <x:c r="Q1440" s="20"/>
      <x:c r="R1440" s="20" t="str">
        <x:v>待展开</x:v>
      </x:c>
      <x:c r="S1440" s="20"/>
      <x:c r="T1440" s="31"/>
      <x:c r="U1440" s="30" t="str">
        <x:f>IF(A1440="","缺记录编号",IF(COUNTIFS(PathRecords[记录编号],A1440)&lt;&gt;1,"记录编号重复",IF(OR(B1440="",E1440=""),"缺组合/功能",IF(COUNTIFS(Equipment[组合编号],B1440)&lt;&gt;1,"组合编号无效",IF(COUNTIFS(FunctionMatrix[编号],E1440)=0,"功能编号无效",IF(H1440="不适用",IF(J1440="已实测","适用性冲突",IF(I1440="","待补不适用依据","不适用（非实测）")),IF(J1440="阻塞",IF(I1440="","待补阻塞原因","阻塞（非实测）"),IF(J1440&lt;&gt;"已实测",IF(F1440="","待展开路径","未实测"),IF(H1440&lt;&gt;"适用","待确认适用性",IF(INDEX(Equipment[登记状态（自动）],MATCH(B1440,Equipment[组合编号],0))&lt;&gt;"已登记","待补设备组合",IF(AND(F1440&lt;&gt;"",G1440&lt;&gt;"",K1440&lt;&gt;"",L1440&lt;&gt;"",M1440&lt;&gt;"",N1440&lt;&gt;"",ISNUMBER(O1440),O1440&gt;0,P1440&lt;&gt;""),"记录齐全","待补实测记录")))))))))))</x:f>
        <x:v>待展开路径</x:v>
      </x:c>
    </x:row>
    <x:row r="1441" ht="43.5" customHeight="1">
      <x:c r="A1441" s="20" t="str">
        <x:v>REC-01432</x:v>
      </x:c>
      <x:c r="B1441" s="20" t="str">
        <x:v>P3-B4-01</x:v>
      </x:c>
      <x:c r="C1441" s="30" t="str">
        <x:f>IF(B1441="","",IF(COUNTIFS(Equipment[组合编号],B1441)&lt;&gt;1,"组合编号无效",INDEX(Equipment[PLC组],MATCH(B1441,Equipment[组合编号],0))))</x:f>
        <x:v>欧姆龙</x:v>
      </x:c>
      <x:c r="D1441" s="30" t="str">
        <x:f>IF(B1441="","",IF(COUNTIFS(Equipment[组合编号],B1441)&lt;&gt;1,"组合编号无效",INDEX(Equipment[驱动品牌],MATCH(B1441,Equipment[组合编号],0))))</x:f>
        <x:v>Elmo</x:v>
      </x:c>
      <x:c r="E1441" s="20" t="str">
        <x:v>N06</x:v>
      </x:c>
      <x:c r="F1441" s="20"/>
      <x:c r="G1441" s="20"/>
      <x:c r="H1441" s="20" t="str">
        <x:v>待判定</x:v>
      </x:c>
      <x:c r="I1441" s="20"/>
      <x:c r="J1441" s="20" t="str">
        <x:v>未测试</x:v>
      </x:c>
      <x:c r="K1441" s="20"/>
      <x:c r="L1441" s="20"/>
      <x:c r="M1441" s="20"/>
      <x:c r="N1441" s="20"/>
      <x:c r="O1441" s="31"/>
      <x:c r="P1441" s="20"/>
      <x:c r="Q1441" s="20"/>
      <x:c r="R1441" s="20" t="str">
        <x:v>待展开</x:v>
      </x:c>
      <x:c r="S1441" s="20"/>
      <x:c r="T1441" s="31"/>
      <x:c r="U1441" s="30" t="str">
        <x:f>IF(A1441="","缺记录编号",IF(COUNTIFS(PathRecords[记录编号],A1441)&lt;&gt;1,"记录编号重复",IF(OR(B1441="",E1441=""),"缺组合/功能",IF(COUNTIFS(Equipment[组合编号],B1441)&lt;&gt;1,"组合编号无效",IF(COUNTIFS(FunctionMatrix[编号],E1441)=0,"功能编号无效",IF(H1441="不适用",IF(J1441="已实测","适用性冲突",IF(I1441="","待补不适用依据","不适用（非实测）")),IF(J1441="阻塞",IF(I1441="","待补阻塞原因","阻塞（非实测）"),IF(J1441&lt;&gt;"已实测",IF(F1441="","待展开路径","未实测"),IF(H1441&lt;&gt;"适用","待确认适用性",IF(INDEX(Equipment[登记状态（自动）],MATCH(B1441,Equipment[组合编号],0))&lt;&gt;"已登记","待补设备组合",IF(AND(F1441&lt;&gt;"",G1441&lt;&gt;"",K1441&lt;&gt;"",L1441&lt;&gt;"",M1441&lt;&gt;"",N1441&lt;&gt;"",ISNUMBER(O1441),O1441&gt;0,P1441&lt;&gt;""),"记录齐全","待补实测记录")))))))))))</x:f>
        <x:v>待展开路径</x:v>
      </x:c>
    </x:row>
    <x:row r="1442" ht="43.5" customHeight="1">
      <x:c r="A1442" s="20" t="str">
        <x:v>REC-01433</x:v>
      </x:c>
      <x:c r="B1442" s="20" t="str">
        <x:v>P3-B4-01</x:v>
      </x:c>
      <x:c r="C1442" s="30" t="str">
        <x:f>IF(B1442="","",IF(COUNTIFS(Equipment[组合编号],B1442)&lt;&gt;1,"组合编号无效",INDEX(Equipment[PLC组],MATCH(B1442,Equipment[组合编号],0))))</x:f>
        <x:v>欧姆龙</x:v>
      </x:c>
      <x:c r="D1442" s="30" t="str">
        <x:f>IF(B1442="","",IF(COUNTIFS(Equipment[组合编号],B1442)&lt;&gt;1,"组合编号无效",INDEX(Equipment[驱动品牌],MATCH(B1442,Equipment[组合编号],0))))</x:f>
        <x:v>Elmo</x:v>
      </x:c>
      <x:c r="E1442" s="20" t="str">
        <x:v>N07</x:v>
      </x:c>
      <x:c r="F1442" s="20"/>
      <x:c r="G1442" s="20"/>
      <x:c r="H1442" s="20" t="str">
        <x:v>待判定</x:v>
      </x:c>
      <x:c r="I1442" s="20"/>
      <x:c r="J1442" s="20" t="str">
        <x:v>未测试</x:v>
      </x:c>
      <x:c r="K1442" s="20"/>
      <x:c r="L1442" s="20"/>
      <x:c r="M1442" s="20"/>
      <x:c r="N1442" s="20"/>
      <x:c r="O1442" s="31"/>
      <x:c r="P1442" s="20"/>
      <x:c r="Q1442" s="20"/>
      <x:c r="R1442" s="20" t="str">
        <x:v>待展开</x:v>
      </x:c>
      <x:c r="S1442" s="20"/>
      <x:c r="T1442" s="31"/>
      <x:c r="U1442" s="30" t="str">
        <x:f>IF(A1442="","缺记录编号",IF(COUNTIFS(PathRecords[记录编号],A1442)&lt;&gt;1,"记录编号重复",IF(OR(B1442="",E1442=""),"缺组合/功能",IF(COUNTIFS(Equipment[组合编号],B1442)&lt;&gt;1,"组合编号无效",IF(COUNTIFS(FunctionMatrix[编号],E1442)=0,"功能编号无效",IF(H1442="不适用",IF(J1442="已实测","适用性冲突",IF(I1442="","待补不适用依据","不适用（非实测）")),IF(J1442="阻塞",IF(I1442="","待补阻塞原因","阻塞（非实测）"),IF(J1442&lt;&gt;"已实测",IF(F1442="","待展开路径","未实测"),IF(H1442&lt;&gt;"适用","待确认适用性",IF(INDEX(Equipment[登记状态（自动）],MATCH(B1442,Equipment[组合编号],0))&lt;&gt;"已登记","待补设备组合",IF(AND(F1442&lt;&gt;"",G1442&lt;&gt;"",K1442&lt;&gt;"",L1442&lt;&gt;"",M1442&lt;&gt;"",N1442&lt;&gt;"",ISNUMBER(O1442),O1442&gt;0,P1442&lt;&gt;""),"记录齐全","待补实测记录")))))))))))</x:f>
        <x:v>待展开路径</x:v>
      </x:c>
    </x:row>
    <x:row r="1443" ht="43.5" customHeight="1">
      <x:c r="A1443" s="20" t="str">
        <x:v>REC-01434</x:v>
      </x:c>
      <x:c r="B1443" s="20" t="str">
        <x:v>P3-B4-01</x:v>
      </x:c>
      <x:c r="C1443" s="30" t="str">
        <x:f>IF(B1443="","",IF(COUNTIFS(Equipment[组合编号],B1443)&lt;&gt;1,"组合编号无效",INDEX(Equipment[PLC组],MATCH(B1443,Equipment[组合编号],0))))</x:f>
        <x:v>欧姆龙</x:v>
      </x:c>
      <x:c r="D1443" s="30" t="str">
        <x:f>IF(B1443="","",IF(COUNTIFS(Equipment[组合编号],B1443)&lt;&gt;1,"组合编号无效",INDEX(Equipment[驱动品牌],MATCH(B1443,Equipment[组合编号],0))))</x:f>
        <x:v>Elmo</x:v>
      </x:c>
      <x:c r="E1443" s="20" t="str">
        <x:v>N08</x:v>
      </x:c>
      <x:c r="F1443" s="20"/>
      <x:c r="G1443" s="20"/>
      <x:c r="H1443" s="20" t="str">
        <x:v>待判定</x:v>
      </x:c>
      <x:c r="I1443" s="20"/>
      <x:c r="J1443" s="20" t="str">
        <x:v>未测试</x:v>
      </x:c>
      <x:c r="K1443" s="20"/>
      <x:c r="L1443" s="20"/>
      <x:c r="M1443" s="20"/>
      <x:c r="N1443" s="20"/>
      <x:c r="O1443" s="31"/>
      <x:c r="P1443" s="20"/>
      <x:c r="Q1443" s="20"/>
      <x:c r="R1443" s="20" t="str">
        <x:v>待展开</x:v>
      </x:c>
      <x:c r="S1443" s="20"/>
      <x:c r="T1443" s="31"/>
      <x:c r="U1443" s="30" t="str">
        <x:f>IF(A1443="","缺记录编号",IF(COUNTIFS(PathRecords[记录编号],A1443)&lt;&gt;1,"记录编号重复",IF(OR(B1443="",E1443=""),"缺组合/功能",IF(COUNTIFS(Equipment[组合编号],B1443)&lt;&gt;1,"组合编号无效",IF(COUNTIFS(FunctionMatrix[编号],E1443)=0,"功能编号无效",IF(H1443="不适用",IF(J1443="已实测","适用性冲突",IF(I1443="","待补不适用依据","不适用（非实测）")),IF(J1443="阻塞",IF(I1443="","待补阻塞原因","阻塞（非实测）"),IF(J1443&lt;&gt;"已实测",IF(F1443="","待展开路径","未实测"),IF(H1443&lt;&gt;"适用","待确认适用性",IF(INDEX(Equipment[登记状态（自动）],MATCH(B1443,Equipment[组合编号],0))&lt;&gt;"已登记","待补设备组合",IF(AND(F1443&lt;&gt;"",G1443&lt;&gt;"",K1443&lt;&gt;"",L1443&lt;&gt;"",M1443&lt;&gt;"",N1443&lt;&gt;"",ISNUMBER(O1443),O1443&gt;0,P1443&lt;&gt;""),"记录齐全","待补实测记录")))))))))))</x:f>
        <x:v>待展开路径</x:v>
      </x:c>
    </x:row>
    <x:row r="1444" ht="43.5" customHeight="1">
      <x:c r="A1444" s="20" t="str">
        <x:v>REC-01435</x:v>
      </x:c>
      <x:c r="B1444" s="20" t="str">
        <x:v>P3-B4-01</x:v>
      </x:c>
      <x:c r="C1444" s="30" t="str">
        <x:f>IF(B1444="","",IF(COUNTIFS(Equipment[组合编号],B1444)&lt;&gt;1,"组合编号无效",INDEX(Equipment[PLC组],MATCH(B1444,Equipment[组合编号],0))))</x:f>
        <x:v>欧姆龙</x:v>
      </x:c>
      <x:c r="D1444" s="30" t="str">
        <x:f>IF(B1444="","",IF(COUNTIFS(Equipment[组合编号],B1444)&lt;&gt;1,"组合编号无效",INDEX(Equipment[驱动品牌],MATCH(B1444,Equipment[组合编号],0))))</x:f>
        <x:v>Elmo</x:v>
      </x:c>
      <x:c r="E1444" s="20" t="str">
        <x:v>N09</x:v>
      </x:c>
      <x:c r="F1444" s="20"/>
      <x:c r="G1444" s="20"/>
      <x:c r="H1444" s="20" t="str">
        <x:v>待判定</x:v>
      </x:c>
      <x:c r="I1444" s="20"/>
      <x:c r="J1444" s="20" t="str">
        <x:v>未测试</x:v>
      </x:c>
      <x:c r="K1444" s="20"/>
      <x:c r="L1444" s="20"/>
      <x:c r="M1444" s="20"/>
      <x:c r="N1444" s="20"/>
      <x:c r="O1444" s="31"/>
      <x:c r="P1444" s="20"/>
      <x:c r="Q1444" s="20"/>
      <x:c r="R1444" s="20" t="str">
        <x:v>待展开</x:v>
      </x:c>
      <x:c r="S1444" s="20"/>
      <x:c r="T1444" s="31"/>
      <x:c r="U1444" s="30" t="str">
        <x:f>IF(A1444="","缺记录编号",IF(COUNTIFS(PathRecords[记录编号],A1444)&lt;&gt;1,"记录编号重复",IF(OR(B1444="",E1444=""),"缺组合/功能",IF(COUNTIFS(Equipment[组合编号],B1444)&lt;&gt;1,"组合编号无效",IF(COUNTIFS(FunctionMatrix[编号],E1444)=0,"功能编号无效",IF(H1444="不适用",IF(J1444="已实测","适用性冲突",IF(I1444="","待补不适用依据","不适用（非实测）")),IF(J1444="阻塞",IF(I1444="","待补阻塞原因","阻塞（非实测）"),IF(J1444&lt;&gt;"已实测",IF(F1444="","待展开路径","未实测"),IF(H1444&lt;&gt;"适用","待确认适用性",IF(INDEX(Equipment[登记状态（自动）],MATCH(B1444,Equipment[组合编号],0))&lt;&gt;"已登记","待补设备组合",IF(AND(F1444&lt;&gt;"",G1444&lt;&gt;"",K1444&lt;&gt;"",L1444&lt;&gt;"",M1444&lt;&gt;"",N1444&lt;&gt;"",ISNUMBER(O1444),O1444&gt;0,P1444&lt;&gt;""),"记录齐全","待补实测记录")))))))))))</x:f>
        <x:v>待展开路径</x:v>
      </x:c>
    </x:row>
    <x:row r="1445" ht="43.5" customHeight="1">
      <x:c r="A1445" s="20" t="str">
        <x:v>REC-01436</x:v>
      </x:c>
      <x:c r="B1445" s="20" t="str">
        <x:v>P3-B4-01</x:v>
      </x:c>
      <x:c r="C1445" s="30" t="str">
        <x:f>IF(B1445="","",IF(COUNTIFS(Equipment[组合编号],B1445)&lt;&gt;1,"组合编号无效",INDEX(Equipment[PLC组],MATCH(B1445,Equipment[组合编号],0))))</x:f>
        <x:v>欧姆龙</x:v>
      </x:c>
      <x:c r="D1445" s="30" t="str">
        <x:f>IF(B1445="","",IF(COUNTIFS(Equipment[组合编号],B1445)&lt;&gt;1,"组合编号无效",INDEX(Equipment[驱动品牌],MATCH(B1445,Equipment[组合编号],0))))</x:f>
        <x:v>Elmo</x:v>
      </x:c>
      <x:c r="E1445" s="20" t="str">
        <x:v>N10</x:v>
      </x:c>
      <x:c r="F1445" s="20"/>
      <x:c r="G1445" s="20"/>
      <x:c r="H1445" s="20" t="str">
        <x:v>待判定</x:v>
      </x:c>
      <x:c r="I1445" s="20"/>
      <x:c r="J1445" s="20" t="str">
        <x:v>未测试</x:v>
      </x:c>
      <x:c r="K1445" s="20"/>
      <x:c r="L1445" s="20"/>
      <x:c r="M1445" s="20"/>
      <x:c r="N1445" s="20"/>
      <x:c r="O1445" s="31"/>
      <x:c r="P1445" s="20"/>
      <x:c r="Q1445" s="20"/>
      <x:c r="R1445" s="20" t="str">
        <x:v>待展开</x:v>
      </x:c>
      <x:c r="S1445" s="20"/>
      <x:c r="T1445" s="31"/>
      <x:c r="U1445" s="30" t="str">
        <x:f>IF(A1445="","缺记录编号",IF(COUNTIFS(PathRecords[记录编号],A1445)&lt;&gt;1,"记录编号重复",IF(OR(B1445="",E1445=""),"缺组合/功能",IF(COUNTIFS(Equipment[组合编号],B1445)&lt;&gt;1,"组合编号无效",IF(COUNTIFS(FunctionMatrix[编号],E1445)=0,"功能编号无效",IF(H1445="不适用",IF(J1445="已实测","适用性冲突",IF(I1445="","待补不适用依据","不适用（非实测）")),IF(J1445="阻塞",IF(I1445="","待补阻塞原因","阻塞（非实测）"),IF(J1445&lt;&gt;"已实测",IF(F1445="","待展开路径","未实测"),IF(H1445&lt;&gt;"适用","待确认适用性",IF(INDEX(Equipment[登记状态（自动）],MATCH(B1445,Equipment[组合编号],0))&lt;&gt;"已登记","待补设备组合",IF(AND(F1445&lt;&gt;"",G1445&lt;&gt;"",K1445&lt;&gt;"",L1445&lt;&gt;"",M1445&lt;&gt;"",N1445&lt;&gt;"",ISNUMBER(O1445),O1445&gt;0,P1445&lt;&gt;""),"记录齐全","待补实测记录")))))))))))</x:f>
        <x:v>待展开路径</x:v>
      </x:c>
    </x:row>
    <x:row r="1446" ht="43.5" customHeight="1">
      <x:c r="A1446" s="20" t="str">
        <x:v>REC-01437</x:v>
      </x:c>
      <x:c r="B1446" s="20" t="str">
        <x:v>P3-B4-01</x:v>
      </x:c>
      <x:c r="C1446" s="30" t="str">
        <x:f>IF(B1446="","",IF(COUNTIFS(Equipment[组合编号],B1446)&lt;&gt;1,"组合编号无效",INDEX(Equipment[PLC组],MATCH(B1446,Equipment[组合编号],0))))</x:f>
        <x:v>欧姆龙</x:v>
      </x:c>
      <x:c r="D1446" s="30" t="str">
        <x:f>IF(B1446="","",IF(COUNTIFS(Equipment[组合编号],B1446)&lt;&gt;1,"组合编号无效",INDEX(Equipment[驱动品牌],MATCH(B1446,Equipment[组合编号],0))))</x:f>
        <x:v>Elmo</x:v>
      </x:c>
      <x:c r="E1446" s="20" t="str">
        <x:v>N11</x:v>
      </x:c>
      <x:c r="F1446" s="20"/>
      <x:c r="G1446" s="20"/>
      <x:c r="H1446" s="20" t="str">
        <x:v>待判定</x:v>
      </x:c>
      <x:c r="I1446" s="20"/>
      <x:c r="J1446" s="20" t="str">
        <x:v>未测试</x:v>
      </x:c>
      <x:c r="K1446" s="20"/>
      <x:c r="L1446" s="20"/>
      <x:c r="M1446" s="20"/>
      <x:c r="N1446" s="20"/>
      <x:c r="O1446" s="31"/>
      <x:c r="P1446" s="20"/>
      <x:c r="Q1446" s="20"/>
      <x:c r="R1446" s="20" t="str">
        <x:v>待展开</x:v>
      </x:c>
      <x:c r="S1446" s="20"/>
      <x:c r="T1446" s="31"/>
      <x:c r="U1446" s="30" t="str">
        <x:f>IF(A1446="","缺记录编号",IF(COUNTIFS(PathRecords[记录编号],A1446)&lt;&gt;1,"记录编号重复",IF(OR(B1446="",E1446=""),"缺组合/功能",IF(COUNTIFS(Equipment[组合编号],B1446)&lt;&gt;1,"组合编号无效",IF(COUNTIFS(FunctionMatrix[编号],E1446)=0,"功能编号无效",IF(H1446="不适用",IF(J1446="已实测","适用性冲突",IF(I1446="","待补不适用依据","不适用（非实测）")),IF(J1446="阻塞",IF(I1446="","待补阻塞原因","阻塞（非实测）"),IF(J1446&lt;&gt;"已实测",IF(F1446="","待展开路径","未实测"),IF(H1446&lt;&gt;"适用","待确认适用性",IF(INDEX(Equipment[登记状态（自动）],MATCH(B1446,Equipment[组合编号],0))&lt;&gt;"已登记","待补设备组合",IF(AND(F1446&lt;&gt;"",G1446&lt;&gt;"",K1446&lt;&gt;"",L1446&lt;&gt;"",M1446&lt;&gt;"",N1446&lt;&gt;"",ISNUMBER(O1446),O1446&gt;0,P1446&lt;&gt;""),"记录齐全","待补实测记录")))))))))))</x:f>
        <x:v>待展开路径</x:v>
      </x:c>
    </x:row>
    <x:row r="1447" ht="43.5" customHeight="1">
      <x:c r="A1447" s="20" t="str">
        <x:v>REC-01438</x:v>
      </x:c>
      <x:c r="B1447" s="20" t="str">
        <x:v>P3-B4-01</x:v>
      </x:c>
      <x:c r="C1447" s="30" t="str">
        <x:f>IF(B1447="","",IF(COUNTIFS(Equipment[组合编号],B1447)&lt;&gt;1,"组合编号无效",INDEX(Equipment[PLC组],MATCH(B1447,Equipment[组合编号],0))))</x:f>
        <x:v>欧姆龙</x:v>
      </x:c>
      <x:c r="D1447" s="30" t="str">
        <x:f>IF(B1447="","",IF(COUNTIFS(Equipment[组合编号],B1447)&lt;&gt;1,"组合编号无效",INDEX(Equipment[驱动品牌],MATCH(B1447,Equipment[组合编号],0))))</x:f>
        <x:v>Elmo</x:v>
      </x:c>
      <x:c r="E1447" s="20" t="str">
        <x:v>N12</x:v>
      </x:c>
      <x:c r="F1447" s="20"/>
      <x:c r="G1447" s="20"/>
      <x:c r="H1447" s="20" t="str">
        <x:v>待判定</x:v>
      </x:c>
      <x:c r="I1447" s="20"/>
      <x:c r="J1447" s="20" t="str">
        <x:v>未测试</x:v>
      </x:c>
      <x:c r="K1447" s="20"/>
      <x:c r="L1447" s="20"/>
      <x:c r="M1447" s="20"/>
      <x:c r="N1447" s="20"/>
      <x:c r="O1447" s="31"/>
      <x:c r="P1447" s="20"/>
      <x:c r="Q1447" s="20"/>
      <x:c r="R1447" s="20" t="str">
        <x:v>待展开</x:v>
      </x:c>
      <x:c r="S1447" s="20"/>
      <x:c r="T1447" s="31"/>
      <x:c r="U1447" s="30" t="str">
        <x:f>IF(A1447="","缺记录编号",IF(COUNTIFS(PathRecords[记录编号],A1447)&lt;&gt;1,"记录编号重复",IF(OR(B1447="",E1447=""),"缺组合/功能",IF(COUNTIFS(Equipment[组合编号],B1447)&lt;&gt;1,"组合编号无效",IF(COUNTIFS(FunctionMatrix[编号],E1447)=0,"功能编号无效",IF(H1447="不适用",IF(J1447="已实测","适用性冲突",IF(I1447="","待补不适用依据","不适用（非实测）")),IF(J1447="阻塞",IF(I1447="","待补阻塞原因","阻塞（非实测）"),IF(J1447&lt;&gt;"已实测",IF(F1447="","待展开路径","未实测"),IF(H1447&lt;&gt;"适用","待确认适用性",IF(INDEX(Equipment[登记状态（自动）],MATCH(B1447,Equipment[组合编号],0))&lt;&gt;"已登记","待补设备组合",IF(AND(F1447&lt;&gt;"",G1447&lt;&gt;"",K1447&lt;&gt;"",L1447&lt;&gt;"",M1447&lt;&gt;"",N1447&lt;&gt;"",ISNUMBER(O1447),O1447&gt;0,P1447&lt;&gt;""),"记录齐全","待补实测记录")))))))))))</x:f>
        <x:v>待展开路径</x:v>
      </x:c>
    </x:row>
    <x:row r="1448" ht="43.5" customHeight="1">
      <x:c r="A1448" s="20" t="str">
        <x:v>REC-01439</x:v>
      </x:c>
      <x:c r="B1448" s="20" t="str">
        <x:v>P3-B4-01</x:v>
      </x:c>
      <x:c r="C1448" s="30" t="str">
        <x:f>IF(B1448="","",IF(COUNTIFS(Equipment[组合编号],B1448)&lt;&gt;1,"组合编号无效",INDEX(Equipment[PLC组],MATCH(B1448,Equipment[组合编号],0))))</x:f>
        <x:v>欧姆龙</x:v>
      </x:c>
      <x:c r="D1448" s="30" t="str">
        <x:f>IF(B1448="","",IF(COUNTIFS(Equipment[组合编号],B1448)&lt;&gt;1,"组合编号无效",INDEX(Equipment[驱动品牌],MATCH(B1448,Equipment[组合编号],0))))</x:f>
        <x:v>Elmo</x:v>
      </x:c>
      <x:c r="E1448" s="20" t="str">
        <x:v>P01</x:v>
      </x:c>
      <x:c r="F1448" s="20"/>
      <x:c r="G1448" s="20"/>
      <x:c r="H1448" s="20" t="str">
        <x:v>待判定</x:v>
      </x:c>
      <x:c r="I1448" s="20"/>
      <x:c r="J1448" s="20" t="str">
        <x:v>未测试</x:v>
      </x:c>
      <x:c r="K1448" s="20"/>
      <x:c r="L1448" s="20"/>
      <x:c r="M1448" s="20"/>
      <x:c r="N1448" s="20"/>
      <x:c r="O1448" s="31"/>
      <x:c r="P1448" s="20"/>
      <x:c r="Q1448" s="20"/>
      <x:c r="R1448" s="20" t="str">
        <x:v>待展开</x:v>
      </x:c>
      <x:c r="S1448" s="20"/>
      <x:c r="T1448" s="31"/>
      <x:c r="U1448" s="30" t="str">
        <x:f>IF(A1448="","缺记录编号",IF(COUNTIFS(PathRecords[记录编号],A1448)&lt;&gt;1,"记录编号重复",IF(OR(B1448="",E1448=""),"缺组合/功能",IF(COUNTIFS(Equipment[组合编号],B1448)&lt;&gt;1,"组合编号无效",IF(COUNTIFS(FunctionMatrix[编号],E1448)=0,"功能编号无效",IF(H1448="不适用",IF(J1448="已实测","适用性冲突",IF(I1448="","待补不适用依据","不适用（非实测）")),IF(J1448="阻塞",IF(I1448="","待补阻塞原因","阻塞（非实测）"),IF(J1448&lt;&gt;"已实测",IF(F1448="","待展开路径","未实测"),IF(H1448&lt;&gt;"适用","待确认适用性",IF(INDEX(Equipment[登记状态（自动）],MATCH(B1448,Equipment[组合编号],0))&lt;&gt;"已登记","待补设备组合",IF(AND(F1448&lt;&gt;"",G1448&lt;&gt;"",K1448&lt;&gt;"",L1448&lt;&gt;"",M1448&lt;&gt;"",N1448&lt;&gt;"",ISNUMBER(O1448),O1448&gt;0,P1448&lt;&gt;""),"记录齐全","待补实测记录")))))))))))</x:f>
        <x:v>待展开路径</x:v>
      </x:c>
    </x:row>
    <x:row r="1449" ht="43.5" customHeight="1">
      <x:c r="A1449" s="20" t="str">
        <x:v>REC-01440</x:v>
      </x:c>
      <x:c r="B1449" s="20" t="str">
        <x:v>P3-B4-01</x:v>
      </x:c>
      <x:c r="C1449" s="30" t="str">
        <x:f>IF(B1449="","",IF(COUNTIFS(Equipment[组合编号],B1449)&lt;&gt;1,"组合编号无效",INDEX(Equipment[PLC组],MATCH(B1449,Equipment[组合编号],0))))</x:f>
        <x:v>欧姆龙</x:v>
      </x:c>
      <x:c r="D1449" s="30" t="str">
        <x:f>IF(B1449="","",IF(COUNTIFS(Equipment[组合编号],B1449)&lt;&gt;1,"组合编号无效",INDEX(Equipment[驱动品牌],MATCH(B1449,Equipment[组合编号],0))))</x:f>
        <x:v>Elmo</x:v>
      </x:c>
      <x:c r="E1449" s="20" t="str">
        <x:v>P02</x:v>
      </x:c>
      <x:c r="F1449" s="20"/>
      <x:c r="G1449" s="20"/>
      <x:c r="H1449" s="20" t="str">
        <x:v>待判定</x:v>
      </x:c>
      <x:c r="I1449" s="20"/>
      <x:c r="J1449" s="20" t="str">
        <x:v>未测试</x:v>
      </x:c>
      <x:c r="K1449" s="20"/>
      <x:c r="L1449" s="20"/>
      <x:c r="M1449" s="20"/>
      <x:c r="N1449" s="20"/>
      <x:c r="O1449" s="31"/>
      <x:c r="P1449" s="20"/>
      <x:c r="Q1449" s="20"/>
      <x:c r="R1449" s="20" t="str">
        <x:v>待展开</x:v>
      </x:c>
      <x:c r="S1449" s="20"/>
      <x:c r="T1449" s="31"/>
      <x:c r="U1449" s="30" t="str">
        <x:f>IF(A1449="","缺记录编号",IF(COUNTIFS(PathRecords[记录编号],A1449)&lt;&gt;1,"记录编号重复",IF(OR(B1449="",E1449=""),"缺组合/功能",IF(COUNTIFS(Equipment[组合编号],B1449)&lt;&gt;1,"组合编号无效",IF(COUNTIFS(FunctionMatrix[编号],E1449)=0,"功能编号无效",IF(H1449="不适用",IF(J1449="已实测","适用性冲突",IF(I1449="","待补不适用依据","不适用（非实测）")),IF(J1449="阻塞",IF(I1449="","待补阻塞原因","阻塞（非实测）"),IF(J1449&lt;&gt;"已实测",IF(F1449="","待展开路径","未实测"),IF(H1449&lt;&gt;"适用","待确认适用性",IF(INDEX(Equipment[登记状态（自动）],MATCH(B1449,Equipment[组合编号],0))&lt;&gt;"已登记","待补设备组合",IF(AND(F1449&lt;&gt;"",G1449&lt;&gt;"",K1449&lt;&gt;"",L1449&lt;&gt;"",M1449&lt;&gt;"",N1449&lt;&gt;"",ISNUMBER(O1449),O1449&gt;0,P1449&lt;&gt;""),"记录齐全","待补实测记录")))))))))))</x:f>
        <x:v>待展开路径</x:v>
      </x:c>
    </x:row>
    <x:row r="1450" ht="43.5" customHeight="1">
      <x:c r="A1450" s="20" t="str">
        <x:v>REC-01441</x:v>
      </x:c>
      <x:c r="B1450" s="20" t="str">
        <x:v>P3-B4-01</x:v>
      </x:c>
      <x:c r="C1450" s="30" t="str">
        <x:f>IF(B1450="","",IF(COUNTIFS(Equipment[组合编号],B1450)&lt;&gt;1,"组合编号无效",INDEX(Equipment[PLC组],MATCH(B1450,Equipment[组合编号],0))))</x:f>
        <x:v>欧姆龙</x:v>
      </x:c>
      <x:c r="D1450" s="30" t="str">
        <x:f>IF(B1450="","",IF(COUNTIFS(Equipment[组合编号],B1450)&lt;&gt;1,"组合编号无效",INDEX(Equipment[驱动品牌],MATCH(B1450,Equipment[组合编号],0))))</x:f>
        <x:v>Elmo</x:v>
      </x:c>
      <x:c r="E1450" s="20" t="str">
        <x:v>P03</x:v>
      </x:c>
      <x:c r="F1450" s="20"/>
      <x:c r="G1450" s="20"/>
      <x:c r="H1450" s="20" t="str">
        <x:v>待判定</x:v>
      </x:c>
      <x:c r="I1450" s="20"/>
      <x:c r="J1450" s="20" t="str">
        <x:v>未测试</x:v>
      </x:c>
      <x:c r="K1450" s="20"/>
      <x:c r="L1450" s="20"/>
      <x:c r="M1450" s="20"/>
      <x:c r="N1450" s="20"/>
      <x:c r="O1450" s="31"/>
      <x:c r="P1450" s="20"/>
      <x:c r="Q1450" s="20"/>
      <x:c r="R1450" s="20" t="str">
        <x:v>待展开</x:v>
      </x:c>
      <x:c r="S1450" s="20"/>
      <x:c r="T1450" s="31"/>
      <x:c r="U1450" s="30" t="str">
        <x:f>IF(A1450="","缺记录编号",IF(COUNTIFS(PathRecords[记录编号],A1450)&lt;&gt;1,"记录编号重复",IF(OR(B1450="",E1450=""),"缺组合/功能",IF(COUNTIFS(Equipment[组合编号],B1450)&lt;&gt;1,"组合编号无效",IF(COUNTIFS(FunctionMatrix[编号],E1450)=0,"功能编号无效",IF(H1450="不适用",IF(J1450="已实测","适用性冲突",IF(I1450="","待补不适用依据","不适用（非实测）")),IF(J1450="阻塞",IF(I1450="","待补阻塞原因","阻塞（非实测）"),IF(J1450&lt;&gt;"已实测",IF(F1450="","待展开路径","未实测"),IF(H1450&lt;&gt;"适用","待确认适用性",IF(INDEX(Equipment[登记状态（自动）],MATCH(B1450,Equipment[组合编号],0))&lt;&gt;"已登记","待补设备组合",IF(AND(F1450&lt;&gt;"",G1450&lt;&gt;"",K1450&lt;&gt;"",L1450&lt;&gt;"",M1450&lt;&gt;"",N1450&lt;&gt;"",ISNUMBER(O1450),O1450&gt;0,P1450&lt;&gt;""),"记录齐全","待补实测记录")))))))))))</x:f>
        <x:v>待展开路径</x:v>
      </x:c>
    </x:row>
    <x:row r="1451" ht="43.5" customHeight="1">
      <x:c r="A1451" s="20" t="str">
        <x:v>REC-01442</x:v>
      </x:c>
      <x:c r="B1451" s="20" t="str">
        <x:v>P3-B4-01</x:v>
      </x:c>
      <x:c r="C1451" s="30" t="str">
        <x:f>IF(B1451="","",IF(COUNTIFS(Equipment[组合编号],B1451)&lt;&gt;1,"组合编号无效",INDEX(Equipment[PLC组],MATCH(B1451,Equipment[组合编号],0))))</x:f>
        <x:v>欧姆龙</x:v>
      </x:c>
      <x:c r="D1451" s="30" t="str">
        <x:f>IF(B1451="","",IF(COUNTIFS(Equipment[组合编号],B1451)&lt;&gt;1,"组合编号无效",INDEX(Equipment[驱动品牌],MATCH(B1451,Equipment[组合编号],0))))</x:f>
        <x:v>Elmo</x:v>
      </x:c>
      <x:c r="E1451" s="20" t="str">
        <x:v>P04</x:v>
      </x:c>
      <x:c r="F1451" s="20"/>
      <x:c r="G1451" s="20"/>
      <x:c r="H1451" s="20" t="str">
        <x:v>待判定</x:v>
      </x:c>
      <x:c r="I1451" s="20"/>
      <x:c r="J1451" s="20" t="str">
        <x:v>未测试</x:v>
      </x:c>
      <x:c r="K1451" s="20"/>
      <x:c r="L1451" s="20"/>
      <x:c r="M1451" s="20"/>
      <x:c r="N1451" s="20"/>
      <x:c r="O1451" s="31"/>
      <x:c r="P1451" s="20"/>
      <x:c r="Q1451" s="20"/>
      <x:c r="R1451" s="20" t="str">
        <x:v>待展开</x:v>
      </x:c>
      <x:c r="S1451" s="20"/>
      <x:c r="T1451" s="31"/>
      <x:c r="U1451" s="30" t="str">
        <x:f>IF(A1451="","缺记录编号",IF(COUNTIFS(PathRecords[记录编号],A1451)&lt;&gt;1,"记录编号重复",IF(OR(B1451="",E1451=""),"缺组合/功能",IF(COUNTIFS(Equipment[组合编号],B1451)&lt;&gt;1,"组合编号无效",IF(COUNTIFS(FunctionMatrix[编号],E1451)=0,"功能编号无效",IF(H1451="不适用",IF(J1451="已实测","适用性冲突",IF(I1451="","待补不适用依据","不适用（非实测）")),IF(J1451="阻塞",IF(I1451="","待补阻塞原因","阻塞（非实测）"),IF(J1451&lt;&gt;"已实测",IF(F1451="","待展开路径","未实测"),IF(H1451&lt;&gt;"适用","待确认适用性",IF(INDEX(Equipment[登记状态（自动）],MATCH(B1451,Equipment[组合编号],0))&lt;&gt;"已登记","待补设备组合",IF(AND(F1451&lt;&gt;"",G1451&lt;&gt;"",K1451&lt;&gt;"",L1451&lt;&gt;"",M1451&lt;&gt;"",N1451&lt;&gt;"",ISNUMBER(O1451),O1451&gt;0,P1451&lt;&gt;""),"记录齐全","待补实测记录")))))))))))</x:f>
        <x:v>待展开路径</x:v>
      </x:c>
    </x:row>
    <x:row r="1452" ht="43.5" customHeight="1">
      <x:c r="A1452" s="20" t="str">
        <x:v>REC-01443</x:v>
      </x:c>
      <x:c r="B1452" s="20" t="str">
        <x:v>P3-B4-01</x:v>
      </x:c>
      <x:c r="C1452" s="30" t="str">
        <x:f>IF(B1452="","",IF(COUNTIFS(Equipment[组合编号],B1452)&lt;&gt;1,"组合编号无效",INDEX(Equipment[PLC组],MATCH(B1452,Equipment[组合编号],0))))</x:f>
        <x:v>欧姆龙</x:v>
      </x:c>
      <x:c r="D1452" s="30" t="str">
        <x:f>IF(B1452="","",IF(COUNTIFS(Equipment[组合编号],B1452)&lt;&gt;1,"组合编号无效",INDEX(Equipment[驱动品牌],MATCH(B1452,Equipment[组合编号],0))))</x:f>
        <x:v>Elmo</x:v>
      </x:c>
      <x:c r="E1452" s="20" t="str">
        <x:v>P05</x:v>
      </x:c>
      <x:c r="F1452" s="20"/>
      <x:c r="G1452" s="20"/>
      <x:c r="H1452" s="20" t="str">
        <x:v>待判定</x:v>
      </x:c>
      <x:c r="I1452" s="20"/>
      <x:c r="J1452" s="20" t="str">
        <x:v>未测试</x:v>
      </x:c>
      <x:c r="K1452" s="20"/>
      <x:c r="L1452" s="20"/>
      <x:c r="M1452" s="20"/>
      <x:c r="N1452" s="20"/>
      <x:c r="O1452" s="31"/>
      <x:c r="P1452" s="20"/>
      <x:c r="Q1452" s="20"/>
      <x:c r="R1452" s="20" t="str">
        <x:v>待展开</x:v>
      </x:c>
      <x:c r="S1452" s="20"/>
      <x:c r="T1452" s="31"/>
      <x:c r="U1452" s="30" t="str">
        <x:f>IF(A1452="","缺记录编号",IF(COUNTIFS(PathRecords[记录编号],A1452)&lt;&gt;1,"记录编号重复",IF(OR(B1452="",E1452=""),"缺组合/功能",IF(COUNTIFS(Equipment[组合编号],B1452)&lt;&gt;1,"组合编号无效",IF(COUNTIFS(FunctionMatrix[编号],E1452)=0,"功能编号无效",IF(H1452="不适用",IF(J1452="已实测","适用性冲突",IF(I1452="","待补不适用依据","不适用（非实测）")),IF(J1452="阻塞",IF(I1452="","待补阻塞原因","阻塞（非实测）"),IF(J1452&lt;&gt;"已实测",IF(F1452="","待展开路径","未实测"),IF(H1452&lt;&gt;"适用","待确认适用性",IF(INDEX(Equipment[登记状态（自动）],MATCH(B1452,Equipment[组合编号],0))&lt;&gt;"已登记","待补设备组合",IF(AND(F1452&lt;&gt;"",G1452&lt;&gt;"",K1452&lt;&gt;"",L1452&lt;&gt;"",M1452&lt;&gt;"",N1452&lt;&gt;"",ISNUMBER(O1452),O1452&gt;0,P1452&lt;&gt;""),"记录齐全","待补实测记录")))))))))))</x:f>
        <x:v>待展开路径</x:v>
      </x:c>
    </x:row>
    <x:row r="1453" ht="43.5" customHeight="1">
      <x:c r="A1453" s="20" t="str">
        <x:v>REC-01444</x:v>
      </x:c>
      <x:c r="B1453" s="20" t="str">
        <x:v>P3-B4-01</x:v>
      </x:c>
      <x:c r="C1453" s="30" t="str">
        <x:f>IF(B1453="","",IF(COUNTIFS(Equipment[组合编号],B1453)&lt;&gt;1,"组合编号无效",INDEX(Equipment[PLC组],MATCH(B1453,Equipment[组合编号],0))))</x:f>
        <x:v>欧姆龙</x:v>
      </x:c>
      <x:c r="D1453" s="30" t="str">
        <x:f>IF(B1453="","",IF(COUNTIFS(Equipment[组合编号],B1453)&lt;&gt;1,"组合编号无效",INDEX(Equipment[驱动品牌],MATCH(B1453,Equipment[组合编号],0))))</x:f>
        <x:v>Elmo</x:v>
      </x:c>
      <x:c r="E1453" s="20" t="str">
        <x:v>P06</x:v>
      </x:c>
      <x:c r="F1453" s="20"/>
      <x:c r="G1453" s="20"/>
      <x:c r="H1453" s="20" t="str">
        <x:v>待判定</x:v>
      </x:c>
      <x:c r="I1453" s="20"/>
      <x:c r="J1453" s="20" t="str">
        <x:v>未测试</x:v>
      </x:c>
      <x:c r="K1453" s="20"/>
      <x:c r="L1453" s="20"/>
      <x:c r="M1453" s="20"/>
      <x:c r="N1453" s="20"/>
      <x:c r="O1453" s="31"/>
      <x:c r="P1453" s="20"/>
      <x:c r="Q1453" s="20"/>
      <x:c r="R1453" s="20" t="str">
        <x:v>待展开</x:v>
      </x:c>
      <x:c r="S1453" s="20"/>
      <x:c r="T1453" s="31"/>
      <x:c r="U1453" s="30" t="str">
        <x:f>IF(A1453="","缺记录编号",IF(COUNTIFS(PathRecords[记录编号],A1453)&lt;&gt;1,"记录编号重复",IF(OR(B1453="",E1453=""),"缺组合/功能",IF(COUNTIFS(Equipment[组合编号],B1453)&lt;&gt;1,"组合编号无效",IF(COUNTIFS(FunctionMatrix[编号],E1453)=0,"功能编号无效",IF(H1453="不适用",IF(J1453="已实测","适用性冲突",IF(I1453="","待补不适用依据","不适用（非实测）")),IF(J1453="阻塞",IF(I1453="","待补阻塞原因","阻塞（非实测）"),IF(J1453&lt;&gt;"已实测",IF(F1453="","待展开路径","未实测"),IF(H1453&lt;&gt;"适用","待确认适用性",IF(INDEX(Equipment[登记状态（自动）],MATCH(B1453,Equipment[组合编号],0))&lt;&gt;"已登记","待补设备组合",IF(AND(F1453&lt;&gt;"",G1453&lt;&gt;"",K1453&lt;&gt;"",L1453&lt;&gt;"",M1453&lt;&gt;"",N1453&lt;&gt;"",ISNUMBER(O1453),O1453&gt;0,P1453&lt;&gt;""),"记录齐全","待补实测记录")))))))))))</x:f>
        <x:v>待展开路径</x:v>
      </x:c>
    </x:row>
    <x:row r="1454" ht="43.5" customHeight="1">
      <x:c r="A1454" s="20" t="str">
        <x:v>REC-01445</x:v>
      </x:c>
      <x:c r="B1454" s="20" t="str">
        <x:v>P3-B4-01</x:v>
      </x:c>
      <x:c r="C1454" s="30" t="str">
        <x:f>IF(B1454="","",IF(COUNTIFS(Equipment[组合编号],B1454)&lt;&gt;1,"组合编号无效",INDEX(Equipment[PLC组],MATCH(B1454,Equipment[组合编号],0))))</x:f>
        <x:v>欧姆龙</x:v>
      </x:c>
      <x:c r="D1454" s="30" t="str">
        <x:f>IF(B1454="","",IF(COUNTIFS(Equipment[组合编号],B1454)&lt;&gt;1,"组合编号无效",INDEX(Equipment[驱动品牌],MATCH(B1454,Equipment[组合编号],0))))</x:f>
        <x:v>Elmo</x:v>
      </x:c>
      <x:c r="E1454" s="20" t="str">
        <x:v>P07</x:v>
      </x:c>
      <x:c r="F1454" s="20"/>
      <x:c r="G1454" s="20"/>
      <x:c r="H1454" s="20" t="str">
        <x:v>待判定</x:v>
      </x:c>
      <x:c r="I1454" s="20"/>
      <x:c r="J1454" s="20" t="str">
        <x:v>未测试</x:v>
      </x:c>
      <x:c r="K1454" s="20"/>
      <x:c r="L1454" s="20"/>
      <x:c r="M1454" s="20"/>
      <x:c r="N1454" s="20"/>
      <x:c r="O1454" s="31"/>
      <x:c r="P1454" s="20"/>
      <x:c r="Q1454" s="20"/>
      <x:c r="R1454" s="20" t="str">
        <x:v>待展开</x:v>
      </x:c>
      <x:c r="S1454" s="20"/>
      <x:c r="T1454" s="31"/>
      <x:c r="U1454" s="30" t="str">
        <x:f>IF(A1454="","缺记录编号",IF(COUNTIFS(PathRecords[记录编号],A1454)&lt;&gt;1,"记录编号重复",IF(OR(B1454="",E1454=""),"缺组合/功能",IF(COUNTIFS(Equipment[组合编号],B1454)&lt;&gt;1,"组合编号无效",IF(COUNTIFS(FunctionMatrix[编号],E1454)=0,"功能编号无效",IF(H1454="不适用",IF(J1454="已实测","适用性冲突",IF(I1454="","待补不适用依据","不适用（非实测）")),IF(J1454="阻塞",IF(I1454="","待补阻塞原因","阻塞（非实测）"),IF(J1454&lt;&gt;"已实测",IF(F1454="","待展开路径","未实测"),IF(H1454&lt;&gt;"适用","待确认适用性",IF(INDEX(Equipment[登记状态（自动）],MATCH(B1454,Equipment[组合编号],0))&lt;&gt;"已登记","待补设备组合",IF(AND(F1454&lt;&gt;"",G1454&lt;&gt;"",K1454&lt;&gt;"",L1454&lt;&gt;"",M1454&lt;&gt;"",N1454&lt;&gt;"",ISNUMBER(O1454),O1454&gt;0,P1454&lt;&gt;""),"记录齐全","待补实测记录")))))))))))</x:f>
        <x:v>待展开路径</x:v>
      </x:c>
    </x:row>
    <x:row r="1455" ht="43.5" customHeight="1">
      <x:c r="A1455" s="20" t="str">
        <x:v>REC-01446</x:v>
      </x:c>
      <x:c r="B1455" s="20" t="str">
        <x:v>P3-B4-01</x:v>
      </x:c>
      <x:c r="C1455" s="30" t="str">
        <x:f>IF(B1455="","",IF(COUNTIFS(Equipment[组合编号],B1455)&lt;&gt;1,"组合编号无效",INDEX(Equipment[PLC组],MATCH(B1455,Equipment[组合编号],0))))</x:f>
        <x:v>欧姆龙</x:v>
      </x:c>
      <x:c r="D1455" s="30" t="str">
        <x:f>IF(B1455="","",IF(COUNTIFS(Equipment[组合编号],B1455)&lt;&gt;1,"组合编号无效",INDEX(Equipment[驱动品牌],MATCH(B1455,Equipment[组合编号],0))))</x:f>
        <x:v>Elmo</x:v>
      </x:c>
      <x:c r="E1455" s="20" t="str">
        <x:v>P08</x:v>
      </x:c>
      <x:c r="F1455" s="20"/>
      <x:c r="G1455" s="20"/>
      <x:c r="H1455" s="20" t="str">
        <x:v>待判定</x:v>
      </x:c>
      <x:c r="I1455" s="20"/>
      <x:c r="J1455" s="20" t="str">
        <x:v>未测试</x:v>
      </x:c>
      <x:c r="K1455" s="20"/>
      <x:c r="L1455" s="20"/>
      <x:c r="M1455" s="20"/>
      <x:c r="N1455" s="20"/>
      <x:c r="O1455" s="31"/>
      <x:c r="P1455" s="20"/>
      <x:c r="Q1455" s="20"/>
      <x:c r="R1455" s="20" t="str">
        <x:v>待展开</x:v>
      </x:c>
      <x:c r="S1455" s="20"/>
      <x:c r="T1455" s="31"/>
      <x:c r="U1455" s="30" t="str">
        <x:f>IF(A1455="","缺记录编号",IF(COUNTIFS(PathRecords[记录编号],A1455)&lt;&gt;1,"记录编号重复",IF(OR(B1455="",E1455=""),"缺组合/功能",IF(COUNTIFS(Equipment[组合编号],B1455)&lt;&gt;1,"组合编号无效",IF(COUNTIFS(FunctionMatrix[编号],E1455)=0,"功能编号无效",IF(H1455="不适用",IF(J1455="已实测","适用性冲突",IF(I1455="","待补不适用依据","不适用（非实测）")),IF(J1455="阻塞",IF(I1455="","待补阻塞原因","阻塞（非实测）"),IF(J1455&lt;&gt;"已实测",IF(F1455="","待展开路径","未实测"),IF(H1455&lt;&gt;"适用","待确认适用性",IF(INDEX(Equipment[登记状态（自动）],MATCH(B1455,Equipment[组合编号],0))&lt;&gt;"已登记","待补设备组合",IF(AND(F1455&lt;&gt;"",G1455&lt;&gt;"",K1455&lt;&gt;"",L1455&lt;&gt;"",M1455&lt;&gt;"",N1455&lt;&gt;"",ISNUMBER(O1455),O1455&gt;0,P1455&lt;&gt;""),"记录齐全","待补实测记录")))))))))))</x:f>
        <x:v>待展开路径</x:v>
      </x:c>
    </x:row>
    <x:row r="1456" ht="43.5" customHeight="1">
      <x:c r="A1456" s="20" t="str">
        <x:v>REC-01447</x:v>
      </x:c>
      <x:c r="B1456" s="20" t="str">
        <x:v>P3-B4-01</x:v>
      </x:c>
      <x:c r="C1456" s="30" t="str">
        <x:f>IF(B1456="","",IF(COUNTIFS(Equipment[组合编号],B1456)&lt;&gt;1,"组合编号无效",INDEX(Equipment[PLC组],MATCH(B1456,Equipment[组合编号],0))))</x:f>
        <x:v>欧姆龙</x:v>
      </x:c>
      <x:c r="D1456" s="30" t="str">
        <x:f>IF(B1456="","",IF(COUNTIFS(Equipment[组合编号],B1456)&lt;&gt;1,"组合编号无效",INDEX(Equipment[驱动品牌],MATCH(B1456,Equipment[组合编号],0))))</x:f>
        <x:v>Elmo</x:v>
      </x:c>
      <x:c r="E1456" s="20" t="str">
        <x:v>P09</x:v>
      </x:c>
      <x:c r="F1456" s="20"/>
      <x:c r="G1456" s="20"/>
      <x:c r="H1456" s="20" t="str">
        <x:v>待判定</x:v>
      </x:c>
      <x:c r="I1456" s="20"/>
      <x:c r="J1456" s="20" t="str">
        <x:v>未测试</x:v>
      </x:c>
      <x:c r="K1456" s="20"/>
      <x:c r="L1456" s="20"/>
      <x:c r="M1456" s="20"/>
      <x:c r="N1456" s="20"/>
      <x:c r="O1456" s="31"/>
      <x:c r="P1456" s="20"/>
      <x:c r="Q1456" s="20"/>
      <x:c r="R1456" s="20" t="str">
        <x:v>待展开</x:v>
      </x:c>
      <x:c r="S1456" s="20"/>
      <x:c r="T1456" s="31"/>
      <x:c r="U1456" s="30" t="str">
        <x:f>IF(A1456="","缺记录编号",IF(COUNTIFS(PathRecords[记录编号],A1456)&lt;&gt;1,"记录编号重复",IF(OR(B1456="",E1456=""),"缺组合/功能",IF(COUNTIFS(Equipment[组合编号],B1456)&lt;&gt;1,"组合编号无效",IF(COUNTIFS(FunctionMatrix[编号],E1456)=0,"功能编号无效",IF(H1456="不适用",IF(J1456="已实测","适用性冲突",IF(I1456="","待补不适用依据","不适用（非实测）")),IF(J1456="阻塞",IF(I1456="","待补阻塞原因","阻塞（非实测）"),IF(J1456&lt;&gt;"已实测",IF(F1456="","待展开路径","未实测"),IF(H1456&lt;&gt;"适用","待确认适用性",IF(INDEX(Equipment[登记状态（自动）],MATCH(B1456,Equipment[组合编号],0))&lt;&gt;"已登记","待补设备组合",IF(AND(F1456&lt;&gt;"",G1456&lt;&gt;"",K1456&lt;&gt;"",L1456&lt;&gt;"",M1456&lt;&gt;"",N1456&lt;&gt;"",ISNUMBER(O1456),O1456&gt;0,P1456&lt;&gt;""),"记录齐全","待补实测记录")))))))))))</x:f>
        <x:v>待展开路径</x:v>
      </x:c>
    </x:row>
    <x:row r="1457" ht="43.5" customHeight="1">
      <x:c r="A1457" s="20" t="str">
        <x:v>REC-01448</x:v>
      </x:c>
      <x:c r="B1457" s="20" t="str">
        <x:v>P3-B4-01</x:v>
      </x:c>
      <x:c r="C1457" s="30" t="str">
        <x:f>IF(B1457="","",IF(COUNTIFS(Equipment[组合编号],B1457)&lt;&gt;1,"组合编号无效",INDEX(Equipment[PLC组],MATCH(B1457,Equipment[组合编号],0))))</x:f>
        <x:v>欧姆龙</x:v>
      </x:c>
      <x:c r="D1457" s="30" t="str">
        <x:f>IF(B1457="","",IF(COUNTIFS(Equipment[组合编号],B1457)&lt;&gt;1,"组合编号无效",INDEX(Equipment[驱动品牌],MATCH(B1457,Equipment[组合编号],0))))</x:f>
        <x:v>Elmo</x:v>
      </x:c>
      <x:c r="E1457" s="20" t="str">
        <x:v>P10</x:v>
      </x:c>
      <x:c r="F1457" s="20"/>
      <x:c r="G1457" s="20"/>
      <x:c r="H1457" s="20" t="str">
        <x:v>待判定</x:v>
      </x:c>
      <x:c r="I1457" s="20"/>
      <x:c r="J1457" s="20" t="str">
        <x:v>未测试</x:v>
      </x:c>
      <x:c r="K1457" s="20"/>
      <x:c r="L1457" s="20"/>
      <x:c r="M1457" s="20"/>
      <x:c r="N1457" s="20"/>
      <x:c r="O1457" s="31"/>
      <x:c r="P1457" s="20"/>
      <x:c r="Q1457" s="20"/>
      <x:c r="R1457" s="20" t="str">
        <x:v>待展开</x:v>
      </x:c>
      <x:c r="S1457" s="20"/>
      <x:c r="T1457" s="31"/>
      <x:c r="U1457" s="30" t="str">
        <x:f>IF(A1457="","缺记录编号",IF(COUNTIFS(PathRecords[记录编号],A1457)&lt;&gt;1,"记录编号重复",IF(OR(B1457="",E1457=""),"缺组合/功能",IF(COUNTIFS(Equipment[组合编号],B1457)&lt;&gt;1,"组合编号无效",IF(COUNTIFS(FunctionMatrix[编号],E1457)=0,"功能编号无效",IF(H1457="不适用",IF(J1457="已实测","适用性冲突",IF(I1457="","待补不适用依据","不适用（非实测）")),IF(J1457="阻塞",IF(I1457="","待补阻塞原因","阻塞（非实测）"),IF(J1457&lt;&gt;"已实测",IF(F1457="","待展开路径","未实测"),IF(H1457&lt;&gt;"适用","待确认适用性",IF(INDEX(Equipment[登记状态（自动）],MATCH(B1457,Equipment[组合编号],0))&lt;&gt;"已登记","待补设备组合",IF(AND(F1457&lt;&gt;"",G1457&lt;&gt;"",K1457&lt;&gt;"",L1457&lt;&gt;"",M1457&lt;&gt;"",N1457&lt;&gt;"",ISNUMBER(O1457),O1457&gt;0,P1457&lt;&gt;""),"记录齐全","待补实测记录")))))))))))</x:f>
        <x:v>待展开路径</x:v>
      </x:c>
    </x:row>
    <x:row r="1458" ht="43.5" customHeight="1">
      <x:c r="A1458" s="20" t="str">
        <x:v>REC-01449</x:v>
      </x:c>
      <x:c r="B1458" s="20" t="str">
        <x:v>P3-B4-01</x:v>
      </x:c>
      <x:c r="C1458" s="30" t="str">
        <x:f>IF(B1458="","",IF(COUNTIFS(Equipment[组合编号],B1458)&lt;&gt;1,"组合编号无效",INDEX(Equipment[PLC组],MATCH(B1458,Equipment[组合编号],0))))</x:f>
        <x:v>欧姆龙</x:v>
      </x:c>
      <x:c r="D1458" s="30" t="str">
        <x:f>IF(B1458="","",IF(COUNTIFS(Equipment[组合编号],B1458)&lt;&gt;1,"组合编号无效",INDEX(Equipment[驱动品牌],MATCH(B1458,Equipment[组合编号],0))))</x:f>
        <x:v>Elmo</x:v>
      </x:c>
      <x:c r="E1458" s="20" t="str">
        <x:v>A01</x:v>
      </x:c>
      <x:c r="F1458" s="20"/>
      <x:c r="G1458" s="20"/>
      <x:c r="H1458" s="20" t="str">
        <x:v>待判定</x:v>
      </x:c>
      <x:c r="I1458" s="20"/>
      <x:c r="J1458" s="20" t="str">
        <x:v>未测试</x:v>
      </x:c>
      <x:c r="K1458" s="20"/>
      <x:c r="L1458" s="20"/>
      <x:c r="M1458" s="20"/>
      <x:c r="N1458" s="20"/>
      <x:c r="O1458" s="31"/>
      <x:c r="P1458" s="20"/>
      <x:c r="Q1458" s="20"/>
      <x:c r="R1458" s="20" t="str">
        <x:v>待展开</x:v>
      </x:c>
      <x:c r="S1458" s="20"/>
      <x:c r="T1458" s="31"/>
      <x:c r="U1458" s="30" t="str">
        <x:f>IF(A1458="","缺记录编号",IF(COUNTIFS(PathRecords[记录编号],A1458)&lt;&gt;1,"记录编号重复",IF(OR(B1458="",E1458=""),"缺组合/功能",IF(COUNTIFS(Equipment[组合编号],B1458)&lt;&gt;1,"组合编号无效",IF(COUNTIFS(FunctionMatrix[编号],E1458)=0,"功能编号无效",IF(H1458="不适用",IF(J1458="已实测","适用性冲突",IF(I1458="","待补不适用依据","不适用（非实测）")),IF(J1458="阻塞",IF(I1458="","待补阻塞原因","阻塞（非实测）"),IF(J1458&lt;&gt;"已实测",IF(F1458="","待展开路径","未实测"),IF(H1458&lt;&gt;"适用","待确认适用性",IF(INDEX(Equipment[登记状态（自动）],MATCH(B1458,Equipment[组合编号],0))&lt;&gt;"已登记","待补设备组合",IF(AND(F1458&lt;&gt;"",G1458&lt;&gt;"",K1458&lt;&gt;"",L1458&lt;&gt;"",M1458&lt;&gt;"",N1458&lt;&gt;"",ISNUMBER(O1458),O1458&gt;0,P1458&lt;&gt;""),"记录齐全","待补实测记录")))))))))))</x:f>
        <x:v>待展开路径</x:v>
      </x:c>
    </x:row>
    <x:row r="1459" ht="43.5" customHeight="1">
      <x:c r="A1459" s="20" t="str">
        <x:v>REC-01450</x:v>
      </x:c>
      <x:c r="B1459" s="20" t="str">
        <x:v>P3-B4-01</x:v>
      </x:c>
      <x:c r="C1459" s="30" t="str">
        <x:f>IF(B1459="","",IF(COUNTIFS(Equipment[组合编号],B1459)&lt;&gt;1,"组合编号无效",INDEX(Equipment[PLC组],MATCH(B1459,Equipment[组合编号],0))))</x:f>
        <x:v>欧姆龙</x:v>
      </x:c>
      <x:c r="D1459" s="30" t="str">
        <x:f>IF(B1459="","",IF(COUNTIFS(Equipment[组合编号],B1459)&lt;&gt;1,"组合编号无效",INDEX(Equipment[驱动品牌],MATCH(B1459,Equipment[组合编号],0))))</x:f>
        <x:v>Elmo</x:v>
      </x:c>
      <x:c r="E1459" s="20" t="str">
        <x:v>A02</x:v>
      </x:c>
      <x:c r="F1459" s="20"/>
      <x:c r="G1459" s="20"/>
      <x:c r="H1459" s="20" t="str">
        <x:v>待判定</x:v>
      </x:c>
      <x:c r="I1459" s="20"/>
      <x:c r="J1459" s="20" t="str">
        <x:v>未测试</x:v>
      </x:c>
      <x:c r="K1459" s="20"/>
      <x:c r="L1459" s="20"/>
      <x:c r="M1459" s="20"/>
      <x:c r="N1459" s="20"/>
      <x:c r="O1459" s="31"/>
      <x:c r="P1459" s="20"/>
      <x:c r="Q1459" s="20"/>
      <x:c r="R1459" s="20" t="str">
        <x:v>待展开</x:v>
      </x:c>
      <x:c r="S1459" s="20"/>
      <x:c r="T1459" s="31"/>
      <x:c r="U1459" s="30" t="str">
        <x:f>IF(A1459="","缺记录编号",IF(COUNTIFS(PathRecords[记录编号],A1459)&lt;&gt;1,"记录编号重复",IF(OR(B1459="",E1459=""),"缺组合/功能",IF(COUNTIFS(Equipment[组合编号],B1459)&lt;&gt;1,"组合编号无效",IF(COUNTIFS(FunctionMatrix[编号],E1459)=0,"功能编号无效",IF(H1459="不适用",IF(J1459="已实测","适用性冲突",IF(I1459="","待补不适用依据","不适用（非实测）")),IF(J1459="阻塞",IF(I1459="","待补阻塞原因","阻塞（非实测）"),IF(J1459&lt;&gt;"已实测",IF(F1459="","待展开路径","未实测"),IF(H1459&lt;&gt;"适用","待确认适用性",IF(INDEX(Equipment[登记状态（自动）],MATCH(B1459,Equipment[组合编号],0))&lt;&gt;"已登记","待补设备组合",IF(AND(F1459&lt;&gt;"",G1459&lt;&gt;"",K1459&lt;&gt;"",L1459&lt;&gt;"",M1459&lt;&gt;"",N1459&lt;&gt;"",ISNUMBER(O1459),O1459&gt;0,P1459&lt;&gt;""),"记录齐全","待补实测记录")))))))))))</x:f>
        <x:v>待展开路径</x:v>
      </x:c>
    </x:row>
    <x:row r="1460" ht="43.5" customHeight="1">
      <x:c r="A1460" s="20" t="str">
        <x:v>REC-01451</x:v>
      </x:c>
      <x:c r="B1460" s="20" t="str">
        <x:v>P3-B4-01</x:v>
      </x:c>
      <x:c r="C1460" s="30" t="str">
        <x:f>IF(B1460="","",IF(COUNTIFS(Equipment[组合编号],B1460)&lt;&gt;1,"组合编号无效",INDEX(Equipment[PLC组],MATCH(B1460,Equipment[组合编号],0))))</x:f>
        <x:v>欧姆龙</x:v>
      </x:c>
      <x:c r="D1460" s="30" t="str">
        <x:f>IF(B1460="","",IF(COUNTIFS(Equipment[组合编号],B1460)&lt;&gt;1,"组合编号无效",INDEX(Equipment[驱动品牌],MATCH(B1460,Equipment[组合编号],0))))</x:f>
        <x:v>Elmo</x:v>
      </x:c>
      <x:c r="E1460" s="20" t="str">
        <x:v>A03</x:v>
      </x:c>
      <x:c r="F1460" s="20"/>
      <x:c r="G1460" s="20"/>
      <x:c r="H1460" s="20" t="str">
        <x:v>待判定</x:v>
      </x:c>
      <x:c r="I1460" s="20"/>
      <x:c r="J1460" s="20" t="str">
        <x:v>未测试</x:v>
      </x:c>
      <x:c r="K1460" s="20"/>
      <x:c r="L1460" s="20"/>
      <x:c r="M1460" s="20"/>
      <x:c r="N1460" s="20"/>
      <x:c r="O1460" s="31"/>
      <x:c r="P1460" s="20"/>
      <x:c r="Q1460" s="20"/>
      <x:c r="R1460" s="20" t="str">
        <x:v>待展开</x:v>
      </x:c>
      <x:c r="S1460" s="20"/>
      <x:c r="T1460" s="31"/>
      <x:c r="U1460" s="30" t="str">
        <x:f>IF(A1460="","缺记录编号",IF(COUNTIFS(PathRecords[记录编号],A1460)&lt;&gt;1,"记录编号重复",IF(OR(B1460="",E1460=""),"缺组合/功能",IF(COUNTIFS(Equipment[组合编号],B1460)&lt;&gt;1,"组合编号无效",IF(COUNTIFS(FunctionMatrix[编号],E1460)=0,"功能编号无效",IF(H1460="不适用",IF(J1460="已实测","适用性冲突",IF(I1460="","待补不适用依据","不适用（非实测）")),IF(J1460="阻塞",IF(I1460="","待补阻塞原因","阻塞（非实测）"),IF(J1460&lt;&gt;"已实测",IF(F1460="","待展开路径","未实测"),IF(H1460&lt;&gt;"适用","待确认适用性",IF(INDEX(Equipment[登记状态（自动）],MATCH(B1460,Equipment[组合编号],0))&lt;&gt;"已登记","待补设备组合",IF(AND(F1460&lt;&gt;"",G1460&lt;&gt;"",K1460&lt;&gt;"",L1460&lt;&gt;"",M1460&lt;&gt;"",N1460&lt;&gt;"",ISNUMBER(O1460),O1460&gt;0,P1460&lt;&gt;""),"记录齐全","待补实测记录")))))))))))</x:f>
        <x:v>待展开路径</x:v>
      </x:c>
    </x:row>
    <x:row r="1461" ht="43.5" customHeight="1">
      <x:c r="A1461" s="20" t="str">
        <x:v>REC-01452</x:v>
      </x:c>
      <x:c r="B1461" s="20" t="str">
        <x:v>P3-B4-01</x:v>
      </x:c>
      <x:c r="C1461" s="30" t="str">
        <x:f>IF(B1461="","",IF(COUNTIFS(Equipment[组合编号],B1461)&lt;&gt;1,"组合编号无效",INDEX(Equipment[PLC组],MATCH(B1461,Equipment[组合编号],0))))</x:f>
        <x:v>欧姆龙</x:v>
      </x:c>
      <x:c r="D1461" s="30" t="str">
        <x:f>IF(B1461="","",IF(COUNTIFS(Equipment[组合编号],B1461)&lt;&gt;1,"组合编号无效",INDEX(Equipment[驱动品牌],MATCH(B1461,Equipment[组合编号],0))))</x:f>
        <x:v>Elmo</x:v>
      </x:c>
      <x:c r="E1461" s="20" t="str">
        <x:v>A04</x:v>
      </x:c>
      <x:c r="F1461" s="20"/>
      <x:c r="G1461" s="20"/>
      <x:c r="H1461" s="20" t="str">
        <x:v>待判定</x:v>
      </x:c>
      <x:c r="I1461" s="20"/>
      <x:c r="J1461" s="20" t="str">
        <x:v>未测试</x:v>
      </x:c>
      <x:c r="K1461" s="20"/>
      <x:c r="L1461" s="20"/>
      <x:c r="M1461" s="20"/>
      <x:c r="N1461" s="20"/>
      <x:c r="O1461" s="31"/>
      <x:c r="P1461" s="20"/>
      <x:c r="Q1461" s="20"/>
      <x:c r="R1461" s="20" t="str">
        <x:v>待展开</x:v>
      </x:c>
      <x:c r="S1461" s="20"/>
      <x:c r="T1461" s="31"/>
      <x:c r="U1461" s="30" t="str">
        <x:f>IF(A1461="","缺记录编号",IF(COUNTIFS(PathRecords[记录编号],A1461)&lt;&gt;1,"记录编号重复",IF(OR(B1461="",E1461=""),"缺组合/功能",IF(COUNTIFS(Equipment[组合编号],B1461)&lt;&gt;1,"组合编号无效",IF(COUNTIFS(FunctionMatrix[编号],E1461)=0,"功能编号无效",IF(H1461="不适用",IF(J1461="已实测","适用性冲突",IF(I1461="","待补不适用依据","不适用（非实测）")),IF(J1461="阻塞",IF(I1461="","待补阻塞原因","阻塞（非实测）"),IF(J1461&lt;&gt;"已实测",IF(F1461="","待展开路径","未实测"),IF(H1461&lt;&gt;"适用","待确认适用性",IF(INDEX(Equipment[登记状态（自动）],MATCH(B1461,Equipment[组合编号],0))&lt;&gt;"已登记","待补设备组合",IF(AND(F1461&lt;&gt;"",G1461&lt;&gt;"",K1461&lt;&gt;"",L1461&lt;&gt;"",M1461&lt;&gt;"",N1461&lt;&gt;"",ISNUMBER(O1461),O1461&gt;0,P1461&lt;&gt;""),"记录齐全","待补实测记录")))))))))))</x:f>
        <x:v>待展开路径</x:v>
      </x:c>
    </x:row>
    <x:row r="1462" ht="43.5" customHeight="1">
      <x:c r="A1462" s="20" t="str">
        <x:v>REC-01453</x:v>
      </x:c>
      <x:c r="B1462" s="20" t="str">
        <x:v>P3-B4-01</x:v>
      </x:c>
      <x:c r="C1462" s="30" t="str">
        <x:f>IF(B1462="","",IF(COUNTIFS(Equipment[组合编号],B1462)&lt;&gt;1,"组合编号无效",INDEX(Equipment[PLC组],MATCH(B1462,Equipment[组合编号],0))))</x:f>
        <x:v>欧姆龙</x:v>
      </x:c>
      <x:c r="D1462" s="30" t="str">
        <x:f>IF(B1462="","",IF(COUNTIFS(Equipment[组合编号],B1462)&lt;&gt;1,"组合编号无效",INDEX(Equipment[驱动品牌],MATCH(B1462,Equipment[组合编号],0))))</x:f>
        <x:v>Elmo</x:v>
      </x:c>
      <x:c r="E1462" s="20" t="str">
        <x:v>A05</x:v>
      </x:c>
      <x:c r="F1462" s="20"/>
      <x:c r="G1462" s="20"/>
      <x:c r="H1462" s="20" t="str">
        <x:v>待判定</x:v>
      </x:c>
      <x:c r="I1462" s="20"/>
      <x:c r="J1462" s="20" t="str">
        <x:v>未测试</x:v>
      </x:c>
      <x:c r="K1462" s="20"/>
      <x:c r="L1462" s="20"/>
      <x:c r="M1462" s="20"/>
      <x:c r="N1462" s="20"/>
      <x:c r="O1462" s="31"/>
      <x:c r="P1462" s="20"/>
      <x:c r="Q1462" s="20"/>
      <x:c r="R1462" s="20" t="str">
        <x:v>待展开</x:v>
      </x:c>
      <x:c r="S1462" s="20"/>
      <x:c r="T1462" s="31"/>
      <x:c r="U1462" s="30" t="str">
        <x:f>IF(A1462="","缺记录编号",IF(COUNTIFS(PathRecords[记录编号],A1462)&lt;&gt;1,"记录编号重复",IF(OR(B1462="",E1462=""),"缺组合/功能",IF(COUNTIFS(Equipment[组合编号],B1462)&lt;&gt;1,"组合编号无效",IF(COUNTIFS(FunctionMatrix[编号],E1462)=0,"功能编号无效",IF(H1462="不适用",IF(J1462="已实测","适用性冲突",IF(I1462="","待补不适用依据","不适用（非实测）")),IF(J1462="阻塞",IF(I1462="","待补阻塞原因","阻塞（非实测）"),IF(J1462&lt;&gt;"已实测",IF(F1462="","待展开路径","未实测"),IF(H1462&lt;&gt;"适用","待确认适用性",IF(INDEX(Equipment[登记状态（自动）],MATCH(B1462,Equipment[组合编号],0))&lt;&gt;"已登记","待补设备组合",IF(AND(F1462&lt;&gt;"",G1462&lt;&gt;"",K1462&lt;&gt;"",L1462&lt;&gt;"",M1462&lt;&gt;"",N1462&lt;&gt;"",ISNUMBER(O1462),O1462&gt;0,P1462&lt;&gt;""),"记录齐全","待补实测记录")))))))))))</x:f>
        <x:v>待展开路径</x:v>
      </x:c>
    </x:row>
    <x:row r="1463" ht="43.5" customHeight="1">
      <x:c r="A1463" s="20" t="str">
        <x:v>REC-01454</x:v>
      </x:c>
      <x:c r="B1463" s="20" t="str">
        <x:v>P3-B4-01</x:v>
      </x:c>
      <x:c r="C1463" s="30" t="str">
        <x:f>IF(B1463="","",IF(COUNTIFS(Equipment[组合编号],B1463)&lt;&gt;1,"组合编号无效",INDEX(Equipment[PLC组],MATCH(B1463,Equipment[组合编号],0))))</x:f>
        <x:v>欧姆龙</x:v>
      </x:c>
      <x:c r="D1463" s="30" t="str">
        <x:f>IF(B1463="","",IF(COUNTIFS(Equipment[组合编号],B1463)&lt;&gt;1,"组合编号无效",INDEX(Equipment[驱动品牌],MATCH(B1463,Equipment[组合编号],0))))</x:f>
        <x:v>Elmo</x:v>
      </x:c>
      <x:c r="E1463" s="20" t="str">
        <x:v>A06</x:v>
      </x:c>
      <x:c r="F1463" s="20"/>
      <x:c r="G1463" s="20"/>
      <x:c r="H1463" s="20" t="str">
        <x:v>待判定</x:v>
      </x:c>
      <x:c r="I1463" s="20"/>
      <x:c r="J1463" s="20" t="str">
        <x:v>未测试</x:v>
      </x:c>
      <x:c r="K1463" s="20"/>
      <x:c r="L1463" s="20"/>
      <x:c r="M1463" s="20"/>
      <x:c r="N1463" s="20"/>
      <x:c r="O1463" s="31"/>
      <x:c r="P1463" s="20"/>
      <x:c r="Q1463" s="20"/>
      <x:c r="R1463" s="20" t="str">
        <x:v>待展开</x:v>
      </x:c>
      <x:c r="S1463" s="20"/>
      <x:c r="T1463" s="31"/>
      <x:c r="U1463" s="30" t="str">
        <x:f>IF(A1463="","缺记录编号",IF(COUNTIFS(PathRecords[记录编号],A1463)&lt;&gt;1,"记录编号重复",IF(OR(B1463="",E1463=""),"缺组合/功能",IF(COUNTIFS(Equipment[组合编号],B1463)&lt;&gt;1,"组合编号无效",IF(COUNTIFS(FunctionMatrix[编号],E1463)=0,"功能编号无效",IF(H1463="不适用",IF(J1463="已实测","适用性冲突",IF(I1463="","待补不适用依据","不适用（非实测）")),IF(J1463="阻塞",IF(I1463="","待补阻塞原因","阻塞（非实测）"),IF(J1463&lt;&gt;"已实测",IF(F1463="","待展开路径","未实测"),IF(H1463&lt;&gt;"适用","待确认适用性",IF(INDEX(Equipment[登记状态（自动）],MATCH(B1463,Equipment[组合编号],0))&lt;&gt;"已登记","待补设备组合",IF(AND(F1463&lt;&gt;"",G1463&lt;&gt;"",K1463&lt;&gt;"",L1463&lt;&gt;"",M1463&lt;&gt;"",N1463&lt;&gt;"",ISNUMBER(O1463),O1463&gt;0,P1463&lt;&gt;""),"记录齐全","待补实测记录")))))))))))</x:f>
        <x:v>待展开路径</x:v>
      </x:c>
    </x:row>
    <x:row r="1464" ht="43.5" customHeight="1">
      <x:c r="A1464" s="20" t="str">
        <x:v>REC-01455</x:v>
      </x:c>
      <x:c r="B1464" s="20" t="str">
        <x:v>P3-B4-01</x:v>
      </x:c>
      <x:c r="C1464" s="30" t="str">
        <x:f>IF(B1464="","",IF(COUNTIFS(Equipment[组合编号],B1464)&lt;&gt;1,"组合编号无效",INDEX(Equipment[PLC组],MATCH(B1464,Equipment[组合编号],0))))</x:f>
        <x:v>欧姆龙</x:v>
      </x:c>
      <x:c r="D1464" s="30" t="str">
        <x:f>IF(B1464="","",IF(COUNTIFS(Equipment[组合编号],B1464)&lt;&gt;1,"组合编号无效",INDEX(Equipment[驱动品牌],MATCH(B1464,Equipment[组合编号],0))))</x:f>
        <x:v>Elmo</x:v>
      </x:c>
      <x:c r="E1464" s="20" t="str">
        <x:v>A07</x:v>
      </x:c>
      <x:c r="F1464" s="20"/>
      <x:c r="G1464" s="20"/>
      <x:c r="H1464" s="20" t="str">
        <x:v>待判定</x:v>
      </x:c>
      <x:c r="I1464" s="20"/>
      <x:c r="J1464" s="20" t="str">
        <x:v>未测试</x:v>
      </x:c>
      <x:c r="K1464" s="20"/>
      <x:c r="L1464" s="20"/>
      <x:c r="M1464" s="20"/>
      <x:c r="N1464" s="20"/>
      <x:c r="O1464" s="31"/>
      <x:c r="P1464" s="20"/>
      <x:c r="Q1464" s="20"/>
      <x:c r="R1464" s="20" t="str">
        <x:v>待展开</x:v>
      </x:c>
      <x:c r="S1464" s="20"/>
      <x:c r="T1464" s="31"/>
      <x:c r="U1464" s="30" t="str">
        <x:f>IF(A1464="","缺记录编号",IF(COUNTIFS(PathRecords[记录编号],A1464)&lt;&gt;1,"记录编号重复",IF(OR(B1464="",E1464=""),"缺组合/功能",IF(COUNTIFS(Equipment[组合编号],B1464)&lt;&gt;1,"组合编号无效",IF(COUNTIFS(FunctionMatrix[编号],E1464)=0,"功能编号无效",IF(H1464="不适用",IF(J1464="已实测","适用性冲突",IF(I1464="","待补不适用依据","不适用（非实测）")),IF(J1464="阻塞",IF(I1464="","待补阻塞原因","阻塞（非实测）"),IF(J1464&lt;&gt;"已实测",IF(F1464="","待展开路径","未实测"),IF(H1464&lt;&gt;"适用","待确认适用性",IF(INDEX(Equipment[登记状态（自动）],MATCH(B1464,Equipment[组合编号],0))&lt;&gt;"已登记","待补设备组合",IF(AND(F1464&lt;&gt;"",G1464&lt;&gt;"",K1464&lt;&gt;"",L1464&lt;&gt;"",M1464&lt;&gt;"",N1464&lt;&gt;"",ISNUMBER(O1464),O1464&gt;0,P1464&lt;&gt;""),"记录齐全","待补实测记录")))))))))))</x:f>
        <x:v>待展开路径</x:v>
      </x:c>
    </x:row>
    <x:row r="1465" ht="43.5" customHeight="1">
      <x:c r="A1465" s="20" t="str">
        <x:v>REC-01456</x:v>
      </x:c>
      <x:c r="B1465" s="20" t="str">
        <x:v>P3-B4-01</x:v>
      </x:c>
      <x:c r="C1465" s="30" t="str">
        <x:f>IF(B1465="","",IF(COUNTIFS(Equipment[组合编号],B1465)&lt;&gt;1,"组合编号无效",INDEX(Equipment[PLC组],MATCH(B1465,Equipment[组合编号],0))))</x:f>
        <x:v>欧姆龙</x:v>
      </x:c>
      <x:c r="D1465" s="30" t="str">
        <x:f>IF(B1465="","",IF(COUNTIFS(Equipment[组合编号],B1465)&lt;&gt;1,"组合编号无效",INDEX(Equipment[驱动品牌],MATCH(B1465,Equipment[组合编号],0))))</x:f>
        <x:v>Elmo</x:v>
      </x:c>
      <x:c r="E1465" s="20" t="str">
        <x:v>A08</x:v>
      </x:c>
      <x:c r="F1465" s="20"/>
      <x:c r="G1465" s="20"/>
      <x:c r="H1465" s="20" t="str">
        <x:v>待判定</x:v>
      </x:c>
      <x:c r="I1465" s="20"/>
      <x:c r="J1465" s="20" t="str">
        <x:v>未测试</x:v>
      </x:c>
      <x:c r="K1465" s="20"/>
      <x:c r="L1465" s="20"/>
      <x:c r="M1465" s="20"/>
      <x:c r="N1465" s="20"/>
      <x:c r="O1465" s="31"/>
      <x:c r="P1465" s="20"/>
      <x:c r="Q1465" s="20"/>
      <x:c r="R1465" s="20" t="str">
        <x:v>待展开</x:v>
      </x:c>
      <x:c r="S1465" s="20"/>
      <x:c r="T1465" s="31"/>
      <x:c r="U1465" s="30" t="str">
        <x:f>IF(A1465="","缺记录编号",IF(COUNTIFS(PathRecords[记录编号],A1465)&lt;&gt;1,"记录编号重复",IF(OR(B1465="",E1465=""),"缺组合/功能",IF(COUNTIFS(Equipment[组合编号],B1465)&lt;&gt;1,"组合编号无效",IF(COUNTIFS(FunctionMatrix[编号],E1465)=0,"功能编号无效",IF(H1465="不适用",IF(J1465="已实测","适用性冲突",IF(I1465="","待补不适用依据","不适用（非实测）")),IF(J1465="阻塞",IF(I1465="","待补阻塞原因","阻塞（非实测）"),IF(J1465&lt;&gt;"已实测",IF(F1465="","待展开路径","未实测"),IF(H1465&lt;&gt;"适用","待确认适用性",IF(INDEX(Equipment[登记状态（自动）],MATCH(B1465,Equipment[组合编号],0))&lt;&gt;"已登记","待补设备组合",IF(AND(F1465&lt;&gt;"",G1465&lt;&gt;"",K1465&lt;&gt;"",L1465&lt;&gt;"",M1465&lt;&gt;"",N1465&lt;&gt;"",ISNUMBER(O1465),O1465&gt;0,P1465&lt;&gt;""),"记录齐全","待补实测记录")))))))))))</x:f>
        <x:v>待展开路径</x:v>
      </x:c>
    </x:row>
    <x:row r="1466" ht="43.5" customHeight="1">
      <x:c r="A1466" s="20" t="str">
        <x:v>REC-01457</x:v>
      </x:c>
      <x:c r="B1466" s="20" t="str">
        <x:v>P3-B4-01</x:v>
      </x:c>
      <x:c r="C1466" s="30" t="str">
        <x:f>IF(B1466="","",IF(COUNTIFS(Equipment[组合编号],B1466)&lt;&gt;1,"组合编号无效",INDEX(Equipment[PLC组],MATCH(B1466,Equipment[组合编号],0))))</x:f>
        <x:v>欧姆龙</x:v>
      </x:c>
      <x:c r="D1466" s="30" t="str">
        <x:f>IF(B1466="","",IF(COUNTIFS(Equipment[组合编号],B1466)&lt;&gt;1,"组合编号无效",INDEX(Equipment[驱动品牌],MATCH(B1466,Equipment[组合编号],0))))</x:f>
        <x:v>Elmo</x:v>
      </x:c>
      <x:c r="E1466" s="20" t="str">
        <x:v>A09</x:v>
      </x:c>
      <x:c r="F1466" s="20"/>
      <x:c r="G1466" s="20"/>
      <x:c r="H1466" s="20" t="str">
        <x:v>待判定</x:v>
      </x:c>
      <x:c r="I1466" s="20"/>
      <x:c r="J1466" s="20" t="str">
        <x:v>未测试</x:v>
      </x:c>
      <x:c r="K1466" s="20"/>
      <x:c r="L1466" s="20"/>
      <x:c r="M1466" s="20"/>
      <x:c r="N1466" s="20"/>
      <x:c r="O1466" s="31"/>
      <x:c r="P1466" s="20"/>
      <x:c r="Q1466" s="20"/>
      <x:c r="R1466" s="20" t="str">
        <x:v>待展开</x:v>
      </x:c>
      <x:c r="S1466" s="20"/>
      <x:c r="T1466" s="31"/>
      <x:c r="U1466" s="30" t="str">
        <x:f>IF(A1466="","缺记录编号",IF(COUNTIFS(PathRecords[记录编号],A1466)&lt;&gt;1,"记录编号重复",IF(OR(B1466="",E1466=""),"缺组合/功能",IF(COUNTIFS(Equipment[组合编号],B1466)&lt;&gt;1,"组合编号无效",IF(COUNTIFS(FunctionMatrix[编号],E1466)=0,"功能编号无效",IF(H1466="不适用",IF(J1466="已实测","适用性冲突",IF(I1466="","待补不适用依据","不适用（非实测）")),IF(J1466="阻塞",IF(I1466="","待补阻塞原因","阻塞（非实测）"),IF(J1466&lt;&gt;"已实测",IF(F1466="","待展开路径","未实测"),IF(H1466&lt;&gt;"适用","待确认适用性",IF(INDEX(Equipment[登记状态（自动）],MATCH(B1466,Equipment[组合编号],0))&lt;&gt;"已登记","待补设备组合",IF(AND(F1466&lt;&gt;"",G1466&lt;&gt;"",K1466&lt;&gt;"",L1466&lt;&gt;"",M1466&lt;&gt;"",N1466&lt;&gt;"",ISNUMBER(O1466),O1466&gt;0,P1466&lt;&gt;""),"记录齐全","待补实测记录")))))))))))</x:f>
        <x:v>待展开路径</x:v>
      </x:c>
    </x:row>
    <x:row r="1467" ht="43.5" customHeight="1">
      <x:c r="A1467" s="20" t="str">
        <x:v>REC-01458</x:v>
      </x:c>
      <x:c r="B1467" s="20" t="str">
        <x:v>P3-B4-01</x:v>
      </x:c>
      <x:c r="C1467" s="30" t="str">
        <x:f>IF(B1467="","",IF(COUNTIFS(Equipment[组合编号],B1467)&lt;&gt;1,"组合编号无效",INDEX(Equipment[PLC组],MATCH(B1467,Equipment[组合编号],0))))</x:f>
        <x:v>欧姆龙</x:v>
      </x:c>
      <x:c r="D1467" s="30" t="str">
        <x:f>IF(B1467="","",IF(COUNTIFS(Equipment[组合编号],B1467)&lt;&gt;1,"组合编号无效",INDEX(Equipment[驱动品牌],MATCH(B1467,Equipment[组合编号],0))))</x:f>
        <x:v>Elmo</x:v>
      </x:c>
      <x:c r="E1467" s="20" t="str">
        <x:v>C01</x:v>
      </x:c>
      <x:c r="F1467" s="20"/>
      <x:c r="G1467" s="20"/>
      <x:c r="H1467" s="20" t="str">
        <x:v>待判定</x:v>
      </x:c>
      <x:c r="I1467" s="20"/>
      <x:c r="J1467" s="20" t="str">
        <x:v>未测试</x:v>
      </x:c>
      <x:c r="K1467" s="20"/>
      <x:c r="L1467" s="20"/>
      <x:c r="M1467" s="20"/>
      <x:c r="N1467" s="20"/>
      <x:c r="O1467" s="31"/>
      <x:c r="P1467" s="20"/>
      <x:c r="Q1467" s="20"/>
      <x:c r="R1467" s="20" t="str">
        <x:v>待展开</x:v>
      </x:c>
      <x:c r="S1467" s="20"/>
      <x:c r="T1467" s="31"/>
      <x:c r="U1467" s="30" t="str">
        <x:f>IF(A1467="","缺记录编号",IF(COUNTIFS(PathRecords[记录编号],A1467)&lt;&gt;1,"记录编号重复",IF(OR(B1467="",E1467=""),"缺组合/功能",IF(COUNTIFS(Equipment[组合编号],B1467)&lt;&gt;1,"组合编号无效",IF(COUNTIFS(FunctionMatrix[编号],E1467)=0,"功能编号无效",IF(H1467="不适用",IF(J1467="已实测","适用性冲突",IF(I1467="","待补不适用依据","不适用（非实测）")),IF(J1467="阻塞",IF(I1467="","待补阻塞原因","阻塞（非实测）"),IF(J1467&lt;&gt;"已实测",IF(F1467="","待展开路径","未实测"),IF(H1467&lt;&gt;"适用","待确认适用性",IF(INDEX(Equipment[登记状态（自动）],MATCH(B1467,Equipment[组合编号],0))&lt;&gt;"已登记","待补设备组合",IF(AND(F1467&lt;&gt;"",G1467&lt;&gt;"",K1467&lt;&gt;"",L1467&lt;&gt;"",M1467&lt;&gt;"",N1467&lt;&gt;"",ISNUMBER(O1467),O1467&gt;0,P1467&lt;&gt;""),"记录齐全","待补实测记录")))))))))))</x:f>
        <x:v>待展开路径</x:v>
      </x:c>
    </x:row>
    <x:row r="1468" ht="43.5" customHeight="1">
      <x:c r="A1468" s="20" t="str">
        <x:v>REC-01459</x:v>
      </x:c>
      <x:c r="B1468" s="20" t="str">
        <x:v>P3-B4-01</x:v>
      </x:c>
      <x:c r="C1468" s="30" t="str">
        <x:f>IF(B1468="","",IF(COUNTIFS(Equipment[组合编号],B1468)&lt;&gt;1,"组合编号无效",INDEX(Equipment[PLC组],MATCH(B1468,Equipment[组合编号],0))))</x:f>
        <x:v>欧姆龙</x:v>
      </x:c>
      <x:c r="D1468" s="30" t="str">
        <x:f>IF(B1468="","",IF(COUNTIFS(Equipment[组合编号],B1468)&lt;&gt;1,"组合编号无效",INDEX(Equipment[驱动品牌],MATCH(B1468,Equipment[组合编号],0))))</x:f>
        <x:v>Elmo</x:v>
      </x:c>
      <x:c r="E1468" s="20" t="str">
        <x:v>C02</x:v>
      </x:c>
      <x:c r="F1468" s="20"/>
      <x:c r="G1468" s="20"/>
      <x:c r="H1468" s="20" t="str">
        <x:v>待判定</x:v>
      </x:c>
      <x:c r="I1468" s="20"/>
      <x:c r="J1468" s="20" t="str">
        <x:v>未测试</x:v>
      </x:c>
      <x:c r="K1468" s="20"/>
      <x:c r="L1468" s="20"/>
      <x:c r="M1468" s="20"/>
      <x:c r="N1468" s="20"/>
      <x:c r="O1468" s="31"/>
      <x:c r="P1468" s="20"/>
      <x:c r="Q1468" s="20"/>
      <x:c r="R1468" s="20" t="str">
        <x:v>待展开</x:v>
      </x:c>
      <x:c r="S1468" s="20"/>
      <x:c r="T1468" s="31"/>
      <x:c r="U1468" s="30" t="str">
        <x:f>IF(A1468="","缺记录编号",IF(COUNTIFS(PathRecords[记录编号],A1468)&lt;&gt;1,"记录编号重复",IF(OR(B1468="",E1468=""),"缺组合/功能",IF(COUNTIFS(Equipment[组合编号],B1468)&lt;&gt;1,"组合编号无效",IF(COUNTIFS(FunctionMatrix[编号],E1468)=0,"功能编号无效",IF(H1468="不适用",IF(J1468="已实测","适用性冲突",IF(I1468="","待补不适用依据","不适用（非实测）")),IF(J1468="阻塞",IF(I1468="","待补阻塞原因","阻塞（非实测）"),IF(J1468&lt;&gt;"已实测",IF(F1468="","待展开路径","未实测"),IF(H1468&lt;&gt;"适用","待确认适用性",IF(INDEX(Equipment[登记状态（自动）],MATCH(B1468,Equipment[组合编号],0))&lt;&gt;"已登记","待补设备组合",IF(AND(F1468&lt;&gt;"",G1468&lt;&gt;"",K1468&lt;&gt;"",L1468&lt;&gt;"",M1468&lt;&gt;"",N1468&lt;&gt;"",ISNUMBER(O1468),O1468&gt;0,P1468&lt;&gt;""),"记录齐全","待补实测记录")))))))))))</x:f>
        <x:v>待展开路径</x:v>
      </x:c>
    </x:row>
    <x:row r="1469" ht="43.5" customHeight="1">
      <x:c r="A1469" s="20" t="str">
        <x:v>REC-01460</x:v>
      </x:c>
      <x:c r="B1469" s="20" t="str">
        <x:v>P3-B4-01</x:v>
      </x:c>
      <x:c r="C1469" s="30" t="str">
        <x:f>IF(B1469="","",IF(COUNTIFS(Equipment[组合编号],B1469)&lt;&gt;1,"组合编号无效",INDEX(Equipment[PLC组],MATCH(B1469,Equipment[组合编号],0))))</x:f>
        <x:v>欧姆龙</x:v>
      </x:c>
      <x:c r="D1469" s="30" t="str">
        <x:f>IF(B1469="","",IF(COUNTIFS(Equipment[组合编号],B1469)&lt;&gt;1,"组合编号无效",INDEX(Equipment[驱动品牌],MATCH(B1469,Equipment[组合编号],0))))</x:f>
        <x:v>Elmo</x:v>
      </x:c>
      <x:c r="E1469" s="20" t="str">
        <x:v>C03</x:v>
      </x:c>
      <x:c r="F1469" s="20"/>
      <x:c r="G1469" s="20"/>
      <x:c r="H1469" s="20" t="str">
        <x:v>待判定</x:v>
      </x:c>
      <x:c r="I1469" s="20"/>
      <x:c r="J1469" s="20" t="str">
        <x:v>未测试</x:v>
      </x:c>
      <x:c r="K1469" s="20"/>
      <x:c r="L1469" s="20"/>
      <x:c r="M1469" s="20"/>
      <x:c r="N1469" s="20"/>
      <x:c r="O1469" s="31"/>
      <x:c r="P1469" s="20"/>
      <x:c r="Q1469" s="20"/>
      <x:c r="R1469" s="20" t="str">
        <x:v>待展开</x:v>
      </x:c>
      <x:c r="S1469" s="20"/>
      <x:c r="T1469" s="31"/>
      <x:c r="U1469" s="30" t="str">
        <x:f>IF(A1469="","缺记录编号",IF(COUNTIFS(PathRecords[记录编号],A1469)&lt;&gt;1,"记录编号重复",IF(OR(B1469="",E1469=""),"缺组合/功能",IF(COUNTIFS(Equipment[组合编号],B1469)&lt;&gt;1,"组合编号无效",IF(COUNTIFS(FunctionMatrix[编号],E1469)=0,"功能编号无效",IF(H1469="不适用",IF(J1469="已实测","适用性冲突",IF(I1469="","待补不适用依据","不适用（非实测）")),IF(J1469="阻塞",IF(I1469="","待补阻塞原因","阻塞（非实测）"),IF(J1469&lt;&gt;"已实测",IF(F1469="","待展开路径","未实测"),IF(H1469&lt;&gt;"适用","待确认适用性",IF(INDEX(Equipment[登记状态（自动）],MATCH(B1469,Equipment[组合编号],0))&lt;&gt;"已登记","待补设备组合",IF(AND(F1469&lt;&gt;"",G1469&lt;&gt;"",K1469&lt;&gt;"",L1469&lt;&gt;"",M1469&lt;&gt;"",N1469&lt;&gt;"",ISNUMBER(O1469),O1469&gt;0,P1469&lt;&gt;""),"记录齐全","待补实测记录")))))))))))</x:f>
        <x:v>待展开路径</x:v>
      </x:c>
    </x:row>
    <x:row r="1470" ht="43.5" customHeight="1">
      <x:c r="A1470" s="20" t="str">
        <x:v>REC-01461</x:v>
      </x:c>
      <x:c r="B1470" s="20" t="str">
        <x:v>P3-B4-01</x:v>
      </x:c>
      <x:c r="C1470" s="30" t="str">
        <x:f>IF(B1470="","",IF(COUNTIFS(Equipment[组合编号],B1470)&lt;&gt;1,"组合编号无效",INDEX(Equipment[PLC组],MATCH(B1470,Equipment[组合编号],0))))</x:f>
        <x:v>欧姆龙</x:v>
      </x:c>
      <x:c r="D1470" s="30" t="str">
        <x:f>IF(B1470="","",IF(COUNTIFS(Equipment[组合编号],B1470)&lt;&gt;1,"组合编号无效",INDEX(Equipment[驱动品牌],MATCH(B1470,Equipment[组合编号],0))))</x:f>
        <x:v>Elmo</x:v>
      </x:c>
      <x:c r="E1470" s="20" t="str">
        <x:v>C04</x:v>
      </x:c>
      <x:c r="F1470" s="20"/>
      <x:c r="G1470" s="20"/>
      <x:c r="H1470" s="20" t="str">
        <x:v>待判定</x:v>
      </x:c>
      <x:c r="I1470" s="20"/>
      <x:c r="J1470" s="20" t="str">
        <x:v>未测试</x:v>
      </x:c>
      <x:c r="K1470" s="20"/>
      <x:c r="L1470" s="20"/>
      <x:c r="M1470" s="20"/>
      <x:c r="N1470" s="20"/>
      <x:c r="O1470" s="31"/>
      <x:c r="P1470" s="20"/>
      <x:c r="Q1470" s="20"/>
      <x:c r="R1470" s="20" t="str">
        <x:v>待展开</x:v>
      </x:c>
      <x:c r="S1470" s="20"/>
      <x:c r="T1470" s="31"/>
      <x:c r="U1470" s="30" t="str">
        <x:f>IF(A1470="","缺记录编号",IF(COUNTIFS(PathRecords[记录编号],A1470)&lt;&gt;1,"记录编号重复",IF(OR(B1470="",E1470=""),"缺组合/功能",IF(COUNTIFS(Equipment[组合编号],B1470)&lt;&gt;1,"组合编号无效",IF(COUNTIFS(FunctionMatrix[编号],E1470)=0,"功能编号无效",IF(H1470="不适用",IF(J1470="已实测","适用性冲突",IF(I1470="","待补不适用依据","不适用（非实测）")),IF(J1470="阻塞",IF(I1470="","待补阻塞原因","阻塞（非实测）"),IF(J1470&lt;&gt;"已实测",IF(F1470="","待展开路径","未实测"),IF(H1470&lt;&gt;"适用","待确认适用性",IF(INDEX(Equipment[登记状态（自动）],MATCH(B1470,Equipment[组合编号],0))&lt;&gt;"已登记","待补设备组合",IF(AND(F1470&lt;&gt;"",G1470&lt;&gt;"",K1470&lt;&gt;"",L1470&lt;&gt;"",M1470&lt;&gt;"",N1470&lt;&gt;"",ISNUMBER(O1470),O1470&gt;0,P1470&lt;&gt;""),"记录齐全","待补实测记录")))))))))))</x:f>
        <x:v>待展开路径</x:v>
      </x:c>
    </x:row>
    <x:row r="1471" ht="43.5" customHeight="1">
      <x:c r="A1471" s="20" t="str">
        <x:v>REC-01462</x:v>
      </x:c>
      <x:c r="B1471" s="20" t="str">
        <x:v>P3-B4-01</x:v>
      </x:c>
      <x:c r="C1471" s="30" t="str">
        <x:f>IF(B1471="","",IF(COUNTIFS(Equipment[组合编号],B1471)&lt;&gt;1,"组合编号无效",INDEX(Equipment[PLC组],MATCH(B1471,Equipment[组合编号],0))))</x:f>
        <x:v>欧姆龙</x:v>
      </x:c>
      <x:c r="D1471" s="30" t="str">
        <x:f>IF(B1471="","",IF(COUNTIFS(Equipment[组合编号],B1471)&lt;&gt;1,"组合编号无效",INDEX(Equipment[驱动品牌],MATCH(B1471,Equipment[组合编号],0))))</x:f>
        <x:v>Elmo</x:v>
      </x:c>
      <x:c r="E1471" s="20" t="str">
        <x:v>C05</x:v>
      </x:c>
      <x:c r="F1471" s="20"/>
      <x:c r="G1471" s="20"/>
      <x:c r="H1471" s="20" t="str">
        <x:v>待判定</x:v>
      </x:c>
      <x:c r="I1471" s="20"/>
      <x:c r="J1471" s="20" t="str">
        <x:v>未测试</x:v>
      </x:c>
      <x:c r="K1471" s="20"/>
      <x:c r="L1471" s="20"/>
      <x:c r="M1471" s="20"/>
      <x:c r="N1471" s="20"/>
      <x:c r="O1471" s="31"/>
      <x:c r="P1471" s="20"/>
      <x:c r="Q1471" s="20"/>
      <x:c r="R1471" s="20" t="str">
        <x:v>待展开</x:v>
      </x:c>
      <x:c r="S1471" s="20"/>
      <x:c r="T1471" s="31"/>
      <x:c r="U1471" s="30" t="str">
        <x:f>IF(A1471="","缺记录编号",IF(COUNTIFS(PathRecords[记录编号],A1471)&lt;&gt;1,"记录编号重复",IF(OR(B1471="",E1471=""),"缺组合/功能",IF(COUNTIFS(Equipment[组合编号],B1471)&lt;&gt;1,"组合编号无效",IF(COUNTIFS(FunctionMatrix[编号],E1471)=0,"功能编号无效",IF(H1471="不适用",IF(J1471="已实测","适用性冲突",IF(I1471="","待补不适用依据","不适用（非实测）")),IF(J1471="阻塞",IF(I1471="","待补阻塞原因","阻塞（非实测）"),IF(J1471&lt;&gt;"已实测",IF(F1471="","待展开路径","未实测"),IF(H1471&lt;&gt;"适用","待确认适用性",IF(INDEX(Equipment[登记状态（自动）],MATCH(B1471,Equipment[组合编号],0))&lt;&gt;"已登记","待补设备组合",IF(AND(F1471&lt;&gt;"",G1471&lt;&gt;"",K1471&lt;&gt;"",L1471&lt;&gt;"",M1471&lt;&gt;"",N1471&lt;&gt;"",ISNUMBER(O1471),O1471&gt;0,P1471&lt;&gt;""),"记录齐全","待补实测记录")))))))))))</x:f>
        <x:v>待展开路径</x:v>
      </x:c>
    </x:row>
    <x:row r="1472" ht="43.5" customHeight="1">
      <x:c r="A1472" s="20" t="str">
        <x:v>REC-01463</x:v>
      </x:c>
      <x:c r="B1472" s="20" t="str">
        <x:v>P3-B4-01</x:v>
      </x:c>
      <x:c r="C1472" s="30" t="str">
        <x:f>IF(B1472="","",IF(COUNTIFS(Equipment[组合编号],B1472)&lt;&gt;1,"组合编号无效",INDEX(Equipment[PLC组],MATCH(B1472,Equipment[组合编号],0))))</x:f>
        <x:v>欧姆龙</x:v>
      </x:c>
      <x:c r="D1472" s="30" t="str">
        <x:f>IF(B1472="","",IF(COUNTIFS(Equipment[组合编号],B1472)&lt;&gt;1,"组合编号无效",INDEX(Equipment[驱动品牌],MATCH(B1472,Equipment[组合编号],0))))</x:f>
        <x:v>Elmo</x:v>
      </x:c>
      <x:c r="E1472" s="20" t="str">
        <x:v>C06</x:v>
      </x:c>
      <x:c r="F1472" s="20"/>
      <x:c r="G1472" s="20"/>
      <x:c r="H1472" s="20" t="str">
        <x:v>待判定</x:v>
      </x:c>
      <x:c r="I1472" s="20"/>
      <x:c r="J1472" s="20" t="str">
        <x:v>未测试</x:v>
      </x:c>
      <x:c r="K1472" s="20"/>
      <x:c r="L1472" s="20"/>
      <x:c r="M1472" s="20"/>
      <x:c r="N1472" s="20"/>
      <x:c r="O1472" s="31"/>
      <x:c r="P1472" s="20"/>
      <x:c r="Q1472" s="20"/>
      <x:c r="R1472" s="20" t="str">
        <x:v>待展开</x:v>
      </x:c>
      <x:c r="S1472" s="20"/>
      <x:c r="T1472" s="31"/>
      <x:c r="U1472" s="30" t="str">
        <x:f>IF(A1472="","缺记录编号",IF(COUNTIFS(PathRecords[记录编号],A1472)&lt;&gt;1,"记录编号重复",IF(OR(B1472="",E1472=""),"缺组合/功能",IF(COUNTIFS(Equipment[组合编号],B1472)&lt;&gt;1,"组合编号无效",IF(COUNTIFS(FunctionMatrix[编号],E1472)=0,"功能编号无效",IF(H1472="不适用",IF(J1472="已实测","适用性冲突",IF(I1472="","待补不适用依据","不适用（非实测）")),IF(J1472="阻塞",IF(I1472="","待补阻塞原因","阻塞（非实测）"),IF(J1472&lt;&gt;"已实测",IF(F1472="","待展开路径","未实测"),IF(H1472&lt;&gt;"适用","待确认适用性",IF(INDEX(Equipment[登记状态（自动）],MATCH(B1472,Equipment[组合编号],0))&lt;&gt;"已登记","待补设备组合",IF(AND(F1472&lt;&gt;"",G1472&lt;&gt;"",K1472&lt;&gt;"",L1472&lt;&gt;"",M1472&lt;&gt;"",N1472&lt;&gt;"",ISNUMBER(O1472),O1472&gt;0,P1472&lt;&gt;""),"记录齐全","待补实测记录")))))))))))</x:f>
        <x:v>待展开路径</x:v>
      </x:c>
    </x:row>
    <x:row r="1473" ht="43.5" customHeight="1">
      <x:c r="A1473" s="20" t="str">
        <x:v>REC-01464</x:v>
      </x:c>
      <x:c r="B1473" s="20" t="str">
        <x:v>P3-B4-01</x:v>
      </x:c>
      <x:c r="C1473" s="30" t="str">
        <x:f>IF(B1473="","",IF(COUNTIFS(Equipment[组合编号],B1473)&lt;&gt;1,"组合编号无效",INDEX(Equipment[PLC组],MATCH(B1473,Equipment[组合编号],0))))</x:f>
        <x:v>欧姆龙</x:v>
      </x:c>
      <x:c r="D1473" s="30" t="str">
        <x:f>IF(B1473="","",IF(COUNTIFS(Equipment[组合编号],B1473)&lt;&gt;1,"组合编号无效",INDEX(Equipment[驱动品牌],MATCH(B1473,Equipment[组合编号],0))))</x:f>
        <x:v>Elmo</x:v>
      </x:c>
      <x:c r="E1473" s="20" t="str">
        <x:v>C07</x:v>
      </x:c>
      <x:c r="F1473" s="20"/>
      <x:c r="G1473" s="20"/>
      <x:c r="H1473" s="20" t="str">
        <x:v>待判定</x:v>
      </x:c>
      <x:c r="I1473" s="20"/>
      <x:c r="J1473" s="20" t="str">
        <x:v>未测试</x:v>
      </x:c>
      <x:c r="K1473" s="20"/>
      <x:c r="L1473" s="20"/>
      <x:c r="M1473" s="20"/>
      <x:c r="N1473" s="20"/>
      <x:c r="O1473" s="31"/>
      <x:c r="P1473" s="20"/>
      <x:c r="Q1473" s="20"/>
      <x:c r="R1473" s="20" t="str">
        <x:v>待展开</x:v>
      </x:c>
      <x:c r="S1473" s="20"/>
      <x:c r="T1473" s="31"/>
      <x:c r="U1473" s="30" t="str">
        <x:f>IF(A1473="","缺记录编号",IF(COUNTIFS(PathRecords[记录编号],A1473)&lt;&gt;1,"记录编号重复",IF(OR(B1473="",E1473=""),"缺组合/功能",IF(COUNTIFS(Equipment[组合编号],B1473)&lt;&gt;1,"组合编号无效",IF(COUNTIFS(FunctionMatrix[编号],E1473)=0,"功能编号无效",IF(H1473="不适用",IF(J1473="已实测","适用性冲突",IF(I1473="","待补不适用依据","不适用（非实测）")),IF(J1473="阻塞",IF(I1473="","待补阻塞原因","阻塞（非实测）"),IF(J1473&lt;&gt;"已实测",IF(F1473="","待展开路径","未实测"),IF(H1473&lt;&gt;"适用","待确认适用性",IF(INDEX(Equipment[登记状态（自动）],MATCH(B1473,Equipment[组合编号],0))&lt;&gt;"已登记","待补设备组合",IF(AND(F1473&lt;&gt;"",G1473&lt;&gt;"",K1473&lt;&gt;"",L1473&lt;&gt;"",M1473&lt;&gt;"",N1473&lt;&gt;"",ISNUMBER(O1473),O1473&gt;0,P1473&lt;&gt;""),"记录齐全","待补实测记录")))))))))))</x:f>
        <x:v>待展开路径</x:v>
      </x:c>
    </x:row>
    <x:row r="1474" ht="43.5" customHeight="1">
      <x:c r="A1474" s="20" t="str">
        <x:v>REC-01465</x:v>
      </x:c>
      <x:c r="B1474" s="20" t="str">
        <x:v>P3-B4-01</x:v>
      </x:c>
      <x:c r="C1474" s="30" t="str">
        <x:f>IF(B1474="","",IF(COUNTIFS(Equipment[组合编号],B1474)&lt;&gt;1,"组合编号无效",INDEX(Equipment[PLC组],MATCH(B1474,Equipment[组合编号],0))))</x:f>
        <x:v>欧姆龙</x:v>
      </x:c>
      <x:c r="D1474" s="30" t="str">
        <x:f>IF(B1474="","",IF(COUNTIFS(Equipment[组合编号],B1474)&lt;&gt;1,"组合编号无效",INDEX(Equipment[驱动品牌],MATCH(B1474,Equipment[组合编号],0))))</x:f>
        <x:v>Elmo</x:v>
      </x:c>
      <x:c r="E1474" s="20" t="str">
        <x:v>C08</x:v>
      </x:c>
      <x:c r="F1474" s="20"/>
      <x:c r="G1474" s="20"/>
      <x:c r="H1474" s="20" t="str">
        <x:v>待判定</x:v>
      </x:c>
      <x:c r="I1474" s="20"/>
      <x:c r="J1474" s="20" t="str">
        <x:v>未测试</x:v>
      </x:c>
      <x:c r="K1474" s="20"/>
      <x:c r="L1474" s="20"/>
      <x:c r="M1474" s="20"/>
      <x:c r="N1474" s="20"/>
      <x:c r="O1474" s="31"/>
      <x:c r="P1474" s="20"/>
      <x:c r="Q1474" s="20"/>
      <x:c r="R1474" s="20" t="str">
        <x:v>待展开</x:v>
      </x:c>
      <x:c r="S1474" s="20"/>
      <x:c r="T1474" s="31"/>
      <x:c r="U1474" s="30" t="str">
        <x:f>IF(A1474="","缺记录编号",IF(COUNTIFS(PathRecords[记录编号],A1474)&lt;&gt;1,"记录编号重复",IF(OR(B1474="",E1474=""),"缺组合/功能",IF(COUNTIFS(Equipment[组合编号],B1474)&lt;&gt;1,"组合编号无效",IF(COUNTIFS(FunctionMatrix[编号],E1474)=0,"功能编号无效",IF(H1474="不适用",IF(J1474="已实测","适用性冲突",IF(I1474="","待补不适用依据","不适用（非实测）")),IF(J1474="阻塞",IF(I1474="","待补阻塞原因","阻塞（非实测）"),IF(J1474&lt;&gt;"已实测",IF(F1474="","待展开路径","未实测"),IF(H1474&lt;&gt;"适用","待确认适用性",IF(INDEX(Equipment[登记状态（自动）],MATCH(B1474,Equipment[组合编号],0))&lt;&gt;"已登记","待补设备组合",IF(AND(F1474&lt;&gt;"",G1474&lt;&gt;"",K1474&lt;&gt;"",L1474&lt;&gt;"",M1474&lt;&gt;"",N1474&lt;&gt;"",ISNUMBER(O1474),O1474&gt;0,P1474&lt;&gt;""),"记录齐全","待补实测记录")))))))))))</x:f>
        <x:v>待展开路径</x:v>
      </x:c>
    </x:row>
    <x:row r="1475" ht="43.5" customHeight="1">
      <x:c r="A1475" s="20" t="str">
        <x:v>REC-01466</x:v>
      </x:c>
      <x:c r="B1475" s="20" t="str">
        <x:v>P3-B4-01</x:v>
      </x:c>
      <x:c r="C1475" s="30" t="str">
        <x:f>IF(B1475="","",IF(COUNTIFS(Equipment[组合编号],B1475)&lt;&gt;1,"组合编号无效",INDEX(Equipment[PLC组],MATCH(B1475,Equipment[组合编号],0))))</x:f>
        <x:v>欧姆龙</x:v>
      </x:c>
      <x:c r="D1475" s="30" t="str">
        <x:f>IF(B1475="","",IF(COUNTIFS(Equipment[组合编号],B1475)&lt;&gt;1,"组合编号无效",INDEX(Equipment[驱动品牌],MATCH(B1475,Equipment[组合编号],0))))</x:f>
        <x:v>Elmo</x:v>
      </x:c>
      <x:c r="E1475" s="20" t="str">
        <x:v>C09</x:v>
      </x:c>
      <x:c r="F1475" s="20"/>
      <x:c r="G1475" s="20"/>
      <x:c r="H1475" s="20" t="str">
        <x:v>待判定</x:v>
      </x:c>
      <x:c r="I1475" s="20"/>
      <x:c r="J1475" s="20" t="str">
        <x:v>未测试</x:v>
      </x:c>
      <x:c r="K1475" s="20"/>
      <x:c r="L1475" s="20"/>
      <x:c r="M1475" s="20"/>
      <x:c r="N1475" s="20"/>
      <x:c r="O1475" s="31"/>
      <x:c r="P1475" s="20"/>
      <x:c r="Q1475" s="20"/>
      <x:c r="R1475" s="20" t="str">
        <x:v>待展开</x:v>
      </x:c>
      <x:c r="S1475" s="20"/>
      <x:c r="T1475" s="31"/>
      <x:c r="U1475" s="30" t="str">
        <x:f>IF(A1475="","缺记录编号",IF(COUNTIFS(PathRecords[记录编号],A1475)&lt;&gt;1,"记录编号重复",IF(OR(B1475="",E1475=""),"缺组合/功能",IF(COUNTIFS(Equipment[组合编号],B1475)&lt;&gt;1,"组合编号无效",IF(COUNTIFS(FunctionMatrix[编号],E1475)=0,"功能编号无效",IF(H1475="不适用",IF(J1475="已实测","适用性冲突",IF(I1475="","待补不适用依据","不适用（非实测）")),IF(J1475="阻塞",IF(I1475="","待补阻塞原因","阻塞（非实测）"),IF(J1475&lt;&gt;"已实测",IF(F1475="","待展开路径","未实测"),IF(H1475&lt;&gt;"适用","待确认适用性",IF(INDEX(Equipment[登记状态（自动）],MATCH(B1475,Equipment[组合编号],0))&lt;&gt;"已登记","待补设备组合",IF(AND(F1475&lt;&gt;"",G1475&lt;&gt;"",K1475&lt;&gt;"",L1475&lt;&gt;"",M1475&lt;&gt;"",N1475&lt;&gt;"",ISNUMBER(O1475),O1475&gt;0,P1475&lt;&gt;""),"记录齐全","待补实测记录")))))))))))</x:f>
        <x:v>待展开路径</x:v>
      </x:c>
    </x:row>
    <x:row r="1476" ht="43.5" customHeight="1">
      <x:c r="A1476" s="20" t="str">
        <x:v>REC-01467</x:v>
      </x:c>
      <x:c r="B1476" s="20" t="str">
        <x:v>P3-B4-01</x:v>
      </x:c>
      <x:c r="C1476" s="30" t="str">
        <x:f>IF(B1476="","",IF(COUNTIFS(Equipment[组合编号],B1476)&lt;&gt;1,"组合编号无效",INDEX(Equipment[PLC组],MATCH(B1476,Equipment[组合编号],0))))</x:f>
        <x:v>欧姆龙</x:v>
      </x:c>
      <x:c r="D1476" s="30" t="str">
        <x:f>IF(B1476="","",IF(COUNTIFS(Equipment[组合编号],B1476)&lt;&gt;1,"组合编号无效",INDEX(Equipment[驱动品牌],MATCH(B1476,Equipment[组合编号],0))))</x:f>
        <x:v>Elmo</x:v>
      </x:c>
      <x:c r="E1476" s="20" t="str">
        <x:v>C10</x:v>
      </x:c>
      <x:c r="F1476" s="20"/>
      <x:c r="G1476" s="20"/>
      <x:c r="H1476" s="20" t="str">
        <x:v>待判定</x:v>
      </x:c>
      <x:c r="I1476" s="20"/>
      <x:c r="J1476" s="20" t="str">
        <x:v>未测试</x:v>
      </x:c>
      <x:c r="K1476" s="20"/>
      <x:c r="L1476" s="20"/>
      <x:c r="M1476" s="20"/>
      <x:c r="N1476" s="20"/>
      <x:c r="O1476" s="31"/>
      <x:c r="P1476" s="20"/>
      <x:c r="Q1476" s="20"/>
      <x:c r="R1476" s="20" t="str">
        <x:v>待展开</x:v>
      </x:c>
      <x:c r="S1476" s="20"/>
      <x:c r="T1476" s="31"/>
      <x:c r="U1476" s="30" t="str">
        <x:f>IF(A1476="","缺记录编号",IF(COUNTIFS(PathRecords[记录编号],A1476)&lt;&gt;1,"记录编号重复",IF(OR(B1476="",E1476=""),"缺组合/功能",IF(COUNTIFS(Equipment[组合编号],B1476)&lt;&gt;1,"组合编号无效",IF(COUNTIFS(FunctionMatrix[编号],E1476)=0,"功能编号无效",IF(H1476="不适用",IF(J1476="已实测","适用性冲突",IF(I1476="","待补不适用依据","不适用（非实测）")),IF(J1476="阻塞",IF(I1476="","待补阻塞原因","阻塞（非实测）"),IF(J1476&lt;&gt;"已实测",IF(F1476="","待展开路径","未实测"),IF(H1476&lt;&gt;"适用","待确认适用性",IF(INDEX(Equipment[登记状态（自动）],MATCH(B1476,Equipment[组合编号],0))&lt;&gt;"已登记","待补设备组合",IF(AND(F1476&lt;&gt;"",G1476&lt;&gt;"",K1476&lt;&gt;"",L1476&lt;&gt;"",M1476&lt;&gt;"",N1476&lt;&gt;"",ISNUMBER(O1476),O1476&gt;0,P1476&lt;&gt;""),"记录齐全","待补实测记录")))))))))))</x:f>
        <x:v>待展开路径</x:v>
      </x:c>
    </x:row>
    <x:row r="1477" ht="43.5" customHeight="1">
      <x:c r="A1477" s="20" t="str">
        <x:v>REC-01468</x:v>
      </x:c>
      <x:c r="B1477" s="20" t="str">
        <x:v>P3-B4-01</x:v>
      </x:c>
      <x:c r="C1477" s="30" t="str">
        <x:f>IF(B1477="","",IF(COUNTIFS(Equipment[组合编号],B1477)&lt;&gt;1,"组合编号无效",INDEX(Equipment[PLC组],MATCH(B1477,Equipment[组合编号],0))))</x:f>
        <x:v>欧姆龙</x:v>
      </x:c>
      <x:c r="D1477" s="30" t="str">
        <x:f>IF(B1477="","",IF(COUNTIFS(Equipment[组合编号],B1477)&lt;&gt;1,"组合编号无效",INDEX(Equipment[驱动品牌],MATCH(B1477,Equipment[组合编号],0))))</x:f>
        <x:v>Elmo</x:v>
      </x:c>
      <x:c r="E1477" s="20" t="str">
        <x:v>T01</x:v>
      </x:c>
      <x:c r="F1477" s="20"/>
      <x:c r="G1477" s="20"/>
      <x:c r="H1477" s="20" t="str">
        <x:v>待判定</x:v>
      </x:c>
      <x:c r="I1477" s="20"/>
      <x:c r="J1477" s="20" t="str">
        <x:v>未测试</x:v>
      </x:c>
      <x:c r="K1477" s="20"/>
      <x:c r="L1477" s="20"/>
      <x:c r="M1477" s="20"/>
      <x:c r="N1477" s="20"/>
      <x:c r="O1477" s="31"/>
      <x:c r="P1477" s="20"/>
      <x:c r="Q1477" s="20"/>
      <x:c r="R1477" s="20" t="str">
        <x:v>待展开</x:v>
      </x:c>
      <x:c r="S1477" s="20"/>
      <x:c r="T1477" s="31"/>
      <x:c r="U1477" s="30" t="str">
        <x:f>IF(A1477="","缺记录编号",IF(COUNTIFS(PathRecords[记录编号],A1477)&lt;&gt;1,"记录编号重复",IF(OR(B1477="",E1477=""),"缺组合/功能",IF(COUNTIFS(Equipment[组合编号],B1477)&lt;&gt;1,"组合编号无效",IF(COUNTIFS(FunctionMatrix[编号],E1477)=0,"功能编号无效",IF(H1477="不适用",IF(J1477="已实测","适用性冲突",IF(I1477="","待补不适用依据","不适用（非实测）")),IF(J1477="阻塞",IF(I1477="","待补阻塞原因","阻塞（非实测）"),IF(J1477&lt;&gt;"已实测",IF(F1477="","待展开路径","未实测"),IF(H1477&lt;&gt;"适用","待确认适用性",IF(INDEX(Equipment[登记状态（自动）],MATCH(B1477,Equipment[组合编号],0))&lt;&gt;"已登记","待补设备组合",IF(AND(F1477&lt;&gt;"",G1477&lt;&gt;"",K1477&lt;&gt;"",L1477&lt;&gt;"",M1477&lt;&gt;"",N1477&lt;&gt;"",ISNUMBER(O1477),O1477&gt;0,P1477&lt;&gt;""),"记录齐全","待补实测记录")))))))))))</x:f>
        <x:v>待展开路径</x:v>
      </x:c>
    </x:row>
    <x:row r="1478" ht="43.5" customHeight="1">
      <x:c r="A1478" s="20" t="str">
        <x:v>REC-01469</x:v>
      </x:c>
      <x:c r="B1478" s="20" t="str">
        <x:v>P3-B4-01</x:v>
      </x:c>
      <x:c r="C1478" s="30" t="str">
        <x:f>IF(B1478="","",IF(COUNTIFS(Equipment[组合编号],B1478)&lt;&gt;1,"组合编号无效",INDEX(Equipment[PLC组],MATCH(B1478,Equipment[组合编号],0))))</x:f>
        <x:v>欧姆龙</x:v>
      </x:c>
      <x:c r="D1478" s="30" t="str">
        <x:f>IF(B1478="","",IF(COUNTIFS(Equipment[组合编号],B1478)&lt;&gt;1,"组合编号无效",INDEX(Equipment[驱动品牌],MATCH(B1478,Equipment[组合编号],0))))</x:f>
        <x:v>Elmo</x:v>
      </x:c>
      <x:c r="E1478" s="20" t="str">
        <x:v>T02</x:v>
      </x:c>
      <x:c r="F1478" s="20"/>
      <x:c r="G1478" s="20"/>
      <x:c r="H1478" s="20" t="str">
        <x:v>待判定</x:v>
      </x:c>
      <x:c r="I1478" s="20"/>
      <x:c r="J1478" s="20" t="str">
        <x:v>未测试</x:v>
      </x:c>
      <x:c r="K1478" s="20"/>
      <x:c r="L1478" s="20"/>
      <x:c r="M1478" s="20"/>
      <x:c r="N1478" s="20"/>
      <x:c r="O1478" s="31"/>
      <x:c r="P1478" s="20"/>
      <x:c r="Q1478" s="20"/>
      <x:c r="R1478" s="20" t="str">
        <x:v>待展开</x:v>
      </x:c>
      <x:c r="S1478" s="20"/>
      <x:c r="T1478" s="31"/>
      <x:c r="U1478" s="30" t="str">
        <x:f>IF(A1478="","缺记录编号",IF(COUNTIFS(PathRecords[记录编号],A1478)&lt;&gt;1,"记录编号重复",IF(OR(B1478="",E1478=""),"缺组合/功能",IF(COUNTIFS(Equipment[组合编号],B1478)&lt;&gt;1,"组合编号无效",IF(COUNTIFS(FunctionMatrix[编号],E1478)=0,"功能编号无效",IF(H1478="不适用",IF(J1478="已实测","适用性冲突",IF(I1478="","待补不适用依据","不适用（非实测）")),IF(J1478="阻塞",IF(I1478="","待补阻塞原因","阻塞（非实测）"),IF(J1478&lt;&gt;"已实测",IF(F1478="","待展开路径","未实测"),IF(H1478&lt;&gt;"适用","待确认适用性",IF(INDEX(Equipment[登记状态（自动）],MATCH(B1478,Equipment[组合编号],0))&lt;&gt;"已登记","待补设备组合",IF(AND(F1478&lt;&gt;"",G1478&lt;&gt;"",K1478&lt;&gt;"",L1478&lt;&gt;"",M1478&lt;&gt;"",N1478&lt;&gt;"",ISNUMBER(O1478),O1478&gt;0,P1478&lt;&gt;""),"记录齐全","待补实测记录")))))))))))</x:f>
        <x:v>待展开路径</x:v>
      </x:c>
    </x:row>
    <x:row r="1479" ht="43.5" customHeight="1">
      <x:c r="A1479" s="20" t="str">
        <x:v>REC-01470</x:v>
      </x:c>
      <x:c r="B1479" s="20" t="str">
        <x:v>P3-B4-01</x:v>
      </x:c>
      <x:c r="C1479" s="30" t="str">
        <x:f>IF(B1479="","",IF(COUNTIFS(Equipment[组合编号],B1479)&lt;&gt;1,"组合编号无效",INDEX(Equipment[PLC组],MATCH(B1479,Equipment[组合编号],0))))</x:f>
        <x:v>欧姆龙</x:v>
      </x:c>
      <x:c r="D1479" s="30" t="str">
        <x:f>IF(B1479="","",IF(COUNTIFS(Equipment[组合编号],B1479)&lt;&gt;1,"组合编号无效",INDEX(Equipment[驱动品牌],MATCH(B1479,Equipment[组合编号],0))))</x:f>
        <x:v>Elmo</x:v>
      </x:c>
      <x:c r="E1479" s="20" t="str">
        <x:v>T03</x:v>
      </x:c>
      <x:c r="F1479" s="20"/>
      <x:c r="G1479" s="20"/>
      <x:c r="H1479" s="20" t="str">
        <x:v>待判定</x:v>
      </x:c>
      <x:c r="I1479" s="20"/>
      <x:c r="J1479" s="20" t="str">
        <x:v>未测试</x:v>
      </x:c>
      <x:c r="K1479" s="20"/>
      <x:c r="L1479" s="20"/>
      <x:c r="M1479" s="20"/>
      <x:c r="N1479" s="20"/>
      <x:c r="O1479" s="31"/>
      <x:c r="P1479" s="20"/>
      <x:c r="Q1479" s="20"/>
      <x:c r="R1479" s="20" t="str">
        <x:v>待展开</x:v>
      </x:c>
      <x:c r="S1479" s="20"/>
      <x:c r="T1479" s="31"/>
      <x:c r="U1479" s="30" t="str">
        <x:f>IF(A1479="","缺记录编号",IF(COUNTIFS(PathRecords[记录编号],A1479)&lt;&gt;1,"记录编号重复",IF(OR(B1479="",E1479=""),"缺组合/功能",IF(COUNTIFS(Equipment[组合编号],B1479)&lt;&gt;1,"组合编号无效",IF(COUNTIFS(FunctionMatrix[编号],E1479)=0,"功能编号无效",IF(H1479="不适用",IF(J1479="已实测","适用性冲突",IF(I1479="","待补不适用依据","不适用（非实测）")),IF(J1479="阻塞",IF(I1479="","待补阻塞原因","阻塞（非实测）"),IF(J1479&lt;&gt;"已实测",IF(F1479="","待展开路径","未实测"),IF(H1479&lt;&gt;"适用","待确认适用性",IF(INDEX(Equipment[登记状态（自动）],MATCH(B1479,Equipment[组合编号],0))&lt;&gt;"已登记","待补设备组合",IF(AND(F1479&lt;&gt;"",G1479&lt;&gt;"",K1479&lt;&gt;"",L1479&lt;&gt;"",M1479&lt;&gt;"",N1479&lt;&gt;"",ISNUMBER(O1479),O1479&gt;0,P1479&lt;&gt;""),"记录齐全","待补实测记录")))))))))))</x:f>
        <x:v>待展开路径</x:v>
      </x:c>
    </x:row>
    <x:row r="1480" ht="43.5" customHeight="1">
      <x:c r="A1480" s="20" t="str">
        <x:v>REC-01471</x:v>
      </x:c>
      <x:c r="B1480" s="20" t="str">
        <x:v>P3-B4-01</x:v>
      </x:c>
      <x:c r="C1480" s="30" t="str">
        <x:f>IF(B1480="","",IF(COUNTIFS(Equipment[组合编号],B1480)&lt;&gt;1,"组合编号无效",INDEX(Equipment[PLC组],MATCH(B1480,Equipment[组合编号],0))))</x:f>
        <x:v>欧姆龙</x:v>
      </x:c>
      <x:c r="D1480" s="30" t="str">
        <x:f>IF(B1480="","",IF(COUNTIFS(Equipment[组合编号],B1480)&lt;&gt;1,"组合编号无效",INDEX(Equipment[驱动品牌],MATCH(B1480,Equipment[组合编号],0))))</x:f>
        <x:v>Elmo</x:v>
      </x:c>
      <x:c r="E1480" s="20" t="str">
        <x:v>T04</x:v>
      </x:c>
      <x:c r="F1480" s="20"/>
      <x:c r="G1480" s="20"/>
      <x:c r="H1480" s="20" t="str">
        <x:v>待判定</x:v>
      </x:c>
      <x:c r="I1480" s="20"/>
      <x:c r="J1480" s="20" t="str">
        <x:v>未测试</x:v>
      </x:c>
      <x:c r="K1480" s="20"/>
      <x:c r="L1480" s="20"/>
      <x:c r="M1480" s="20"/>
      <x:c r="N1480" s="20"/>
      <x:c r="O1480" s="31"/>
      <x:c r="P1480" s="20"/>
      <x:c r="Q1480" s="20"/>
      <x:c r="R1480" s="20" t="str">
        <x:v>待展开</x:v>
      </x:c>
      <x:c r="S1480" s="20"/>
      <x:c r="T1480" s="31"/>
      <x:c r="U1480" s="30" t="str">
        <x:f>IF(A1480="","缺记录编号",IF(COUNTIFS(PathRecords[记录编号],A1480)&lt;&gt;1,"记录编号重复",IF(OR(B1480="",E1480=""),"缺组合/功能",IF(COUNTIFS(Equipment[组合编号],B1480)&lt;&gt;1,"组合编号无效",IF(COUNTIFS(FunctionMatrix[编号],E1480)=0,"功能编号无效",IF(H1480="不适用",IF(J1480="已实测","适用性冲突",IF(I1480="","待补不适用依据","不适用（非实测）")),IF(J1480="阻塞",IF(I1480="","待补阻塞原因","阻塞（非实测）"),IF(J1480&lt;&gt;"已实测",IF(F1480="","待展开路径","未实测"),IF(H1480&lt;&gt;"适用","待确认适用性",IF(INDEX(Equipment[登记状态（自动）],MATCH(B1480,Equipment[组合编号],0))&lt;&gt;"已登记","待补设备组合",IF(AND(F1480&lt;&gt;"",G1480&lt;&gt;"",K1480&lt;&gt;"",L1480&lt;&gt;"",M1480&lt;&gt;"",N1480&lt;&gt;"",ISNUMBER(O1480),O1480&gt;0,P1480&lt;&gt;""),"记录齐全","待补实测记录")))))))))))</x:f>
        <x:v>待展开路径</x:v>
      </x:c>
    </x:row>
    <x:row r="1481" ht="43.5" customHeight="1">
      <x:c r="A1481" s="20" t="str">
        <x:v>REC-01472</x:v>
      </x:c>
      <x:c r="B1481" s="20" t="str">
        <x:v>P3-B4-01</x:v>
      </x:c>
      <x:c r="C1481" s="30" t="str">
        <x:f>IF(B1481="","",IF(COUNTIFS(Equipment[组合编号],B1481)&lt;&gt;1,"组合编号无效",INDEX(Equipment[PLC组],MATCH(B1481,Equipment[组合编号],0))))</x:f>
        <x:v>欧姆龙</x:v>
      </x:c>
      <x:c r="D1481" s="30" t="str">
        <x:f>IF(B1481="","",IF(COUNTIFS(Equipment[组合编号],B1481)&lt;&gt;1,"组合编号无效",INDEX(Equipment[驱动品牌],MATCH(B1481,Equipment[组合编号],0))))</x:f>
        <x:v>Elmo</x:v>
      </x:c>
      <x:c r="E1481" s="20" t="str">
        <x:v>T05</x:v>
      </x:c>
      <x:c r="F1481" s="20"/>
      <x:c r="G1481" s="20"/>
      <x:c r="H1481" s="20" t="str">
        <x:v>待判定</x:v>
      </x:c>
      <x:c r="I1481" s="20"/>
      <x:c r="J1481" s="20" t="str">
        <x:v>未测试</x:v>
      </x:c>
      <x:c r="K1481" s="20"/>
      <x:c r="L1481" s="20"/>
      <x:c r="M1481" s="20"/>
      <x:c r="N1481" s="20"/>
      <x:c r="O1481" s="31"/>
      <x:c r="P1481" s="20"/>
      <x:c r="Q1481" s="20"/>
      <x:c r="R1481" s="20" t="str">
        <x:v>待展开</x:v>
      </x:c>
      <x:c r="S1481" s="20"/>
      <x:c r="T1481" s="31"/>
      <x:c r="U1481" s="30" t="str">
        <x:f>IF(A1481="","缺记录编号",IF(COUNTIFS(PathRecords[记录编号],A1481)&lt;&gt;1,"记录编号重复",IF(OR(B1481="",E1481=""),"缺组合/功能",IF(COUNTIFS(Equipment[组合编号],B1481)&lt;&gt;1,"组合编号无效",IF(COUNTIFS(FunctionMatrix[编号],E1481)=0,"功能编号无效",IF(H1481="不适用",IF(J1481="已实测","适用性冲突",IF(I1481="","待补不适用依据","不适用（非实测）")),IF(J1481="阻塞",IF(I1481="","待补阻塞原因","阻塞（非实测）"),IF(J1481&lt;&gt;"已实测",IF(F1481="","待展开路径","未实测"),IF(H1481&lt;&gt;"适用","待确认适用性",IF(INDEX(Equipment[登记状态（自动）],MATCH(B1481,Equipment[组合编号],0))&lt;&gt;"已登记","待补设备组合",IF(AND(F1481&lt;&gt;"",G1481&lt;&gt;"",K1481&lt;&gt;"",L1481&lt;&gt;"",M1481&lt;&gt;"",N1481&lt;&gt;"",ISNUMBER(O1481),O1481&gt;0,P1481&lt;&gt;""),"记录齐全","待补实测记录")))))))))))</x:f>
        <x:v>待展开路径</x:v>
      </x:c>
    </x:row>
    <x:row r="1482" ht="43.5" customHeight="1">
      <x:c r="A1482" s="20" t="str">
        <x:v>REC-01473</x:v>
      </x:c>
      <x:c r="B1482" s="20" t="str">
        <x:v>P3-B4-01</x:v>
      </x:c>
      <x:c r="C1482" s="30" t="str">
        <x:f>IF(B1482="","",IF(COUNTIFS(Equipment[组合编号],B1482)&lt;&gt;1,"组合编号无效",INDEX(Equipment[PLC组],MATCH(B1482,Equipment[组合编号],0))))</x:f>
        <x:v>欧姆龙</x:v>
      </x:c>
      <x:c r="D1482" s="30" t="str">
        <x:f>IF(B1482="","",IF(COUNTIFS(Equipment[组合编号],B1482)&lt;&gt;1,"组合编号无效",INDEX(Equipment[驱动品牌],MATCH(B1482,Equipment[组合编号],0))))</x:f>
        <x:v>Elmo</x:v>
      </x:c>
      <x:c r="E1482" s="20" t="str">
        <x:v>T06</x:v>
      </x:c>
      <x:c r="F1482" s="20"/>
      <x:c r="G1482" s="20"/>
      <x:c r="H1482" s="20" t="str">
        <x:v>待判定</x:v>
      </x:c>
      <x:c r="I1482" s="20"/>
      <x:c r="J1482" s="20" t="str">
        <x:v>未测试</x:v>
      </x:c>
      <x:c r="K1482" s="20"/>
      <x:c r="L1482" s="20"/>
      <x:c r="M1482" s="20"/>
      <x:c r="N1482" s="20"/>
      <x:c r="O1482" s="31"/>
      <x:c r="P1482" s="20"/>
      <x:c r="Q1482" s="20"/>
      <x:c r="R1482" s="20" t="str">
        <x:v>待展开</x:v>
      </x:c>
      <x:c r="S1482" s="20"/>
      <x:c r="T1482" s="31"/>
      <x:c r="U1482" s="30" t="str">
        <x:f>IF(A1482="","缺记录编号",IF(COUNTIFS(PathRecords[记录编号],A1482)&lt;&gt;1,"记录编号重复",IF(OR(B1482="",E1482=""),"缺组合/功能",IF(COUNTIFS(Equipment[组合编号],B1482)&lt;&gt;1,"组合编号无效",IF(COUNTIFS(FunctionMatrix[编号],E1482)=0,"功能编号无效",IF(H1482="不适用",IF(J1482="已实测","适用性冲突",IF(I1482="","待补不适用依据","不适用（非实测）")),IF(J1482="阻塞",IF(I1482="","待补阻塞原因","阻塞（非实测）"),IF(J1482&lt;&gt;"已实测",IF(F1482="","待展开路径","未实测"),IF(H1482&lt;&gt;"适用","待确认适用性",IF(INDEX(Equipment[登记状态（自动）],MATCH(B1482,Equipment[组合编号],0))&lt;&gt;"已登记","待补设备组合",IF(AND(F1482&lt;&gt;"",G1482&lt;&gt;"",K1482&lt;&gt;"",L1482&lt;&gt;"",M1482&lt;&gt;"",N1482&lt;&gt;"",ISNUMBER(O1482),O1482&gt;0,P1482&lt;&gt;""),"记录齐全","待补实测记录")))))))))))</x:f>
        <x:v>待展开路径</x:v>
      </x:c>
    </x:row>
    <x:row r="1483" ht="43.5" customHeight="1">
      <x:c r="A1483" s="20" t="str">
        <x:v>REC-01474</x:v>
      </x:c>
      <x:c r="B1483" s="20" t="str">
        <x:v>P3-B4-01</x:v>
      </x:c>
      <x:c r="C1483" s="30" t="str">
        <x:f>IF(B1483="","",IF(COUNTIFS(Equipment[组合编号],B1483)&lt;&gt;1,"组合编号无效",INDEX(Equipment[PLC组],MATCH(B1483,Equipment[组合编号],0))))</x:f>
        <x:v>欧姆龙</x:v>
      </x:c>
      <x:c r="D1483" s="30" t="str">
        <x:f>IF(B1483="","",IF(COUNTIFS(Equipment[组合编号],B1483)&lt;&gt;1,"组合编号无效",INDEX(Equipment[驱动品牌],MATCH(B1483,Equipment[组合编号],0))))</x:f>
        <x:v>Elmo</x:v>
      </x:c>
      <x:c r="E1483" s="20" t="str">
        <x:v>T07</x:v>
      </x:c>
      <x:c r="F1483" s="20"/>
      <x:c r="G1483" s="20"/>
      <x:c r="H1483" s="20" t="str">
        <x:v>待判定</x:v>
      </x:c>
      <x:c r="I1483" s="20"/>
      <x:c r="J1483" s="20" t="str">
        <x:v>未测试</x:v>
      </x:c>
      <x:c r="K1483" s="20"/>
      <x:c r="L1483" s="20"/>
      <x:c r="M1483" s="20"/>
      <x:c r="N1483" s="20"/>
      <x:c r="O1483" s="31"/>
      <x:c r="P1483" s="20"/>
      <x:c r="Q1483" s="20"/>
      <x:c r="R1483" s="20" t="str">
        <x:v>待展开</x:v>
      </x:c>
      <x:c r="S1483" s="20"/>
      <x:c r="T1483" s="31"/>
      <x:c r="U1483" s="30" t="str">
        <x:f>IF(A1483="","缺记录编号",IF(COUNTIFS(PathRecords[记录编号],A1483)&lt;&gt;1,"记录编号重复",IF(OR(B1483="",E1483=""),"缺组合/功能",IF(COUNTIFS(Equipment[组合编号],B1483)&lt;&gt;1,"组合编号无效",IF(COUNTIFS(FunctionMatrix[编号],E1483)=0,"功能编号无效",IF(H1483="不适用",IF(J1483="已实测","适用性冲突",IF(I1483="","待补不适用依据","不适用（非实测）")),IF(J1483="阻塞",IF(I1483="","待补阻塞原因","阻塞（非实测）"),IF(J1483&lt;&gt;"已实测",IF(F1483="","待展开路径","未实测"),IF(H1483&lt;&gt;"适用","待确认适用性",IF(INDEX(Equipment[登记状态（自动）],MATCH(B1483,Equipment[组合编号],0))&lt;&gt;"已登记","待补设备组合",IF(AND(F1483&lt;&gt;"",G1483&lt;&gt;"",K1483&lt;&gt;"",L1483&lt;&gt;"",M1483&lt;&gt;"",N1483&lt;&gt;"",ISNUMBER(O1483),O1483&gt;0,P1483&lt;&gt;""),"记录齐全","待补实测记录")))))))))))</x:f>
        <x:v>待展开路径</x:v>
      </x:c>
    </x:row>
    <x:row r="1484" ht="43.5" customHeight="1">
      <x:c r="A1484" s="20" t="str">
        <x:v>REC-01475</x:v>
      </x:c>
      <x:c r="B1484" s="20" t="str">
        <x:v>P3-B4-01</x:v>
      </x:c>
      <x:c r="C1484" s="30" t="str">
        <x:f>IF(B1484="","",IF(COUNTIFS(Equipment[组合编号],B1484)&lt;&gt;1,"组合编号无效",INDEX(Equipment[PLC组],MATCH(B1484,Equipment[组合编号],0))))</x:f>
        <x:v>欧姆龙</x:v>
      </x:c>
      <x:c r="D1484" s="30" t="str">
        <x:f>IF(B1484="","",IF(COUNTIFS(Equipment[组合编号],B1484)&lt;&gt;1,"组合编号无效",INDEX(Equipment[驱动品牌],MATCH(B1484,Equipment[组合编号],0))))</x:f>
        <x:v>Elmo</x:v>
      </x:c>
      <x:c r="E1484" s="20" t="str">
        <x:v>T08</x:v>
      </x:c>
      <x:c r="F1484" s="20"/>
      <x:c r="G1484" s="20"/>
      <x:c r="H1484" s="20" t="str">
        <x:v>待判定</x:v>
      </x:c>
      <x:c r="I1484" s="20"/>
      <x:c r="J1484" s="20" t="str">
        <x:v>未测试</x:v>
      </x:c>
      <x:c r="K1484" s="20"/>
      <x:c r="L1484" s="20"/>
      <x:c r="M1484" s="20"/>
      <x:c r="N1484" s="20"/>
      <x:c r="O1484" s="31"/>
      <x:c r="P1484" s="20"/>
      <x:c r="Q1484" s="20"/>
      <x:c r="R1484" s="20" t="str">
        <x:v>待展开</x:v>
      </x:c>
      <x:c r="S1484" s="20"/>
      <x:c r="T1484" s="31"/>
      <x:c r="U1484" s="30" t="str">
        <x:f>IF(A1484="","缺记录编号",IF(COUNTIFS(PathRecords[记录编号],A1484)&lt;&gt;1,"记录编号重复",IF(OR(B1484="",E1484=""),"缺组合/功能",IF(COUNTIFS(Equipment[组合编号],B1484)&lt;&gt;1,"组合编号无效",IF(COUNTIFS(FunctionMatrix[编号],E1484)=0,"功能编号无效",IF(H1484="不适用",IF(J1484="已实测","适用性冲突",IF(I1484="","待补不适用依据","不适用（非实测）")),IF(J1484="阻塞",IF(I1484="","待补阻塞原因","阻塞（非实测）"),IF(J1484&lt;&gt;"已实测",IF(F1484="","待展开路径","未实测"),IF(H1484&lt;&gt;"适用","待确认适用性",IF(INDEX(Equipment[登记状态（自动）],MATCH(B1484,Equipment[组合编号],0))&lt;&gt;"已登记","待补设备组合",IF(AND(F1484&lt;&gt;"",G1484&lt;&gt;"",K1484&lt;&gt;"",L1484&lt;&gt;"",M1484&lt;&gt;"",N1484&lt;&gt;"",ISNUMBER(O1484),O1484&gt;0,P1484&lt;&gt;""),"记录齐全","待补实测记录")))))))))))</x:f>
        <x:v>待展开路径</x:v>
      </x:c>
    </x:row>
    <x:row r="1485" ht="43.5" customHeight="1">
      <x:c r="A1485" s="20" t="str">
        <x:v>REC-01476</x:v>
      </x:c>
      <x:c r="B1485" s="20" t="str">
        <x:v>P3-B4-01</x:v>
      </x:c>
      <x:c r="C1485" s="30" t="str">
        <x:f>IF(B1485="","",IF(COUNTIFS(Equipment[组合编号],B1485)&lt;&gt;1,"组合编号无效",INDEX(Equipment[PLC组],MATCH(B1485,Equipment[组合编号],0))))</x:f>
        <x:v>欧姆龙</x:v>
      </x:c>
      <x:c r="D1485" s="30" t="str">
        <x:f>IF(B1485="","",IF(COUNTIFS(Equipment[组合编号],B1485)&lt;&gt;1,"组合编号无效",INDEX(Equipment[驱动品牌],MATCH(B1485,Equipment[组合编号],0))))</x:f>
        <x:v>Elmo</x:v>
      </x:c>
      <x:c r="E1485" s="20" t="str">
        <x:v>T09</x:v>
      </x:c>
      <x:c r="F1485" s="20"/>
      <x:c r="G1485" s="20"/>
      <x:c r="H1485" s="20" t="str">
        <x:v>待判定</x:v>
      </x:c>
      <x:c r="I1485" s="20"/>
      <x:c r="J1485" s="20" t="str">
        <x:v>未测试</x:v>
      </x:c>
      <x:c r="K1485" s="20"/>
      <x:c r="L1485" s="20"/>
      <x:c r="M1485" s="20"/>
      <x:c r="N1485" s="20"/>
      <x:c r="O1485" s="31"/>
      <x:c r="P1485" s="20"/>
      <x:c r="Q1485" s="20"/>
      <x:c r="R1485" s="20" t="str">
        <x:v>待展开</x:v>
      </x:c>
      <x:c r="S1485" s="20"/>
      <x:c r="T1485" s="31"/>
      <x:c r="U1485" s="30" t="str">
        <x:f>IF(A1485="","缺记录编号",IF(COUNTIFS(PathRecords[记录编号],A1485)&lt;&gt;1,"记录编号重复",IF(OR(B1485="",E1485=""),"缺组合/功能",IF(COUNTIFS(Equipment[组合编号],B1485)&lt;&gt;1,"组合编号无效",IF(COUNTIFS(FunctionMatrix[编号],E1485)=0,"功能编号无效",IF(H1485="不适用",IF(J1485="已实测","适用性冲突",IF(I1485="","待补不适用依据","不适用（非实测）")),IF(J1485="阻塞",IF(I1485="","待补阻塞原因","阻塞（非实测）"),IF(J1485&lt;&gt;"已实测",IF(F1485="","待展开路径","未实测"),IF(H1485&lt;&gt;"适用","待确认适用性",IF(INDEX(Equipment[登记状态（自动）],MATCH(B1485,Equipment[组合编号],0))&lt;&gt;"已登记","待补设备组合",IF(AND(F1485&lt;&gt;"",G1485&lt;&gt;"",K1485&lt;&gt;"",L1485&lt;&gt;"",M1485&lt;&gt;"",N1485&lt;&gt;"",ISNUMBER(O1485),O1485&gt;0,P1485&lt;&gt;""),"记录齐全","待补实测记录")))))))))))</x:f>
        <x:v>待展开路径</x:v>
      </x:c>
    </x:row>
    <x:row r="1486" ht="43.5" customHeight="1">
      <x:c r="A1486" s="20" t="str">
        <x:v>REC-01477</x:v>
      </x:c>
      <x:c r="B1486" s="20" t="str">
        <x:v>P3-B4-01</x:v>
      </x:c>
      <x:c r="C1486" s="30" t="str">
        <x:f>IF(B1486="","",IF(COUNTIFS(Equipment[组合编号],B1486)&lt;&gt;1,"组合编号无效",INDEX(Equipment[PLC组],MATCH(B1486,Equipment[组合编号],0))))</x:f>
        <x:v>欧姆龙</x:v>
      </x:c>
      <x:c r="D1486" s="30" t="str">
        <x:f>IF(B1486="","",IF(COUNTIFS(Equipment[组合编号],B1486)&lt;&gt;1,"组合编号无效",INDEX(Equipment[驱动品牌],MATCH(B1486,Equipment[组合编号],0))))</x:f>
        <x:v>Elmo</x:v>
      </x:c>
      <x:c r="E1486" s="20" t="str">
        <x:v>R01</x:v>
      </x:c>
      <x:c r="F1486" s="20"/>
      <x:c r="G1486" s="20"/>
      <x:c r="H1486" s="20" t="str">
        <x:v>待判定</x:v>
      </x:c>
      <x:c r="I1486" s="20"/>
      <x:c r="J1486" s="20" t="str">
        <x:v>未测试</x:v>
      </x:c>
      <x:c r="K1486" s="20"/>
      <x:c r="L1486" s="20"/>
      <x:c r="M1486" s="20"/>
      <x:c r="N1486" s="20"/>
      <x:c r="O1486" s="31"/>
      <x:c r="P1486" s="20"/>
      <x:c r="Q1486" s="20"/>
      <x:c r="R1486" s="20" t="str">
        <x:v>待展开</x:v>
      </x:c>
      <x:c r="S1486" s="20"/>
      <x:c r="T1486" s="31"/>
      <x:c r="U1486" s="30" t="str">
        <x:f>IF(A1486="","缺记录编号",IF(COUNTIFS(PathRecords[记录编号],A1486)&lt;&gt;1,"记录编号重复",IF(OR(B1486="",E1486=""),"缺组合/功能",IF(COUNTIFS(Equipment[组合编号],B1486)&lt;&gt;1,"组合编号无效",IF(COUNTIFS(FunctionMatrix[编号],E1486)=0,"功能编号无效",IF(H1486="不适用",IF(J1486="已实测","适用性冲突",IF(I1486="","待补不适用依据","不适用（非实测）")),IF(J1486="阻塞",IF(I1486="","待补阻塞原因","阻塞（非实测）"),IF(J1486&lt;&gt;"已实测",IF(F1486="","待展开路径","未实测"),IF(H1486&lt;&gt;"适用","待确认适用性",IF(INDEX(Equipment[登记状态（自动）],MATCH(B1486,Equipment[组合编号],0))&lt;&gt;"已登记","待补设备组合",IF(AND(F1486&lt;&gt;"",G1486&lt;&gt;"",K1486&lt;&gt;"",L1486&lt;&gt;"",M1486&lt;&gt;"",N1486&lt;&gt;"",ISNUMBER(O1486),O1486&gt;0,P1486&lt;&gt;""),"记录齐全","待补实测记录")))))))))))</x:f>
        <x:v>待展开路径</x:v>
      </x:c>
    </x:row>
    <x:row r="1487" ht="43.5" customHeight="1">
      <x:c r="A1487" s="20" t="str">
        <x:v>REC-01478</x:v>
      </x:c>
      <x:c r="B1487" s="20" t="str">
        <x:v>P3-B4-01</x:v>
      </x:c>
      <x:c r="C1487" s="30" t="str">
        <x:f>IF(B1487="","",IF(COUNTIFS(Equipment[组合编号],B1487)&lt;&gt;1,"组合编号无效",INDEX(Equipment[PLC组],MATCH(B1487,Equipment[组合编号],0))))</x:f>
        <x:v>欧姆龙</x:v>
      </x:c>
      <x:c r="D1487" s="30" t="str">
        <x:f>IF(B1487="","",IF(COUNTIFS(Equipment[组合编号],B1487)&lt;&gt;1,"组合编号无效",INDEX(Equipment[驱动品牌],MATCH(B1487,Equipment[组合编号],0))))</x:f>
        <x:v>Elmo</x:v>
      </x:c>
      <x:c r="E1487" s="20" t="str">
        <x:v>R02</x:v>
      </x:c>
      <x:c r="F1487" s="20"/>
      <x:c r="G1487" s="20"/>
      <x:c r="H1487" s="20" t="str">
        <x:v>待判定</x:v>
      </x:c>
      <x:c r="I1487" s="20"/>
      <x:c r="J1487" s="20" t="str">
        <x:v>未测试</x:v>
      </x:c>
      <x:c r="K1487" s="20"/>
      <x:c r="L1487" s="20"/>
      <x:c r="M1487" s="20"/>
      <x:c r="N1487" s="20"/>
      <x:c r="O1487" s="31"/>
      <x:c r="P1487" s="20"/>
      <x:c r="Q1487" s="20"/>
      <x:c r="R1487" s="20" t="str">
        <x:v>待展开</x:v>
      </x:c>
      <x:c r="S1487" s="20"/>
      <x:c r="T1487" s="31"/>
      <x:c r="U1487" s="30" t="str">
        <x:f>IF(A1487="","缺记录编号",IF(COUNTIFS(PathRecords[记录编号],A1487)&lt;&gt;1,"记录编号重复",IF(OR(B1487="",E1487=""),"缺组合/功能",IF(COUNTIFS(Equipment[组合编号],B1487)&lt;&gt;1,"组合编号无效",IF(COUNTIFS(FunctionMatrix[编号],E1487)=0,"功能编号无效",IF(H1487="不适用",IF(J1487="已实测","适用性冲突",IF(I1487="","待补不适用依据","不适用（非实测）")),IF(J1487="阻塞",IF(I1487="","待补阻塞原因","阻塞（非实测）"),IF(J1487&lt;&gt;"已实测",IF(F1487="","待展开路径","未实测"),IF(H1487&lt;&gt;"适用","待确认适用性",IF(INDEX(Equipment[登记状态（自动）],MATCH(B1487,Equipment[组合编号],0))&lt;&gt;"已登记","待补设备组合",IF(AND(F1487&lt;&gt;"",G1487&lt;&gt;"",K1487&lt;&gt;"",L1487&lt;&gt;"",M1487&lt;&gt;"",N1487&lt;&gt;"",ISNUMBER(O1487),O1487&gt;0,P1487&lt;&gt;""),"记录齐全","待补实测记录")))))))))))</x:f>
        <x:v>待展开路径</x:v>
      </x:c>
    </x:row>
    <x:row r="1488" ht="43.5" customHeight="1">
      <x:c r="A1488" s="20" t="str">
        <x:v>REC-01479</x:v>
      </x:c>
      <x:c r="B1488" s="20" t="str">
        <x:v>P3-B4-01</x:v>
      </x:c>
      <x:c r="C1488" s="30" t="str">
        <x:f>IF(B1488="","",IF(COUNTIFS(Equipment[组合编号],B1488)&lt;&gt;1,"组合编号无效",INDEX(Equipment[PLC组],MATCH(B1488,Equipment[组合编号],0))))</x:f>
        <x:v>欧姆龙</x:v>
      </x:c>
      <x:c r="D1488" s="30" t="str">
        <x:f>IF(B1488="","",IF(COUNTIFS(Equipment[组合编号],B1488)&lt;&gt;1,"组合编号无效",INDEX(Equipment[驱动品牌],MATCH(B1488,Equipment[组合编号],0))))</x:f>
        <x:v>Elmo</x:v>
      </x:c>
      <x:c r="E1488" s="20" t="str">
        <x:v>R03</x:v>
      </x:c>
      <x:c r="F1488" s="20"/>
      <x:c r="G1488" s="20"/>
      <x:c r="H1488" s="20" t="str">
        <x:v>待判定</x:v>
      </x:c>
      <x:c r="I1488" s="20"/>
      <x:c r="J1488" s="20" t="str">
        <x:v>未测试</x:v>
      </x:c>
      <x:c r="K1488" s="20"/>
      <x:c r="L1488" s="20"/>
      <x:c r="M1488" s="20"/>
      <x:c r="N1488" s="20"/>
      <x:c r="O1488" s="31"/>
      <x:c r="P1488" s="20"/>
      <x:c r="Q1488" s="20"/>
      <x:c r="R1488" s="20" t="str">
        <x:v>待展开</x:v>
      </x:c>
      <x:c r="S1488" s="20"/>
      <x:c r="T1488" s="31"/>
      <x:c r="U1488" s="30" t="str">
        <x:f>IF(A1488="","缺记录编号",IF(COUNTIFS(PathRecords[记录编号],A1488)&lt;&gt;1,"记录编号重复",IF(OR(B1488="",E1488=""),"缺组合/功能",IF(COUNTIFS(Equipment[组合编号],B1488)&lt;&gt;1,"组合编号无效",IF(COUNTIFS(FunctionMatrix[编号],E1488)=0,"功能编号无效",IF(H1488="不适用",IF(J1488="已实测","适用性冲突",IF(I1488="","待补不适用依据","不适用（非实测）")),IF(J1488="阻塞",IF(I1488="","待补阻塞原因","阻塞（非实测）"),IF(J1488&lt;&gt;"已实测",IF(F1488="","待展开路径","未实测"),IF(H1488&lt;&gt;"适用","待确认适用性",IF(INDEX(Equipment[登记状态（自动）],MATCH(B1488,Equipment[组合编号],0))&lt;&gt;"已登记","待补设备组合",IF(AND(F1488&lt;&gt;"",G1488&lt;&gt;"",K1488&lt;&gt;"",L1488&lt;&gt;"",M1488&lt;&gt;"",N1488&lt;&gt;"",ISNUMBER(O1488),O1488&gt;0,P1488&lt;&gt;""),"记录齐全","待补实测记录")))))))))))</x:f>
        <x:v>待展开路径</x:v>
      </x:c>
    </x:row>
    <x:row r="1489" ht="43.5" customHeight="1">
      <x:c r="A1489" s="20" t="str">
        <x:v>REC-01480</x:v>
      </x:c>
      <x:c r="B1489" s="20" t="str">
        <x:v>P3-B4-01</x:v>
      </x:c>
      <x:c r="C1489" s="30" t="str">
        <x:f>IF(B1489="","",IF(COUNTIFS(Equipment[组合编号],B1489)&lt;&gt;1,"组合编号无效",INDEX(Equipment[PLC组],MATCH(B1489,Equipment[组合编号],0))))</x:f>
        <x:v>欧姆龙</x:v>
      </x:c>
      <x:c r="D1489" s="30" t="str">
        <x:f>IF(B1489="","",IF(COUNTIFS(Equipment[组合编号],B1489)&lt;&gt;1,"组合编号无效",INDEX(Equipment[驱动品牌],MATCH(B1489,Equipment[组合编号],0))))</x:f>
        <x:v>Elmo</x:v>
      </x:c>
      <x:c r="E1489" s="20" t="str">
        <x:v>R04</x:v>
      </x:c>
      <x:c r="F1489" s="20"/>
      <x:c r="G1489" s="20"/>
      <x:c r="H1489" s="20" t="str">
        <x:v>待判定</x:v>
      </x:c>
      <x:c r="I1489" s="20"/>
      <x:c r="J1489" s="20" t="str">
        <x:v>未测试</x:v>
      </x:c>
      <x:c r="K1489" s="20"/>
      <x:c r="L1489" s="20"/>
      <x:c r="M1489" s="20"/>
      <x:c r="N1489" s="20"/>
      <x:c r="O1489" s="31"/>
      <x:c r="P1489" s="20"/>
      <x:c r="Q1489" s="20"/>
      <x:c r="R1489" s="20" t="str">
        <x:v>待展开</x:v>
      </x:c>
      <x:c r="S1489" s="20"/>
      <x:c r="T1489" s="31"/>
      <x:c r="U1489" s="30" t="str">
        <x:f>IF(A1489="","缺记录编号",IF(COUNTIFS(PathRecords[记录编号],A1489)&lt;&gt;1,"记录编号重复",IF(OR(B1489="",E1489=""),"缺组合/功能",IF(COUNTIFS(Equipment[组合编号],B1489)&lt;&gt;1,"组合编号无效",IF(COUNTIFS(FunctionMatrix[编号],E1489)=0,"功能编号无效",IF(H1489="不适用",IF(J1489="已实测","适用性冲突",IF(I1489="","待补不适用依据","不适用（非实测）")),IF(J1489="阻塞",IF(I1489="","待补阻塞原因","阻塞（非实测）"),IF(J1489&lt;&gt;"已实测",IF(F1489="","待展开路径","未实测"),IF(H1489&lt;&gt;"适用","待确认适用性",IF(INDEX(Equipment[登记状态（自动）],MATCH(B1489,Equipment[组合编号],0))&lt;&gt;"已登记","待补设备组合",IF(AND(F1489&lt;&gt;"",G1489&lt;&gt;"",K1489&lt;&gt;"",L1489&lt;&gt;"",M1489&lt;&gt;"",N1489&lt;&gt;"",ISNUMBER(O1489),O1489&gt;0,P1489&lt;&gt;""),"记录齐全","待补实测记录")))))))))))</x:f>
        <x:v>待展开路径</x:v>
      </x:c>
    </x:row>
    <x:row r="1490" ht="43.5" customHeight="1">
      <x:c r="A1490" s="20" t="str">
        <x:v>REC-01481</x:v>
      </x:c>
      <x:c r="B1490" s="20" t="str">
        <x:v>P3-B4-01</x:v>
      </x:c>
      <x:c r="C1490" s="30" t="str">
        <x:f>IF(B1490="","",IF(COUNTIFS(Equipment[组合编号],B1490)&lt;&gt;1,"组合编号无效",INDEX(Equipment[PLC组],MATCH(B1490,Equipment[组合编号],0))))</x:f>
        <x:v>欧姆龙</x:v>
      </x:c>
      <x:c r="D1490" s="30" t="str">
        <x:f>IF(B1490="","",IF(COUNTIFS(Equipment[组合编号],B1490)&lt;&gt;1,"组合编号无效",INDEX(Equipment[驱动品牌],MATCH(B1490,Equipment[组合编号],0))))</x:f>
        <x:v>Elmo</x:v>
      </x:c>
      <x:c r="E1490" s="20" t="str">
        <x:v>R05</x:v>
      </x:c>
      <x:c r="F1490" s="20"/>
      <x:c r="G1490" s="20"/>
      <x:c r="H1490" s="20" t="str">
        <x:v>待判定</x:v>
      </x:c>
      <x:c r="I1490" s="20"/>
      <x:c r="J1490" s="20" t="str">
        <x:v>未测试</x:v>
      </x:c>
      <x:c r="K1490" s="20"/>
      <x:c r="L1490" s="20"/>
      <x:c r="M1490" s="20"/>
      <x:c r="N1490" s="20"/>
      <x:c r="O1490" s="31"/>
      <x:c r="P1490" s="20"/>
      <x:c r="Q1490" s="20"/>
      <x:c r="R1490" s="20" t="str">
        <x:v>待展开</x:v>
      </x:c>
      <x:c r="S1490" s="20"/>
      <x:c r="T1490" s="31"/>
      <x:c r="U1490" s="30" t="str">
        <x:f>IF(A1490="","缺记录编号",IF(COUNTIFS(PathRecords[记录编号],A1490)&lt;&gt;1,"记录编号重复",IF(OR(B1490="",E1490=""),"缺组合/功能",IF(COUNTIFS(Equipment[组合编号],B1490)&lt;&gt;1,"组合编号无效",IF(COUNTIFS(FunctionMatrix[编号],E1490)=0,"功能编号无效",IF(H1490="不适用",IF(J1490="已实测","适用性冲突",IF(I1490="","待补不适用依据","不适用（非实测）")),IF(J1490="阻塞",IF(I1490="","待补阻塞原因","阻塞（非实测）"),IF(J1490&lt;&gt;"已实测",IF(F1490="","待展开路径","未实测"),IF(H1490&lt;&gt;"适用","待确认适用性",IF(INDEX(Equipment[登记状态（自动）],MATCH(B1490,Equipment[组合编号],0))&lt;&gt;"已登记","待补设备组合",IF(AND(F1490&lt;&gt;"",G1490&lt;&gt;"",K1490&lt;&gt;"",L1490&lt;&gt;"",M1490&lt;&gt;"",N1490&lt;&gt;"",ISNUMBER(O1490),O1490&gt;0,P1490&lt;&gt;""),"记录齐全","待补实测记录")))))))))))</x:f>
        <x:v>待展开路径</x:v>
      </x:c>
    </x:row>
    <x:row r="1491" ht="43.5" customHeight="1">
      <x:c r="A1491" s="20" t="str">
        <x:v>REC-01482</x:v>
      </x:c>
      <x:c r="B1491" s="20" t="str">
        <x:v>P3-B4-01</x:v>
      </x:c>
      <x:c r="C1491" s="30" t="str">
        <x:f>IF(B1491="","",IF(COUNTIFS(Equipment[组合编号],B1491)&lt;&gt;1,"组合编号无效",INDEX(Equipment[PLC组],MATCH(B1491,Equipment[组合编号],0))))</x:f>
        <x:v>欧姆龙</x:v>
      </x:c>
      <x:c r="D1491" s="30" t="str">
        <x:f>IF(B1491="","",IF(COUNTIFS(Equipment[组合编号],B1491)&lt;&gt;1,"组合编号无效",INDEX(Equipment[驱动品牌],MATCH(B1491,Equipment[组合编号],0))))</x:f>
        <x:v>Elmo</x:v>
      </x:c>
      <x:c r="E1491" s="20" t="str">
        <x:v>R06</x:v>
      </x:c>
      <x:c r="F1491" s="20"/>
      <x:c r="G1491" s="20"/>
      <x:c r="H1491" s="20" t="str">
        <x:v>待判定</x:v>
      </x:c>
      <x:c r="I1491" s="20"/>
      <x:c r="J1491" s="20" t="str">
        <x:v>未测试</x:v>
      </x:c>
      <x:c r="K1491" s="20"/>
      <x:c r="L1491" s="20"/>
      <x:c r="M1491" s="20"/>
      <x:c r="N1491" s="20"/>
      <x:c r="O1491" s="31"/>
      <x:c r="P1491" s="20"/>
      <x:c r="Q1491" s="20"/>
      <x:c r="R1491" s="20" t="str">
        <x:v>待展开</x:v>
      </x:c>
      <x:c r="S1491" s="20"/>
      <x:c r="T1491" s="31"/>
      <x:c r="U1491" s="30" t="str">
        <x:f>IF(A1491="","缺记录编号",IF(COUNTIFS(PathRecords[记录编号],A1491)&lt;&gt;1,"记录编号重复",IF(OR(B1491="",E1491=""),"缺组合/功能",IF(COUNTIFS(Equipment[组合编号],B1491)&lt;&gt;1,"组合编号无效",IF(COUNTIFS(FunctionMatrix[编号],E1491)=0,"功能编号无效",IF(H1491="不适用",IF(J1491="已实测","适用性冲突",IF(I1491="","待补不适用依据","不适用（非实测）")),IF(J1491="阻塞",IF(I1491="","待补阻塞原因","阻塞（非实测）"),IF(J1491&lt;&gt;"已实测",IF(F1491="","待展开路径","未实测"),IF(H1491&lt;&gt;"适用","待确认适用性",IF(INDEX(Equipment[登记状态（自动）],MATCH(B1491,Equipment[组合编号],0))&lt;&gt;"已登记","待补设备组合",IF(AND(F1491&lt;&gt;"",G1491&lt;&gt;"",K1491&lt;&gt;"",L1491&lt;&gt;"",M1491&lt;&gt;"",N1491&lt;&gt;"",ISNUMBER(O1491),O1491&gt;0,P1491&lt;&gt;""),"记录齐全","待补实测记录")))))))))))</x:f>
        <x:v>待展开路径</x:v>
      </x:c>
    </x:row>
    <x:row r="1492" ht="43.5" customHeight="1">
      <x:c r="A1492" s="20" t="str">
        <x:v>REC-01483</x:v>
      </x:c>
      <x:c r="B1492" s="20" t="str">
        <x:v>P3-B4-01</x:v>
      </x:c>
      <x:c r="C1492" s="30" t="str">
        <x:f>IF(B1492="","",IF(COUNTIFS(Equipment[组合编号],B1492)&lt;&gt;1,"组合编号无效",INDEX(Equipment[PLC组],MATCH(B1492,Equipment[组合编号],0))))</x:f>
        <x:v>欧姆龙</x:v>
      </x:c>
      <x:c r="D1492" s="30" t="str">
        <x:f>IF(B1492="","",IF(COUNTIFS(Equipment[组合编号],B1492)&lt;&gt;1,"组合编号无效",INDEX(Equipment[驱动品牌],MATCH(B1492,Equipment[组合编号],0))))</x:f>
        <x:v>Elmo</x:v>
      </x:c>
      <x:c r="E1492" s="20" t="str">
        <x:v>R07</x:v>
      </x:c>
      <x:c r="F1492" s="20"/>
      <x:c r="G1492" s="20"/>
      <x:c r="H1492" s="20" t="str">
        <x:v>待判定</x:v>
      </x:c>
      <x:c r="I1492" s="20"/>
      <x:c r="J1492" s="20" t="str">
        <x:v>未测试</x:v>
      </x:c>
      <x:c r="K1492" s="20"/>
      <x:c r="L1492" s="20"/>
      <x:c r="M1492" s="20"/>
      <x:c r="N1492" s="20"/>
      <x:c r="O1492" s="31"/>
      <x:c r="P1492" s="20"/>
      <x:c r="Q1492" s="20"/>
      <x:c r="R1492" s="20" t="str">
        <x:v>待展开</x:v>
      </x:c>
      <x:c r="S1492" s="20"/>
      <x:c r="T1492" s="31"/>
      <x:c r="U1492" s="30" t="str">
        <x:f>IF(A1492="","缺记录编号",IF(COUNTIFS(PathRecords[记录编号],A1492)&lt;&gt;1,"记录编号重复",IF(OR(B1492="",E1492=""),"缺组合/功能",IF(COUNTIFS(Equipment[组合编号],B1492)&lt;&gt;1,"组合编号无效",IF(COUNTIFS(FunctionMatrix[编号],E1492)=0,"功能编号无效",IF(H1492="不适用",IF(J1492="已实测","适用性冲突",IF(I1492="","待补不适用依据","不适用（非实测）")),IF(J1492="阻塞",IF(I1492="","待补阻塞原因","阻塞（非实测）"),IF(J1492&lt;&gt;"已实测",IF(F1492="","待展开路径","未实测"),IF(H1492&lt;&gt;"适用","待确认适用性",IF(INDEX(Equipment[登记状态（自动）],MATCH(B1492,Equipment[组合编号],0))&lt;&gt;"已登记","待补设备组合",IF(AND(F1492&lt;&gt;"",G1492&lt;&gt;"",K1492&lt;&gt;"",L1492&lt;&gt;"",M1492&lt;&gt;"",N1492&lt;&gt;"",ISNUMBER(O1492),O1492&gt;0,P1492&lt;&gt;""),"记录齐全","待补实测记录")))))))))))</x:f>
        <x:v>待展开路径</x:v>
      </x:c>
    </x:row>
    <x:row r="1493" ht="43.5" customHeight="1">
      <x:c r="A1493" s="20" t="str">
        <x:v>REC-01484</x:v>
      </x:c>
      <x:c r="B1493" s="20" t="str">
        <x:v>P3-B4-01</x:v>
      </x:c>
      <x:c r="C1493" s="30" t="str">
        <x:f>IF(B1493="","",IF(COUNTIFS(Equipment[组合编号],B1493)&lt;&gt;1,"组合编号无效",INDEX(Equipment[PLC组],MATCH(B1493,Equipment[组合编号],0))))</x:f>
        <x:v>欧姆龙</x:v>
      </x:c>
      <x:c r="D1493" s="30" t="str">
        <x:f>IF(B1493="","",IF(COUNTIFS(Equipment[组合编号],B1493)&lt;&gt;1,"组合编号无效",INDEX(Equipment[驱动品牌],MATCH(B1493,Equipment[组合编号],0))))</x:f>
        <x:v>Elmo</x:v>
      </x:c>
      <x:c r="E1493" s="20" t="str">
        <x:v>R08</x:v>
      </x:c>
      <x:c r="F1493" s="20"/>
      <x:c r="G1493" s="20"/>
      <x:c r="H1493" s="20" t="str">
        <x:v>待判定</x:v>
      </x:c>
      <x:c r="I1493" s="20"/>
      <x:c r="J1493" s="20" t="str">
        <x:v>未测试</x:v>
      </x:c>
      <x:c r="K1493" s="20"/>
      <x:c r="L1493" s="20"/>
      <x:c r="M1493" s="20"/>
      <x:c r="N1493" s="20"/>
      <x:c r="O1493" s="31"/>
      <x:c r="P1493" s="20"/>
      <x:c r="Q1493" s="20"/>
      <x:c r="R1493" s="20" t="str">
        <x:v>待展开</x:v>
      </x:c>
      <x:c r="S1493" s="20"/>
      <x:c r="T1493" s="31"/>
      <x:c r="U1493" s="30" t="str">
        <x:f>IF(A1493="","缺记录编号",IF(COUNTIFS(PathRecords[记录编号],A1493)&lt;&gt;1,"记录编号重复",IF(OR(B1493="",E1493=""),"缺组合/功能",IF(COUNTIFS(Equipment[组合编号],B1493)&lt;&gt;1,"组合编号无效",IF(COUNTIFS(FunctionMatrix[编号],E1493)=0,"功能编号无效",IF(H1493="不适用",IF(J1493="已实测","适用性冲突",IF(I1493="","待补不适用依据","不适用（非实测）")),IF(J1493="阻塞",IF(I1493="","待补阻塞原因","阻塞（非实测）"),IF(J1493&lt;&gt;"已实测",IF(F1493="","待展开路径","未实测"),IF(H1493&lt;&gt;"适用","待确认适用性",IF(INDEX(Equipment[登记状态（自动）],MATCH(B1493,Equipment[组合编号],0))&lt;&gt;"已登记","待补设备组合",IF(AND(F1493&lt;&gt;"",G1493&lt;&gt;"",K1493&lt;&gt;"",L1493&lt;&gt;"",M1493&lt;&gt;"",N1493&lt;&gt;"",ISNUMBER(O1493),O1493&gt;0,P1493&lt;&gt;""),"记录齐全","待补实测记录")))))))))))</x:f>
        <x:v>待展开路径</x:v>
      </x:c>
    </x:row>
    <x:row r="1494" ht="43.5" customHeight="1">
      <x:c r="A1494" s="20" t="str">
        <x:v>REC-01485</x:v>
      </x:c>
      <x:c r="B1494" s="20" t="str">
        <x:v>P3-B5-01</x:v>
      </x:c>
      <x:c r="C1494" s="30" t="str">
        <x:f>IF(B1494="","",IF(COUNTIFS(Equipment[组合编号],B1494)&lt;&gt;1,"组合编号无效",INDEX(Equipment[PLC组],MATCH(B1494,Equipment[组合编号],0))))</x:f>
        <x:v>欧姆龙</x:v>
      </x:c>
      <x:c r="D1494" s="30" t="str">
        <x:f>IF(B1494="","",IF(COUNTIFS(Equipment[组合编号],B1494)&lt;&gt;1,"组合编号无效",INDEX(Equipment[驱动品牌],MATCH(B1494,Equipment[组合编号],0))))</x:f>
        <x:v>KEBA（可选）</x:v>
      </x:c>
      <x:c r="E1494" s="20" t="str">
        <x:v>M01</x:v>
      </x:c>
      <x:c r="F1494" s="20"/>
      <x:c r="G1494" s="20"/>
      <x:c r="H1494" s="20" t="str">
        <x:v>待判定</x:v>
      </x:c>
      <x:c r="I1494" s="20"/>
      <x:c r="J1494" s="20" t="str">
        <x:v>未测试</x:v>
      </x:c>
      <x:c r="K1494" s="20"/>
      <x:c r="L1494" s="20"/>
      <x:c r="M1494" s="20"/>
      <x:c r="N1494" s="20"/>
      <x:c r="O1494" s="31"/>
      <x:c r="P1494" s="20"/>
      <x:c r="Q1494" s="20"/>
      <x:c r="R1494" s="20" t="str">
        <x:v>待展开</x:v>
      </x:c>
      <x:c r="S1494" s="20"/>
      <x:c r="T1494" s="31"/>
      <x:c r="U1494" s="30" t="str">
        <x:f>IF(A1494="","缺记录编号",IF(COUNTIFS(PathRecords[记录编号],A1494)&lt;&gt;1,"记录编号重复",IF(OR(B1494="",E1494=""),"缺组合/功能",IF(COUNTIFS(Equipment[组合编号],B1494)&lt;&gt;1,"组合编号无效",IF(COUNTIFS(FunctionMatrix[编号],E1494)=0,"功能编号无效",IF(H1494="不适用",IF(J1494="已实测","适用性冲突",IF(I1494="","待补不适用依据","不适用（非实测）")),IF(J1494="阻塞",IF(I1494="","待补阻塞原因","阻塞（非实测）"),IF(J1494&lt;&gt;"已实测",IF(F1494="","待展开路径","未实测"),IF(H1494&lt;&gt;"适用","待确认适用性",IF(INDEX(Equipment[登记状态（自动）],MATCH(B1494,Equipment[组合编号],0))&lt;&gt;"已登记","待补设备组合",IF(AND(F1494&lt;&gt;"",G1494&lt;&gt;"",K1494&lt;&gt;"",L1494&lt;&gt;"",M1494&lt;&gt;"",N1494&lt;&gt;"",ISNUMBER(O1494),O1494&gt;0,P1494&lt;&gt;""),"记录齐全","待补实测记录")))))))))))</x:f>
        <x:v>待展开路径</x:v>
      </x:c>
    </x:row>
    <x:row r="1495" ht="43.5" customHeight="1">
      <x:c r="A1495" s="20" t="str">
        <x:v>REC-01486</x:v>
      </x:c>
      <x:c r="B1495" s="20" t="str">
        <x:v>P3-B5-01</x:v>
      </x:c>
      <x:c r="C1495" s="30" t="str">
        <x:f>IF(B1495="","",IF(COUNTIFS(Equipment[组合编号],B1495)&lt;&gt;1,"组合编号无效",INDEX(Equipment[PLC组],MATCH(B1495,Equipment[组合编号],0))))</x:f>
        <x:v>欧姆龙</x:v>
      </x:c>
      <x:c r="D1495" s="30" t="str">
        <x:f>IF(B1495="","",IF(COUNTIFS(Equipment[组合编号],B1495)&lt;&gt;1,"组合编号无效",INDEX(Equipment[驱动品牌],MATCH(B1495,Equipment[组合编号],0))))</x:f>
        <x:v>KEBA（可选）</x:v>
      </x:c>
      <x:c r="E1495" s="20" t="str">
        <x:v>M02</x:v>
      </x:c>
      <x:c r="F1495" s="20"/>
      <x:c r="G1495" s="20"/>
      <x:c r="H1495" s="20" t="str">
        <x:v>待判定</x:v>
      </x:c>
      <x:c r="I1495" s="20"/>
      <x:c r="J1495" s="20" t="str">
        <x:v>未测试</x:v>
      </x:c>
      <x:c r="K1495" s="20"/>
      <x:c r="L1495" s="20"/>
      <x:c r="M1495" s="20"/>
      <x:c r="N1495" s="20"/>
      <x:c r="O1495" s="31"/>
      <x:c r="P1495" s="20"/>
      <x:c r="Q1495" s="20"/>
      <x:c r="R1495" s="20" t="str">
        <x:v>待展开</x:v>
      </x:c>
      <x:c r="S1495" s="20"/>
      <x:c r="T1495" s="31"/>
      <x:c r="U1495" s="30" t="str">
        <x:f>IF(A1495="","缺记录编号",IF(COUNTIFS(PathRecords[记录编号],A1495)&lt;&gt;1,"记录编号重复",IF(OR(B1495="",E1495=""),"缺组合/功能",IF(COUNTIFS(Equipment[组合编号],B1495)&lt;&gt;1,"组合编号无效",IF(COUNTIFS(FunctionMatrix[编号],E1495)=0,"功能编号无效",IF(H1495="不适用",IF(J1495="已实测","适用性冲突",IF(I1495="","待补不适用依据","不适用（非实测）")),IF(J1495="阻塞",IF(I1495="","待补阻塞原因","阻塞（非实测）"),IF(J1495&lt;&gt;"已实测",IF(F1495="","待展开路径","未实测"),IF(H1495&lt;&gt;"适用","待确认适用性",IF(INDEX(Equipment[登记状态（自动）],MATCH(B1495,Equipment[组合编号],0))&lt;&gt;"已登记","待补设备组合",IF(AND(F1495&lt;&gt;"",G1495&lt;&gt;"",K1495&lt;&gt;"",L1495&lt;&gt;"",M1495&lt;&gt;"",N1495&lt;&gt;"",ISNUMBER(O1495),O1495&gt;0,P1495&lt;&gt;""),"记录齐全","待补实测记录")))))))))))</x:f>
        <x:v>待展开路径</x:v>
      </x:c>
    </x:row>
    <x:row r="1496" ht="43.5" customHeight="1">
      <x:c r="A1496" s="20" t="str">
        <x:v>REC-01487</x:v>
      </x:c>
      <x:c r="B1496" s="20" t="str">
        <x:v>P3-B5-01</x:v>
      </x:c>
      <x:c r="C1496" s="30" t="str">
        <x:f>IF(B1496="","",IF(COUNTIFS(Equipment[组合编号],B1496)&lt;&gt;1,"组合编号无效",INDEX(Equipment[PLC组],MATCH(B1496,Equipment[组合编号],0))))</x:f>
        <x:v>欧姆龙</x:v>
      </x:c>
      <x:c r="D1496" s="30" t="str">
        <x:f>IF(B1496="","",IF(COUNTIFS(Equipment[组合编号],B1496)&lt;&gt;1,"组合编号无效",INDEX(Equipment[驱动品牌],MATCH(B1496,Equipment[组合编号],0))))</x:f>
        <x:v>KEBA（可选）</x:v>
      </x:c>
      <x:c r="E1496" s="20" t="str">
        <x:v>M03</x:v>
      </x:c>
      <x:c r="F1496" s="20"/>
      <x:c r="G1496" s="20"/>
      <x:c r="H1496" s="20" t="str">
        <x:v>待判定</x:v>
      </x:c>
      <x:c r="I1496" s="20"/>
      <x:c r="J1496" s="20" t="str">
        <x:v>未测试</x:v>
      </x:c>
      <x:c r="K1496" s="20"/>
      <x:c r="L1496" s="20"/>
      <x:c r="M1496" s="20"/>
      <x:c r="N1496" s="20"/>
      <x:c r="O1496" s="31"/>
      <x:c r="P1496" s="20"/>
      <x:c r="Q1496" s="20"/>
      <x:c r="R1496" s="20" t="str">
        <x:v>待展开</x:v>
      </x:c>
      <x:c r="S1496" s="20"/>
      <x:c r="T1496" s="31"/>
      <x:c r="U1496" s="30" t="str">
        <x:f>IF(A1496="","缺记录编号",IF(COUNTIFS(PathRecords[记录编号],A1496)&lt;&gt;1,"记录编号重复",IF(OR(B1496="",E1496=""),"缺组合/功能",IF(COUNTIFS(Equipment[组合编号],B1496)&lt;&gt;1,"组合编号无效",IF(COUNTIFS(FunctionMatrix[编号],E1496)=0,"功能编号无效",IF(H1496="不适用",IF(J1496="已实测","适用性冲突",IF(I1496="","待补不适用依据","不适用（非实测）")),IF(J1496="阻塞",IF(I1496="","待补阻塞原因","阻塞（非实测）"),IF(J1496&lt;&gt;"已实测",IF(F1496="","待展开路径","未实测"),IF(H1496&lt;&gt;"适用","待确认适用性",IF(INDEX(Equipment[登记状态（自动）],MATCH(B1496,Equipment[组合编号],0))&lt;&gt;"已登记","待补设备组合",IF(AND(F1496&lt;&gt;"",G1496&lt;&gt;"",K1496&lt;&gt;"",L1496&lt;&gt;"",M1496&lt;&gt;"",N1496&lt;&gt;"",ISNUMBER(O1496),O1496&gt;0,P1496&lt;&gt;""),"记录齐全","待补实测记录")))))))))))</x:f>
        <x:v>待展开路径</x:v>
      </x:c>
    </x:row>
    <x:row r="1497" ht="43.5" customHeight="1">
      <x:c r="A1497" s="20" t="str">
        <x:v>REC-01488</x:v>
      </x:c>
      <x:c r="B1497" s="20" t="str">
        <x:v>P3-B5-01</x:v>
      </x:c>
      <x:c r="C1497" s="30" t="str">
        <x:f>IF(B1497="","",IF(COUNTIFS(Equipment[组合编号],B1497)&lt;&gt;1,"组合编号无效",INDEX(Equipment[PLC组],MATCH(B1497,Equipment[组合编号],0))))</x:f>
        <x:v>欧姆龙</x:v>
      </x:c>
      <x:c r="D1497" s="30" t="str">
        <x:f>IF(B1497="","",IF(COUNTIFS(Equipment[组合编号],B1497)&lt;&gt;1,"组合编号无效",INDEX(Equipment[驱动品牌],MATCH(B1497,Equipment[组合编号],0))))</x:f>
        <x:v>KEBA（可选）</x:v>
      </x:c>
      <x:c r="E1497" s="20" t="str">
        <x:v>M04</x:v>
      </x:c>
      <x:c r="F1497" s="20"/>
      <x:c r="G1497" s="20"/>
      <x:c r="H1497" s="20" t="str">
        <x:v>待判定</x:v>
      </x:c>
      <x:c r="I1497" s="20"/>
      <x:c r="J1497" s="20" t="str">
        <x:v>未测试</x:v>
      </x:c>
      <x:c r="K1497" s="20"/>
      <x:c r="L1497" s="20"/>
      <x:c r="M1497" s="20"/>
      <x:c r="N1497" s="20"/>
      <x:c r="O1497" s="31"/>
      <x:c r="P1497" s="20"/>
      <x:c r="Q1497" s="20"/>
      <x:c r="R1497" s="20" t="str">
        <x:v>待展开</x:v>
      </x:c>
      <x:c r="S1497" s="20"/>
      <x:c r="T1497" s="31"/>
      <x:c r="U1497" s="30" t="str">
        <x:f>IF(A1497="","缺记录编号",IF(COUNTIFS(PathRecords[记录编号],A1497)&lt;&gt;1,"记录编号重复",IF(OR(B1497="",E1497=""),"缺组合/功能",IF(COUNTIFS(Equipment[组合编号],B1497)&lt;&gt;1,"组合编号无效",IF(COUNTIFS(FunctionMatrix[编号],E1497)=0,"功能编号无效",IF(H1497="不适用",IF(J1497="已实测","适用性冲突",IF(I1497="","待补不适用依据","不适用（非实测）")),IF(J1497="阻塞",IF(I1497="","待补阻塞原因","阻塞（非实测）"),IF(J1497&lt;&gt;"已实测",IF(F1497="","待展开路径","未实测"),IF(H1497&lt;&gt;"适用","待确认适用性",IF(INDEX(Equipment[登记状态（自动）],MATCH(B1497,Equipment[组合编号],0))&lt;&gt;"已登记","待补设备组合",IF(AND(F1497&lt;&gt;"",G1497&lt;&gt;"",K1497&lt;&gt;"",L1497&lt;&gt;"",M1497&lt;&gt;"",N1497&lt;&gt;"",ISNUMBER(O1497),O1497&gt;0,P1497&lt;&gt;""),"记录齐全","待补实测记录")))))))))))</x:f>
        <x:v>待展开路径</x:v>
      </x:c>
    </x:row>
    <x:row r="1498" ht="43.5" customHeight="1">
      <x:c r="A1498" s="20" t="str">
        <x:v>REC-01489</x:v>
      </x:c>
      <x:c r="B1498" s="20" t="str">
        <x:v>P3-B5-01</x:v>
      </x:c>
      <x:c r="C1498" s="30" t="str">
        <x:f>IF(B1498="","",IF(COUNTIFS(Equipment[组合编号],B1498)&lt;&gt;1,"组合编号无效",INDEX(Equipment[PLC组],MATCH(B1498,Equipment[组合编号],0))))</x:f>
        <x:v>欧姆龙</x:v>
      </x:c>
      <x:c r="D1498" s="30" t="str">
        <x:f>IF(B1498="","",IF(COUNTIFS(Equipment[组合编号],B1498)&lt;&gt;1,"组合编号无效",INDEX(Equipment[驱动品牌],MATCH(B1498,Equipment[组合编号],0))))</x:f>
        <x:v>KEBA（可选）</x:v>
      </x:c>
      <x:c r="E1498" s="20" t="str">
        <x:v>M05</x:v>
      </x:c>
      <x:c r="F1498" s="20"/>
      <x:c r="G1498" s="20"/>
      <x:c r="H1498" s="20" t="str">
        <x:v>待判定</x:v>
      </x:c>
      <x:c r="I1498" s="20"/>
      <x:c r="J1498" s="20" t="str">
        <x:v>未测试</x:v>
      </x:c>
      <x:c r="K1498" s="20"/>
      <x:c r="L1498" s="20"/>
      <x:c r="M1498" s="20"/>
      <x:c r="N1498" s="20"/>
      <x:c r="O1498" s="31"/>
      <x:c r="P1498" s="20"/>
      <x:c r="Q1498" s="20"/>
      <x:c r="R1498" s="20" t="str">
        <x:v>待展开</x:v>
      </x:c>
      <x:c r="S1498" s="20"/>
      <x:c r="T1498" s="31"/>
      <x:c r="U1498" s="30" t="str">
        <x:f>IF(A1498="","缺记录编号",IF(COUNTIFS(PathRecords[记录编号],A1498)&lt;&gt;1,"记录编号重复",IF(OR(B1498="",E1498=""),"缺组合/功能",IF(COUNTIFS(Equipment[组合编号],B1498)&lt;&gt;1,"组合编号无效",IF(COUNTIFS(FunctionMatrix[编号],E1498)=0,"功能编号无效",IF(H1498="不适用",IF(J1498="已实测","适用性冲突",IF(I1498="","待补不适用依据","不适用（非实测）")),IF(J1498="阻塞",IF(I1498="","待补阻塞原因","阻塞（非实测）"),IF(J1498&lt;&gt;"已实测",IF(F1498="","待展开路径","未实测"),IF(H1498&lt;&gt;"适用","待确认适用性",IF(INDEX(Equipment[登记状态（自动）],MATCH(B1498,Equipment[组合编号],0))&lt;&gt;"已登记","待补设备组合",IF(AND(F1498&lt;&gt;"",G1498&lt;&gt;"",K1498&lt;&gt;"",L1498&lt;&gt;"",M1498&lt;&gt;"",N1498&lt;&gt;"",ISNUMBER(O1498),O1498&gt;0,P1498&lt;&gt;""),"记录齐全","待补实测记录")))))))))))</x:f>
        <x:v>待展开路径</x:v>
      </x:c>
    </x:row>
    <x:row r="1499" ht="43.5" customHeight="1">
      <x:c r="A1499" s="20" t="str">
        <x:v>REC-01490</x:v>
      </x:c>
      <x:c r="B1499" s="20" t="str">
        <x:v>P3-B5-01</x:v>
      </x:c>
      <x:c r="C1499" s="30" t="str">
        <x:f>IF(B1499="","",IF(COUNTIFS(Equipment[组合编号],B1499)&lt;&gt;1,"组合编号无效",INDEX(Equipment[PLC组],MATCH(B1499,Equipment[组合编号],0))))</x:f>
        <x:v>欧姆龙</x:v>
      </x:c>
      <x:c r="D1499" s="30" t="str">
        <x:f>IF(B1499="","",IF(COUNTIFS(Equipment[组合编号],B1499)&lt;&gt;1,"组合编号无效",INDEX(Equipment[驱动品牌],MATCH(B1499,Equipment[组合编号],0))))</x:f>
        <x:v>KEBA（可选）</x:v>
      </x:c>
      <x:c r="E1499" s="20" t="str">
        <x:v>M06</x:v>
      </x:c>
      <x:c r="F1499" s="20"/>
      <x:c r="G1499" s="20"/>
      <x:c r="H1499" s="20" t="str">
        <x:v>待判定</x:v>
      </x:c>
      <x:c r="I1499" s="20"/>
      <x:c r="J1499" s="20" t="str">
        <x:v>未测试</x:v>
      </x:c>
      <x:c r="K1499" s="20"/>
      <x:c r="L1499" s="20"/>
      <x:c r="M1499" s="20"/>
      <x:c r="N1499" s="20"/>
      <x:c r="O1499" s="31"/>
      <x:c r="P1499" s="20"/>
      <x:c r="Q1499" s="20"/>
      <x:c r="R1499" s="20" t="str">
        <x:v>待展开</x:v>
      </x:c>
      <x:c r="S1499" s="20"/>
      <x:c r="T1499" s="31"/>
      <x:c r="U1499" s="30" t="str">
        <x:f>IF(A1499="","缺记录编号",IF(COUNTIFS(PathRecords[记录编号],A1499)&lt;&gt;1,"记录编号重复",IF(OR(B1499="",E1499=""),"缺组合/功能",IF(COUNTIFS(Equipment[组合编号],B1499)&lt;&gt;1,"组合编号无效",IF(COUNTIFS(FunctionMatrix[编号],E1499)=0,"功能编号无效",IF(H1499="不适用",IF(J1499="已实测","适用性冲突",IF(I1499="","待补不适用依据","不适用（非实测）")),IF(J1499="阻塞",IF(I1499="","待补阻塞原因","阻塞（非实测）"),IF(J1499&lt;&gt;"已实测",IF(F1499="","待展开路径","未实测"),IF(H1499&lt;&gt;"适用","待确认适用性",IF(INDEX(Equipment[登记状态（自动）],MATCH(B1499,Equipment[组合编号],0))&lt;&gt;"已登记","待补设备组合",IF(AND(F1499&lt;&gt;"",G1499&lt;&gt;"",K1499&lt;&gt;"",L1499&lt;&gt;"",M1499&lt;&gt;"",N1499&lt;&gt;"",ISNUMBER(O1499),O1499&gt;0,P1499&lt;&gt;""),"记录齐全","待补实测记录")))))))))))</x:f>
        <x:v>待展开路径</x:v>
      </x:c>
    </x:row>
    <x:row r="1500" ht="43.5" customHeight="1">
      <x:c r="A1500" s="20" t="str">
        <x:v>REC-01491</x:v>
      </x:c>
      <x:c r="B1500" s="20" t="str">
        <x:v>P3-B5-01</x:v>
      </x:c>
      <x:c r="C1500" s="30" t="str">
        <x:f>IF(B1500="","",IF(COUNTIFS(Equipment[组合编号],B1500)&lt;&gt;1,"组合编号无效",INDEX(Equipment[PLC组],MATCH(B1500,Equipment[组合编号],0))))</x:f>
        <x:v>欧姆龙</x:v>
      </x:c>
      <x:c r="D1500" s="30" t="str">
        <x:f>IF(B1500="","",IF(COUNTIFS(Equipment[组合编号],B1500)&lt;&gt;1,"组合编号无效",INDEX(Equipment[驱动品牌],MATCH(B1500,Equipment[组合编号],0))))</x:f>
        <x:v>KEBA（可选）</x:v>
      </x:c>
      <x:c r="E1500" s="20" t="str">
        <x:v>M07</x:v>
      </x:c>
      <x:c r="F1500" s="20"/>
      <x:c r="G1500" s="20"/>
      <x:c r="H1500" s="20" t="str">
        <x:v>待判定</x:v>
      </x:c>
      <x:c r="I1500" s="20"/>
      <x:c r="J1500" s="20" t="str">
        <x:v>未测试</x:v>
      </x:c>
      <x:c r="K1500" s="20"/>
      <x:c r="L1500" s="20"/>
      <x:c r="M1500" s="20"/>
      <x:c r="N1500" s="20"/>
      <x:c r="O1500" s="31"/>
      <x:c r="P1500" s="20"/>
      <x:c r="Q1500" s="20"/>
      <x:c r="R1500" s="20" t="str">
        <x:v>待展开</x:v>
      </x:c>
      <x:c r="S1500" s="20"/>
      <x:c r="T1500" s="31"/>
      <x:c r="U1500" s="30" t="str">
        <x:f>IF(A1500="","缺记录编号",IF(COUNTIFS(PathRecords[记录编号],A1500)&lt;&gt;1,"记录编号重复",IF(OR(B1500="",E1500=""),"缺组合/功能",IF(COUNTIFS(Equipment[组合编号],B1500)&lt;&gt;1,"组合编号无效",IF(COUNTIFS(FunctionMatrix[编号],E1500)=0,"功能编号无效",IF(H1500="不适用",IF(J1500="已实测","适用性冲突",IF(I1500="","待补不适用依据","不适用（非实测）")),IF(J1500="阻塞",IF(I1500="","待补阻塞原因","阻塞（非实测）"),IF(J1500&lt;&gt;"已实测",IF(F1500="","待展开路径","未实测"),IF(H1500&lt;&gt;"适用","待确认适用性",IF(INDEX(Equipment[登记状态（自动）],MATCH(B1500,Equipment[组合编号],0))&lt;&gt;"已登记","待补设备组合",IF(AND(F1500&lt;&gt;"",G1500&lt;&gt;"",K1500&lt;&gt;"",L1500&lt;&gt;"",M1500&lt;&gt;"",N1500&lt;&gt;"",ISNUMBER(O1500),O1500&gt;0,P1500&lt;&gt;""),"记录齐全","待补实测记录")))))))))))</x:f>
        <x:v>待展开路径</x:v>
      </x:c>
    </x:row>
    <x:row r="1501" ht="43.5" customHeight="1">
      <x:c r="A1501" s="20" t="str">
        <x:v>REC-01492</x:v>
      </x:c>
      <x:c r="B1501" s="20" t="str">
        <x:v>P3-B5-01</x:v>
      </x:c>
      <x:c r="C1501" s="30" t="str">
        <x:f>IF(B1501="","",IF(COUNTIFS(Equipment[组合编号],B1501)&lt;&gt;1,"组合编号无效",INDEX(Equipment[PLC组],MATCH(B1501,Equipment[组合编号],0))))</x:f>
        <x:v>欧姆龙</x:v>
      </x:c>
      <x:c r="D1501" s="30" t="str">
        <x:f>IF(B1501="","",IF(COUNTIFS(Equipment[组合编号],B1501)&lt;&gt;1,"组合编号无效",INDEX(Equipment[驱动品牌],MATCH(B1501,Equipment[组合编号],0))))</x:f>
        <x:v>KEBA（可选）</x:v>
      </x:c>
      <x:c r="E1501" s="20" t="str">
        <x:v>M09</x:v>
      </x:c>
      <x:c r="F1501" s="20"/>
      <x:c r="G1501" s="20"/>
      <x:c r="H1501" s="20" t="str">
        <x:v>待判定</x:v>
      </x:c>
      <x:c r="I1501" s="20"/>
      <x:c r="J1501" s="20" t="str">
        <x:v>未测试</x:v>
      </x:c>
      <x:c r="K1501" s="20"/>
      <x:c r="L1501" s="20"/>
      <x:c r="M1501" s="20"/>
      <x:c r="N1501" s="20"/>
      <x:c r="O1501" s="31"/>
      <x:c r="P1501" s="20"/>
      <x:c r="Q1501" s="20"/>
      <x:c r="R1501" s="20" t="str">
        <x:v>待展开</x:v>
      </x:c>
      <x:c r="S1501" s="20"/>
      <x:c r="T1501" s="31"/>
      <x:c r="U1501" s="30" t="str">
        <x:f>IF(A1501="","缺记录编号",IF(COUNTIFS(PathRecords[记录编号],A1501)&lt;&gt;1,"记录编号重复",IF(OR(B1501="",E1501=""),"缺组合/功能",IF(COUNTIFS(Equipment[组合编号],B1501)&lt;&gt;1,"组合编号无效",IF(COUNTIFS(FunctionMatrix[编号],E1501)=0,"功能编号无效",IF(H1501="不适用",IF(J1501="已实测","适用性冲突",IF(I1501="","待补不适用依据","不适用（非实测）")),IF(J1501="阻塞",IF(I1501="","待补阻塞原因","阻塞（非实测）"),IF(J1501&lt;&gt;"已实测",IF(F1501="","待展开路径","未实测"),IF(H1501&lt;&gt;"适用","待确认适用性",IF(INDEX(Equipment[登记状态（自动）],MATCH(B1501,Equipment[组合编号],0))&lt;&gt;"已登记","待补设备组合",IF(AND(F1501&lt;&gt;"",G1501&lt;&gt;"",K1501&lt;&gt;"",L1501&lt;&gt;"",M1501&lt;&gt;"",N1501&lt;&gt;"",ISNUMBER(O1501),O1501&gt;0,P1501&lt;&gt;""),"记录齐全","待补实测记录")))))))))))</x:f>
        <x:v>待展开路径</x:v>
      </x:c>
    </x:row>
    <x:row r="1502" ht="43.5" customHeight="1">
      <x:c r="A1502" s="20" t="str">
        <x:v>REC-01493</x:v>
      </x:c>
      <x:c r="B1502" s="20" t="str">
        <x:v>P3-B5-01</x:v>
      </x:c>
      <x:c r="C1502" s="30" t="str">
        <x:f>IF(B1502="","",IF(COUNTIFS(Equipment[组合编号],B1502)&lt;&gt;1,"组合编号无效",INDEX(Equipment[PLC组],MATCH(B1502,Equipment[组合编号],0))))</x:f>
        <x:v>欧姆龙</x:v>
      </x:c>
      <x:c r="D1502" s="30" t="str">
        <x:f>IF(B1502="","",IF(COUNTIFS(Equipment[组合编号],B1502)&lt;&gt;1,"组合编号无效",INDEX(Equipment[驱动品牌],MATCH(B1502,Equipment[组合编号],0))))</x:f>
        <x:v>KEBA（可选）</x:v>
      </x:c>
      <x:c r="E1502" s="20" t="str">
        <x:v>M10</x:v>
      </x:c>
      <x:c r="F1502" s="20"/>
      <x:c r="G1502" s="20"/>
      <x:c r="H1502" s="20" t="str">
        <x:v>待判定</x:v>
      </x:c>
      <x:c r="I1502" s="20"/>
      <x:c r="J1502" s="20" t="str">
        <x:v>未测试</x:v>
      </x:c>
      <x:c r="K1502" s="20"/>
      <x:c r="L1502" s="20"/>
      <x:c r="M1502" s="20"/>
      <x:c r="N1502" s="20"/>
      <x:c r="O1502" s="31"/>
      <x:c r="P1502" s="20"/>
      <x:c r="Q1502" s="20"/>
      <x:c r="R1502" s="20" t="str">
        <x:v>待展开</x:v>
      </x:c>
      <x:c r="S1502" s="20"/>
      <x:c r="T1502" s="31"/>
      <x:c r="U1502" s="30" t="str">
        <x:f>IF(A1502="","缺记录编号",IF(COUNTIFS(PathRecords[记录编号],A1502)&lt;&gt;1,"记录编号重复",IF(OR(B1502="",E1502=""),"缺组合/功能",IF(COUNTIFS(Equipment[组合编号],B1502)&lt;&gt;1,"组合编号无效",IF(COUNTIFS(FunctionMatrix[编号],E1502)=0,"功能编号无效",IF(H1502="不适用",IF(J1502="已实测","适用性冲突",IF(I1502="","待补不适用依据","不适用（非实测）")),IF(J1502="阻塞",IF(I1502="","待补阻塞原因","阻塞（非实测）"),IF(J1502&lt;&gt;"已实测",IF(F1502="","待展开路径","未实测"),IF(H1502&lt;&gt;"适用","待确认适用性",IF(INDEX(Equipment[登记状态（自动）],MATCH(B1502,Equipment[组合编号],0))&lt;&gt;"已登记","待补设备组合",IF(AND(F1502&lt;&gt;"",G1502&lt;&gt;"",K1502&lt;&gt;"",L1502&lt;&gt;"",M1502&lt;&gt;"",N1502&lt;&gt;"",ISNUMBER(O1502),O1502&gt;0,P1502&lt;&gt;""),"记录齐全","待补实测记录")))))))))))</x:f>
        <x:v>待展开路径</x:v>
      </x:c>
    </x:row>
    <x:row r="1503" ht="43.5" customHeight="1">
      <x:c r="A1503" s="20" t="str">
        <x:v>REC-01494</x:v>
      </x:c>
      <x:c r="B1503" s="20" t="str">
        <x:v>P3-B5-01</x:v>
      </x:c>
      <x:c r="C1503" s="30" t="str">
        <x:f>IF(B1503="","",IF(COUNTIFS(Equipment[组合编号],B1503)&lt;&gt;1,"组合编号无效",INDEX(Equipment[PLC组],MATCH(B1503,Equipment[组合编号],0))))</x:f>
        <x:v>欧姆龙</x:v>
      </x:c>
      <x:c r="D1503" s="30" t="str">
        <x:f>IF(B1503="","",IF(COUNTIFS(Equipment[组合编号],B1503)&lt;&gt;1,"组合编号无效",INDEX(Equipment[驱动品牌],MATCH(B1503,Equipment[组合编号],0))))</x:f>
        <x:v>KEBA（可选）</x:v>
      </x:c>
      <x:c r="E1503" s="20" t="str">
        <x:v>D01</x:v>
      </x:c>
      <x:c r="F1503" s="20"/>
      <x:c r="G1503" s="20"/>
      <x:c r="H1503" s="20" t="str">
        <x:v>待判定</x:v>
      </x:c>
      <x:c r="I1503" s="20"/>
      <x:c r="J1503" s="20" t="str">
        <x:v>未测试</x:v>
      </x:c>
      <x:c r="K1503" s="20"/>
      <x:c r="L1503" s="20"/>
      <x:c r="M1503" s="20"/>
      <x:c r="N1503" s="20"/>
      <x:c r="O1503" s="31"/>
      <x:c r="P1503" s="20"/>
      <x:c r="Q1503" s="20"/>
      <x:c r="R1503" s="20" t="str">
        <x:v>待展开</x:v>
      </x:c>
      <x:c r="S1503" s="20"/>
      <x:c r="T1503" s="31"/>
      <x:c r="U1503" s="30" t="str">
        <x:f>IF(A1503="","缺记录编号",IF(COUNTIFS(PathRecords[记录编号],A1503)&lt;&gt;1,"记录编号重复",IF(OR(B1503="",E1503=""),"缺组合/功能",IF(COUNTIFS(Equipment[组合编号],B1503)&lt;&gt;1,"组合编号无效",IF(COUNTIFS(FunctionMatrix[编号],E1503)=0,"功能编号无效",IF(H1503="不适用",IF(J1503="已实测","适用性冲突",IF(I1503="","待补不适用依据","不适用（非实测）")),IF(J1503="阻塞",IF(I1503="","待补阻塞原因","阻塞（非实测）"),IF(J1503&lt;&gt;"已实测",IF(F1503="","待展开路径","未实测"),IF(H1503&lt;&gt;"适用","待确认适用性",IF(INDEX(Equipment[登记状态（自动）],MATCH(B1503,Equipment[组合编号],0))&lt;&gt;"已登记","待补设备组合",IF(AND(F1503&lt;&gt;"",G1503&lt;&gt;"",K1503&lt;&gt;"",L1503&lt;&gt;"",M1503&lt;&gt;"",N1503&lt;&gt;"",ISNUMBER(O1503),O1503&gt;0,P1503&lt;&gt;""),"记录齐全","待补实测记录")))))))))))</x:f>
        <x:v>待展开路径</x:v>
      </x:c>
    </x:row>
    <x:row r="1504" ht="43.5" customHeight="1">
      <x:c r="A1504" s="20" t="str">
        <x:v>REC-01495</x:v>
      </x:c>
      <x:c r="B1504" s="20" t="str">
        <x:v>P3-B5-01</x:v>
      </x:c>
      <x:c r="C1504" s="30" t="str">
        <x:f>IF(B1504="","",IF(COUNTIFS(Equipment[组合编号],B1504)&lt;&gt;1,"组合编号无效",INDEX(Equipment[PLC组],MATCH(B1504,Equipment[组合编号],0))))</x:f>
        <x:v>欧姆龙</x:v>
      </x:c>
      <x:c r="D1504" s="30" t="str">
        <x:f>IF(B1504="","",IF(COUNTIFS(Equipment[组合编号],B1504)&lt;&gt;1,"组合编号无效",INDEX(Equipment[驱动品牌],MATCH(B1504,Equipment[组合编号],0))))</x:f>
        <x:v>KEBA（可选）</x:v>
      </x:c>
      <x:c r="E1504" s="20" t="str">
        <x:v>D02</x:v>
      </x:c>
      <x:c r="F1504" s="20"/>
      <x:c r="G1504" s="20"/>
      <x:c r="H1504" s="20" t="str">
        <x:v>待判定</x:v>
      </x:c>
      <x:c r="I1504" s="20"/>
      <x:c r="J1504" s="20" t="str">
        <x:v>未测试</x:v>
      </x:c>
      <x:c r="K1504" s="20"/>
      <x:c r="L1504" s="20"/>
      <x:c r="M1504" s="20"/>
      <x:c r="N1504" s="20"/>
      <x:c r="O1504" s="31"/>
      <x:c r="P1504" s="20"/>
      <x:c r="Q1504" s="20"/>
      <x:c r="R1504" s="20" t="str">
        <x:v>待展开</x:v>
      </x:c>
      <x:c r="S1504" s="20"/>
      <x:c r="T1504" s="31"/>
      <x:c r="U1504" s="30" t="str">
        <x:f>IF(A1504="","缺记录编号",IF(COUNTIFS(PathRecords[记录编号],A1504)&lt;&gt;1,"记录编号重复",IF(OR(B1504="",E1504=""),"缺组合/功能",IF(COUNTIFS(Equipment[组合编号],B1504)&lt;&gt;1,"组合编号无效",IF(COUNTIFS(FunctionMatrix[编号],E1504)=0,"功能编号无效",IF(H1504="不适用",IF(J1504="已实测","适用性冲突",IF(I1504="","待补不适用依据","不适用（非实测）")),IF(J1504="阻塞",IF(I1504="","待补阻塞原因","阻塞（非实测）"),IF(J1504&lt;&gt;"已实测",IF(F1504="","待展开路径","未实测"),IF(H1504&lt;&gt;"适用","待确认适用性",IF(INDEX(Equipment[登记状态（自动）],MATCH(B1504,Equipment[组合编号],0))&lt;&gt;"已登记","待补设备组合",IF(AND(F1504&lt;&gt;"",G1504&lt;&gt;"",K1504&lt;&gt;"",L1504&lt;&gt;"",M1504&lt;&gt;"",N1504&lt;&gt;"",ISNUMBER(O1504),O1504&gt;0,P1504&lt;&gt;""),"记录齐全","待补实测记录")))))))))))</x:f>
        <x:v>待展开路径</x:v>
      </x:c>
    </x:row>
    <x:row r="1505" ht="43.5" customHeight="1">
      <x:c r="A1505" s="20" t="str">
        <x:v>REC-01496</x:v>
      </x:c>
      <x:c r="B1505" s="20" t="str">
        <x:v>P3-B5-01</x:v>
      </x:c>
      <x:c r="C1505" s="30" t="str">
        <x:f>IF(B1505="","",IF(COUNTIFS(Equipment[组合编号],B1505)&lt;&gt;1,"组合编号无效",INDEX(Equipment[PLC组],MATCH(B1505,Equipment[组合编号],0))))</x:f>
        <x:v>欧姆龙</x:v>
      </x:c>
      <x:c r="D1505" s="30" t="str">
        <x:f>IF(B1505="","",IF(COUNTIFS(Equipment[组合编号],B1505)&lt;&gt;1,"组合编号无效",INDEX(Equipment[驱动品牌],MATCH(B1505,Equipment[组合编号],0))))</x:f>
        <x:v>KEBA（可选）</x:v>
      </x:c>
      <x:c r="E1505" s="20" t="str">
        <x:v>D03</x:v>
      </x:c>
      <x:c r="F1505" s="20"/>
      <x:c r="G1505" s="20"/>
      <x:c r="H1505" s="20" t="str">
        <x:v>待判定</x:v>
      </x:c>
      <x:c r="I1505" s="20"/>
      <x:c r="J1505" s="20" t="str">
        <x:v>未测试</x:v>
      </x:c>
      <x:c r="K1505" s="20"/>
      <x:c r="L1505" s="20"/>
      <x:c r="M1505" s="20"/>
      <x:c r="N1505" s="20"/>
      <x:c r="O1505" s="31"/>
      <x:c r="P1505" s="20"/>
      <x:c r="Q1505" s="20"/>
      <x:c r="R1505" s="20" t="str">
        <x:v>待展开</x:v>
      </x:c>
      <x:c r="S1505" s="20"/>
      <x:c r="T1505" s="31"/>
      <x:c r="U1505" s="30" t="str">
        <x:f>IF(A1505="","缺记录编号",IF(COUNTIFS(PathRecords[记录编号],A1505)&lt;&gt;1,"记录编号重复",IF(OR(B1505="",E1505=""),"缺组合/功能",IF(COUNTIFS(Equipment[组合编号],B1505)&lt;&gt;1,"组合编号无效",IF(COUNTIFS(FunctionMatrix[编号],E1505)=0,"功能编号无效",IF(H1505="不适用",IF(J1505="已实测","适用性冲突",IF(I1505="","待补不适用依据","不适用（非实测）")),IF(J1505="阻塞",IF(I1505="","待补阻塞原因","阻塞（非实测）"),IF(J1505&lt;&gt;"已实测",IF(F1505="","待展开路径","未实测"),IF(H1505&lt;&gt;"适用","待确认适用性",IF(INDEX(Equipment[登记状态（自动）],MATCH(B1505,Equipment[组合编号],0))&lt;&gt;"已登记","待补设备组合",IF(AND(F1505&lt;&gt;"",G1505&lt;&gt;"",K1505&lt;&gt;"",L1505&lt;&gt;"",M1505&lt;&gt;"",N1505&lt;&gt;"",ISNUMBER(O1505),O1505&gt;0,P1505&lt;&gt;""),"记录齐全","待补实测记录")))))))))))</x:f>
        <x:v>待展开路径</x:v>
      </x:c>
    </x:row>
    <x:row r="1506" ht="43.5" customHeight="1">
      <x:c r="A1506" s="20" t="str">
        <x:v>REC-01497</x:v>
      </x:c>
      <x:c r="B1506" s="20" t="str">
        <x:v>P3-B5-01</x:v>
      </x:c>
      <x:c r="C1506" s="30" t="str">
        <x:f>IF(B1506="","",IF(COUNTIFS(Equipment[组合编号],B1506)&lt;&gt;1,"组合编号无效",INDEX(Equipment[PLC组],MATCH(B1506,Equipment[组合编号],0))))</x:f>
        <x:v>欧姆龙</x:v>
      </x:c>
      <x:c r="D1506" s="30" t="str">
        <x:f>IF(B1506="","",IF(COUNTIFS(Equipment[组合编号],B1506)&lt;&gt;1,"组合编号无效",INDEX(Equipment[驱动品牌],MATCH(B1506,Equipment[组合编号],0))))</x:f>
        <x:v>KEBA（可选）</x:v>
      </x:c>
      <x:c r="E1506" s="20" t="str">
        <x:v>D04</x:v>
      </x:c>
      <x:c r="F1506" s="20"/>
      <x:c r="G1506" s="20"/>
      <x:c r="H1506" s="20" t="str">
        <x:v>待判定</x:v>
      </x:c>
      <x:c r="I1506" s="20"/>
      <x:c r="J1506" s="20" t="str">
        <x:v>未测试</x:v>
      </x:c>
      <x:c r="K1506" s="20"/>
      <x:c r="L1506" s="20"/>
      <x:c r="M1506" s="20"/>
      <x:c r="N1506" s="20"/>
      <x:c r="O1506" s="31"/>
      <x:c r="P1506" s="20"/>
      <x:c r="Q1506" s="20"/>
      <x:c r="R1506" s="20" t="str">
        <x:v>待展开</x:v>
      </x:c>
      <x:c r="S1506" s="20"/>
      <x:c r="T1506" s="31"/>
      <x:c r="U1506" s="30" t="str">
        <x:f>IF(A1506="","缺记录编号",IF(COUNTIFS(PathRecords[记录编号],A1506)&lt;&gt;1,"记录编号重复",IF(OR(B1506="",E1506=""),"缺组合/功能",IF(COUNTIFS(Equipment[组合编号],B1506)&lt;&gt;1,"组合编号无效",IF(COUNTIFS(FunctionMatrix[编号],E1506)=0,"功能编号无效",IF(H1506="不适用",IF(J1506="已实测","适用性冲突",IF(I1506="","待补不适用依据","不适用（非实测）")),IF(J1506="阻塞",IF(I1506="","待补阻塞原因","阻塞（非实测）"),IF(J1506&lt;&gt;"已实测",IF(F1506="","待展开路径","未实测"),IF(H1506&lt;&gt;"适用","待确认适用性",IF(INDEX(Equipment[登记状态（自动）],MATCH(B1506,Equipment[组合编号],0))&lt;&gt;"已登记","待补设备组合",IF(AND(F1506&lt;&gt;"",G1506&lt;&gt;"",K1506&lt;&gt;"",L1506&lt;&gt;"",M1506&lt;&gt;"",N1506&lt;&gt;"",ISNUMBER(O1506),O1506&gt;0,P1506&lt;&gt;""),"记录齐全","待补实测记录")))))))))))</x:f>
        <x:v>待展开路径</x:v>
      </x:c>
    </x:row>
    <x:row r="1507" ht="43.5" customHeight="1">
      <x:c r="A1507" s="20" t="str">
        <x:v>REC-01498</x:v>
      </x:c>
      <x:c r="B1507" s="20" t="str">
        <x:v>P3-B5-01</x:v>
      </x:c>
      <x:c r="C1507" s="30" t="str">
        <x:f>IF(B1507="","",IF(COUNTIFS(Equipment[组合编号],B1507)&lt;&gt;1,"组合编号无效",INDEX(Equipment[PLC组],MATCH(B1507,Equipment[组合编号],0))))</x:f>
        <x:v>欧姆龙</x:v>
      </x:c>
      <x:c r="D1507" s="30" t="str">
        <x:f>IF(B1507="","",IF(COUNTIFS(Equipment[组合编号],B1507)&lt;&gt;1,"组合编号无效",INDEX(Equipment[驱动品牌],MATCH(B1507,Equipment[组合编号],0))))</x:f>
        <x:v>KEBA（可选）</x:v>
      </x:c>
      <x:c r="E1507" s="20" t="str">
        <x:v>D05</x:v>
      </x:c>
      <x:c r="F1507" s="20"/>
      <x:c r="G1507" s="20"/>
      <x:c r="H1507" s="20" t="str">
        <x:v>待判定</x:v>
      </x:c>
      <x:c r="I1507" s="20"/>
      <x:c r="J1507" s="20" t="str">
        <x:v>未测试</x:v>
      </x:c>
      <x:c r="K1507" s="20"/>
      <x:c r="L1507" s="20"/>
      <x:c r="M1507" s="20"/>
      <x:c r="N1507" s="20"/>
      <x:c r="O1507" s="31"/>
      <x:c r="P1507" s="20"/>
      <x:c r="Q1507" s="20"/>
      <x:c r="R1507" s="20" t="str">
        <x:v>待展开</x:v>
      </x:c>
      <x:c r="S1507" s="20"/>
      <x:c r="T1507" s="31"/>
      <x:c r="U1507" s="30" t="str">
        <x:f>IF(A1507="","缺记录编号",IF(COUNTIFS(PathRecords[记录编号],A1507)&lt;&gt;1,"记录编号重复",IF(OR(B1507="",E1507=""),"缺组合/功能",IF(COUNTIFS(Equipment[组合编号],B1507)&lt;&gt;1,"组合编号无效",IF(COUNTIFS(FunctionMatrix[编号],E1507)=0,"功能编号无效",IF(H1507="不适用",IF(J1507="已实测","适用性冲突",IF(I1507="","待补不适用依据","不适用（非实测）")),IF(J1507="阻塞",IF(I1507="","待补阻塞原因","阻塞（非实测）"),IF(J1507&lt;&gt;"已实测",IF(F1507="","待展开路径","未实测"),IF(H1507&lt;&gt;"适用","待确认适用性",IF(INDEX(Equipment[登记状态（自动）],MATCH(B1507,Equipment[组合编号],0))&lt;&gt;"已登记","待补设备组合",IF(AND(F1507&lt;&gt;"",G1507&lt;&gt;"",K1507&lt;&gt;"",L1507&lt;&gt;"",M1507&lt;&gt;"",N1507&lt;&gt;"",ISNUMBER(O1507),O1507&gt;0,P1507&lt;&gt;""),"记录齐全","待补实测记录")))))))))))</x:f>
        <x:v>待展开路径</x:v>
      </x:c>
    </x:row>
    <x:row r="1508" ht="43.5" customHeight="1">
      <x:c r="A1508" s="20" t="str">
        <x:v>REC-01499</x:v>
      </x:c>
      <x:c r="B1508" s="20" t="str">
        <x:v>P3-B5-01</x:v>
      </x:c>
      <x:c r="C1508" s="30" t="str">
        <x:f>IF(B1508="","",IF(COUNTIFS(Equipment[组合编号],B1508)&lt;&gt;1,"组合编号无效",INDEX(Equipment[PLC组],MATCH(B1508,Equipment[组合编号],0))))</x:f>
        <x:v>欧姆龙</x:v>
      </x:c>
      <x:c r="D1508" s="30" t="str">
        <x:f>IF(B1508="","",IF(COUNTIFS(Equipment[组合编号],B1508)&lt;&gt;1,"组合编号无效",INDEX(Equipment[驱动品牌],MATCH(B1508,Equipment[组合编号],0))))</x:f>
        <x:v>KEBA（可选）</x:v>
      </x:c>
      <x:c r="E1508" s="20" t="str">
        <x:v>D06</x:v>
      </x:c>
      <x:c r="F1508" s="20"/>
      <x:c r="G1508" s="20"/>
      <x:c r="H1508" s="20" t="str">
        <x:v>待判定</x:v>
      </x:c>
      <x:c r="I1508" s="20"/>
      <x:c r="J1508" s="20" t="str">
        <x:v>未测试</x:v>
      </x:c>
      <x:c r="K1508" s="20"/>
      <x:c r="L1508" s="20"/>
      <x:c r="M1508" s="20"/>
      <x:c r="N1508" s="20"/>
      <x:c r="O1508" s="31"/>
      <x:c r="P1508" s="20"/>
      <x:c r="Q1508" s="20"/>
      <x:c r="R1508" s="20" t="str">
        <x:v>待展开</x:v>
      </x:c>
      <x:c r="S1508" s="20"/>
      <x:c r="T1508" s="31"/>
      <x:c r="U1508" s="30" t="str">
        <x:f>IF(A1508="","缺记录编号",IF(COUNTIFS(PathRecords[记录编号],A1508)&lt;&gt;1,"记录编号重复",IF(OR(B1508="",E1508=""),"缺组合/功能",IF(COUNTIFS(Equipment[组合编号],B1508)&lt;&gt;1,"组合编号无效",IF(COUNTIFS(FunctionMatrix[编号],E1508)=0,"功能编号无效",IF(H1508="不适用",IF(J1508="已实测","适用性冲突",IF(I1508="","待补不适用依据","不适用（非实测）")),IF(J1508="阻塞",IF(I1508="","待补阻塞原因","阻塞（非实测）"),IF(J1508&lt;&gt;"已实测",IF(F1508="","待展开路径","未实测"),IF(H1508&lt;&gt;"适用","待确认适用性",IF(INDEX(Equipment[登记状态（自动）],MATCH(B1508,Equipment[组合编号],0))&lt;&gt;"已登记","待补设备组合",IF(AND(F1508&lt;&gt;"",G1508&lt;&gt;"",K1508&lt;&gt;"",L1508&lt;&gt;"",M1508&lt;&gt;"",N1508&lt;&gt;"",ISNUMBER(O1508),O1508&gt;0,P1508&lt;&gt;""),"记录齐全","待补实测记录")))))))))))</x:f>
        <x:v>待展开路径</x:v>
      </x:c>
    </x:row>
    <x:row r="1509" ht="43.5" customHeight="1">
      <x:c r="A1509" s="20" t="str">
        <x:v>REC-01500</x:v>
      </x:c>
      <x:c r="B1509" s="20" t="str">
        <x:v>P3-B5-01</x:v>
      </x:c>
      <x:c r="C1509" s="30" t="str">
        <x:f>IF(B1509="","",IF(COUNTIFS(Equipment[组合编号],B1509)&lt;&gt;1,"组合编号无效",INDEX(Equipment[PLC组],MATCH(B1509,Equipment[组合编号],0))))</x:f>
        <x:v>欧姆龙</x:v>
      </x:c>
      <x:c r="D1509" s="30" t="str">
        <x:f>IF(B1509="","",IF(COUNTIFS(Equipment[组合编号],B1509)&lt;&gt;1,"组合编号无效",INDEX(Equipment[驱动品牌],MATCH(B1509,Equipment[组合编号],0))))</x:f>
        <x:v>KEBA（可选）</x:v>
      </x:c>
      <x:c r="E1509" s="20" t="str">
        <x:v>D07</x:v>
      </x:c>
      <x:c r="F1509" s="20"/>
      <x:c r="G1509" s="20"/>
      <x:c r="H1509" s="20" t="str">
        <x:v>待判定</x:v>
      </x:c>
      <x:c r="I1509" s="20"/>
      <x:c r="J1509" s="20" t="str">
        <x:v>未测试</x:v>
      </x:c>
      <x:c r="K1509" s="20"/>
      <x:c r="L1509" s="20"/>
      <x:c r="M1509" s="20"/>
      <x:c r="N1509" s="20"/>
      <x:c r="O1509" s="31"/>
      <x:c r="P1509" s="20"/>
      <x:c r="Q1509" s="20"/>
      <x:c r="R1509" s="20" t="str">
        <x:v>待展开</x:v>
      </x:c>
      <x:c r="S1509" s="20"/>
      <x:c r="T1509" s="31"/>
      <x:c r="U1509" s="30" t="str">
        <x:f>IF(A1509="","缺记录编号",IF(COUNTIFS(PathRecords[记录编号],A1509)&lt;&gt;1,"记录编号重复",IF(OR(B1509="",E1509=""),"缺组合/功能",IF(COUNTIFS(Equipment[组合编号],B1509)&lt;&gt;1,"组合编号无效",IF(COUNTIFS(FunctionMatrix[编号],E1509)=0,"功能编号无效",IF(H1509="不适用",IF(J1509="已实测","适用性冲突",IF(I1509="","待补不适用依据","不适用（非实测）")),IF(J1509="阻塞",IF(I1509="","待补阻塞原因","阻塞（非实测）"),IF(J1509&lt;&gt;"已实测",IF(F1509="","待展开路径","未实测"),IF(H1509&lt;&gt;"适用","待确认适用性",IF(INDEX(Equipment[登记状态（自动）],MATCH(B1509,Equipment[组合编号],0))&lt;&gt;"已登记","待补设备组合",IF(AND(F1509&lt;&gt;"",G1509&lt;&gt;"",K1509&lt;&gt;"",L1509&lt;&gt;"",M1509&lt;&gt;"",N1509&lt;&gt;"",ISNUMBER(O1509),O1509&gt;0,P1509&lt;&gt;""),"记录齐全","待补实测记录")))))))))))</x:f>
        <x:v>待展开路径</x:v>
      </x:c>
    </x:row>
    <x:row r="1510" ht="43.5" customHeight="1">
      <x:c r="A1510" s="20" t="str">
        <x:v>REC-01501</x:v>
      </x:c>
      <x:c r="B1510" s="20" t="str">
        <x:v>P3-B5-01</x:v>
      </x:c>
      <x:c r="C1510" s="30" t="str">
        <x:f>IF(B1510="","",IF(COUNTIFS(Equipment[组合编号],B1510)&lt;&gt;1,"组合编号无效",INDEX(Equipment[PLC组],MATCH(B1510,Equipment[组合编号],0))))</x:f>
        <x:v>欧姆龙</x:v>
      </x:c>
      <x:c r="D1510" s="30" t="str">
        <x:f>IF(B1510="","",IF(COUNTIFS(Equipment[组合编号],B1510)&lt;&gt;1,"组合编号无效",INDEX(Equipment[驱动品牌],MATCH(B1510,Equipment[组合编号],0))))</x:f>
        <x:v>KEBA（可选）</x:v>
      </x:c>
      <x:c r="E1510" s="20" t="str">
        <x:v>D08</x:v>
      </x:c>
      <x:c r="F1510" s="20"/>
      <x:c r="G1510" s="20"/>
      <x:c r="H1510" s="20" t="str">
        <x:v>待判定</x:v>
      </x:c>
      <x:c r="I1510" s="20"/>
      <x:c r="J1510" s="20" t="str">
        <x:v>未测试</x:v>
      </x:c>
      <x:c r="K1510" s="20"/>
      <x:c r="L1510" s="20"/>
      <x:c r="M1510" s="20"/>
      <x:c r="N1510" s="20"/>
      <x:c r="O1510" s="31"/>
      <x:c r="P1510" s="20"/>
      <x:c r="Q1510" s="20"/>
      <x:c r="R1510" s="20" t="str">
        <x:v>待展开</x:v>
      </x:c>
      <x:c r="S1510" s="20"/>
      <x:c r="T1510" s="31"/>
      <x:c r="U1510" s="30" t="str">
        <x:f>IF(A1510="","缺记录编号",IF(COUNTIFS(PathRecords[记录编号],A1510)&lt;&gt;1,"记录编号重复",IF(OR(B1510="",E1510=""),"缺组合/功能",IF(COUNTIFS(Equipment[组合编号],B1510)&lt;&gt;1,"组合编号无效",IF(COUNTIFS(FunctionMatrix[编号],E1510)=0,"功能编号无效",IF(H1510="不适用",IF(J1510="已实测","适用性冲突",IF(I1510="","待补不适用依据","不适用（非实测）")),IF(J1510="阻塞",IF(I1510="","待补阻塞原因","阻塞（非实测）"),IF(J1510&lt;&gt;"已实测",IF(F1510="","待展开路径","未实测"),IF(H1510&lt;&gt;"适用","待确认适用性",IF(INDEX(Equipment[登记状态（自动）],MATCH(B1510,Equipment[组合编号],0))&lt;&gt;"已登记","待补设备组合",IF(AND(F1510&lt;&gt;"",G1510&lt;&gt;"",K1510&lt;&gt;"",L1510&lt;&gt;"",M1510&lt;&gt;"",N1510&lt;&gt;"",ISNUMBER(O1510),O1510&gt;0,P1510&lt;&gt;""),"记录齐全","待补实测记录")))))))))))</x:f>
        <x:v>待展开路径</x:v>
      </x:c>
    </x:row>
    <x:row r="1511" ht="43.5" customHeight="1">
      <x:c r="A1511" s="20" t="str">
        <x:v>REC-01502</x:v>
      </x:c>
      <x:c r="B1511" s="20" t="str">
        <x:v>P3-B5-01</x:v>
      </x:c>
      <x:c r="C1511" s="30" t="str">
        <x:f>IF(B1511="","",IF(COUNTIFS(Equipment[组合编号],B1511)&lt;&gt;1,"组合编号无效",INDEX(Equipment[PLC组],MATCH(B1511,Equipment[组合编号],0))))</x:f>
        <x:v>欧姆龙</x:v>
      </x:c>
      <x:c r="D1511" s="30" t="str">
        <x:f>IF(B1511="","",IF(COUNTIFS(Equipment[组合编号],B1511)&lt;&gt;1,"组合编号无效",INDEX(Equipment[驱动品牌],MATCH(B1511,Equipment[组合编号],0))))</x:f>
        <x:v>KEBA（可选）</x:v>
      </x:c>
      <x:c r="E1511" s="20" t="str">
        <x:v>D09</x:v>
      </x:c>
      <x:c r="F1511" s="20"/>
      <x:c r="G1511" s="20"/>
      <x:c r="H1511" s="20" t="str">
        <x:v>待判定</x:v>
      </x:c>
      <x:c r="I1511" s="20"/>
      <x:c r="J1511" s="20" t="str">
        <x:v>未测试</x:v>
      </x:c>
      <x:c r="K1511" s="20"/>
      <x:c r="L1511" s="20"/>
      <x:c r="M1511" s="20"/>
      <x:c r="N1511" s="20"/>
      <x:c r="O1511" s="31"/>
      <x:c r="P1511" s="20"/>
      <x:c r="Q1511" s="20"/>
      <x:c r="R1511" s="20" t="str">
        <x:v>待展开</x:v>
      </x:c>
      <x:c r="S1511" s="20"/>
      <x:c r="T1511" s="31"/>
      <x:c r="U1511" s="30" t="str">
        <x:f>IF(A1511="","缺记录编号",IF(COUNTIFS(PathRecords[记录编号],A1511)&lt;&gt;1,"记录编号重复",IF(OR(B1511="",E1511=""),"缺组合/功能",IF(COUNTIFS(Equipment[组合编号],B1511)&lt;&gt;1,"组合编号无效",IF(COUNTIFS(FunctionMatrix[编号],E1511)=0,"功能编号无效",IF(H1511="不适用",IF(J1511="已实测","适用性冲突",IF(I1511="","待补不适用依据","不适用（非实测）")),IF(J1511="阻塞",IF(I1511="","待补阻塞原因","阻塞（非实测）"),IF(J1511&lt;&gt;"已实测",IF(F1511="","待展开路径","未实测"),IF(H1511&lt;&gt;"适用","待确认适用性",IF(INDEX(Equipment[登记状态（自动）],MATCH(B1511,Equipment[组合编号],0))&lt;&gt;"已登记","待补设备组合",IF(AND(F1511&lt;&gt;"",G1511&lt;&gt;"",K1511&lt;&gt;"",L1511&lt;&gt;"",M1511&lt;&gt;"",N1511&lt;&gt;"",ISNUMBER(O1511),O1511&gt;0,P1511&lt;&gt;""),"记录齐全","待补实测记录")))))))))))</x:f>
        <x:v>待展开路径</x:v>
      </x:c>
    </x:row>
    <x:row r="1512" ht="43.5" customHeight="1">
      <x:c r="A1512" s="20" t="str">
        <x:v>REC-01503</x:v>
      </x:c>
      <x:c r="B1512" s="20" t="str">
        <x:v>P3-B5-01</x:v>
      </x:c>
      <x:c r="C1512" s="30" t="str">
        <x:f>IF(B1512="","",IF(COUNTIFS(Equipment[组合编号],B1512)&lt;&gt;1,"组合编号无效",INDEX(Equipment[PLC组],MATCH(B1512,Equipment[组合编号],0))))</x:f>
        <x:v>欧姆龙</x:v>
      </x:c>
      <x:c r="D1512" s="30" t="str">
        <x:f>IF(B1512="","",IF(COUNTIFS(Equipment[组合编号],B1512)&lt;&gt;1,"组合编号无效",INDEX(Equipment[驱动品牌],MATCH(B1512,Equipment[组合编号],0))))</x:f>
        <x:v>KEBA（可选）</x:v>
      </x:c>
      <x:c r="E1512" s="20" t="str">
        <x:v>S01</x:v>
      </x:c>
      <x:c r="F1512" s="20"/>
      <x:c r="G1512" s="20"/>
      <x:c r="H1512" s="20" t="str">
        <x:v>待判定</x:v>
      </x:c>
      <x:c r="I1512" s="20"/>
      <x:c r="J1512" s="20" t="str">
        <x:v>未测试</x:v>
      </x:c>
      <x:c r="K1512" s="20"/>
      <x:c r="L1512" s="20"/>
      <x:c r="M1512" s="20"/>
      <x:c r="N1512" s="20"/>
      <x:c r="O1512" s="31"/>
      <x:c r="P1512" s="20"/>
      <x:c r="Q1512" s="20"/>
      <x:c r="R1512" s="20" t="str">
        <x:v>待展开</x:v>
      </x:c>
      <x:c r="S1512" s="20"/>
      <x:c r="T1512" s="31"/>
      <x:c r="U1512" s="30" t="str">
        <x:f>IF(A1512="","缺记录编号",IF(COUNTIFS(PathRecords[记录编号],A1512)&lt;&gt;1,"记录编号重复",IF(OR(B1512="",E1512=""),"缺组合/功能",IF(COUNTIFS(Equipment[组合编号],B1512)&lt;&gt;1,"组合编号无效",IF(COUNTIFS(FunctionMatrix[编号],E1512)=0,"功能编号无效",IF(H1512="不适用",IF(J1512="已实测","适用性冲突",IF(I1512="","待补不适用依据","不适用（非实测）")),IF(J1512="阻塞",IF(I1512="","待补阻塞原因","阻塞（非实测）"),IF(J1512&lt;&gt;"已实测",IF(F1512="","待展开路径","未实测"),IF(H1512&lt;&gt;"适用","待确认适用性",IF(INDEX(Equipment[登记状态（自动）],MATCH(B1512,Equipment[组合编号],0))&lt;&gt;"已登记","待补设备组合",IF(AND(F1512&lt;&gt;"",G1512&lt;&gt;"",K1512&lt;&gt;"",L1512&lt;&gt;"",M1512&lt;&gt;"",N1512&lt;&gt;"",ISNUMBER(O1512),O1512&gt;0,P1512&lt;&gt;""),"记录齐全","待补实测记录")))))))))))</x:f>
        <x:v>待展开路径</x:v>
      </x:c>
    </x:row>
    <x:row r="1513" ht="43.5" customHeight="1">
      <x:c r="A1513" s="20" t="str">
        <x:v>REC-01504</x:v>
      </x:c>
      <x:c r="B1513" s="20" t="str">
        <x:v>P3-B5-01</x:v>
      </x:c>
      <x:c r="C1513" s="30" t="str">
        <x:f>IF(B1513="","",IF(COUNTIFS(Equipment[组合编号],B1513)&lt;&gt;1,"组合编号无效",INDEX(Equipment[PLC组],MATCH(B1513,Equipment[组合编号],0))))</x:f>
        <x:v>欧姆龙</x:v>
      </x:c>
      <x:c r="D1513" s="30" t="str">
        <x:f>IF(B1513="","",IF(COUNTIFS(Equipment[组合编号],B1513)&lt;&gt;1,"组合编号无效",INDEX(Equipment[驱动品牌],MATCH(B1513,Equipment[组合编号],0))))</x:f>
        <x:v>KEBA（可选）</x:v>
      </x:c>
      <x:c r="E1513" s="20" t="str">
        <x:v>S02</x:v>
      </x:c>
      <x:c r="F1513" s="20"/>
      <x:c r="G1513" s="20"/>
      <x:c r="H1513" s="20" t="str">
        <x:v>待判定</x:v>
      </x:c>
      <x:c r="I1513" s="20"/>
      <x:c r="J1513" s="20" t="str">
        <x:v>未测试</x:v>
      </x:c>
      <x:c r="K1513" s="20"/>
      <x:c r="L1513" s="20"/>
      <x:c r="M1513" s="20"/>
      <x:c r="N1513" s="20"/>
      <x:c r="O1513" s="31"/>
      <x:c r="P1513" s="20"/>
      <x:c r="Q1513" s="20"/>
      <x:c r="R1513" s="20" t="str">
        <x:v>待展开</x:v>
      </x:c>
      <x:c r="S1513" s="20"/>
      <x:c r="T1513" s="31"/>
      <x:c r="U1513" s="30" t="str">
        <x:f>IF(A1513="","缺记录编号",IF(COUNTIFS(PathRecords[记录编号],A1513)&lt;&gt;1,"记录编号重复",IF(OR(B1513="",E1513=""),"缺组合/功能",IF(COUNTIFS(Equipment[组合编号],B1513)&lt;&gt;1,"组合编号无效",IF(COUNTIFS(FunctionMatrix[编号],E1513)=0,"功能编号无效",IF(H1513="不适用",IF(J1513="已实测","适用性冲突",IF(I1513="","待补不适用依据","不适用（非实测）")),IF(J1513="阻塞",IF(I1513="","待补阻塞原因","阻塞（非实测）"),IF(J1513&lt;&gt;"已实测",IF(F1513="","待展开路径","未实测"),IF(H1513&lt;&gt;"适用","待确认适用性",IF(INDEX(Equipment[登记状态（自动）],MATCH(B1513,Equipment[组合编号],0))&lt;&gt;"已登记","待补设备组合",IF(AND(F1513&lt;&gt;"",G1513&lt;&gt;"",K1513&lt;&gt;"",L1513&lt;&gt;"",M1513&lt;&gt;"",N1513&lt;&gt;"",ISNUMBER(O1513),O1513&gt;0,P1513&lt;&gt;""),"记录齐全","待补实测记录")))))))))))</x:f>
        <x:v>待展开路径</x:v>
      </x:c>
    </x:row>
    <x:row r="1514" ht="43.5" customHeight="1">
      <x:c r="A1514" s="20" t="str">
        <x:v>REC-01505</x:v>
      </x:c>
      <x:c r="B1514" s="20" t="str">
        <x:v>P3-B5-01</x:v>
      </x:c>
      <x:c r="C1514" s="30" t="str">
        <x:f>IF(B1514="","",IF(COUNTIFS(Equipment[组合编号],B1514)&lt;&gt;1,"组合编号无效",INDEX(Equipment[PLC组],MATCH(B1514,Equipment[组合编号],0))))</x:f>
        <x:v>欧姆龙</x:v>
      </x:c>
      <x:c r="D1514" s="30" t="str">
        <x:f>IF(B1514="","",IF(COUNTIFS(Equipment[组合编号],B1514)&lt;&gt;1,"组合编号无效",INDEX(Equipment[驱动品牌],MATCH(B1514,Equipment[组合编号],0))))</x:f>
        <x:v>KEBA（可选）</x:v>
      </x:c>
      <x:c r="E1514" s="20" t="str">
        <x:v>S03</x:v>
      </x:c>
      <x:c r="F1514" s="20"/>
      <x:c r="G1514" s="20"/>
      <x:c r="H1514" s="20" t="str">
        <x:v>待判定</x:v>
      </x:c>
      <x:c r="I1514" s="20"/>
      <x:c r="J1514" s="20" t="str">
        <x:v>未测试</x:v>
      </x:c>
      <x:c r="K1514" s="20"/>
      <x:c r="L1514" s="20"/>
      <x:c r="M1514" s="20"/>
      <x:c r="N1514" s="20"/>
      <x:c r="O1514" s="31"/>
      <x:c r="P1514" s="20"/>
      <x:c r="Q1514" s="20"/>
      <x:c r="R1514" s="20" t="str">
        <x:v>待展开</x:v>
      </x:c>
      <x:c r="S1514" s="20"/>
      <x:c r="T1514" s="31"/>
      <x:c r="U1514" s="30" t="str">
        <x:f>IF(A1514="","缺记录编号",IF(COUNTIFS(PathRecords[记录编号],A1514)&lt;&gt;1,"记录编号重复",IF(OR(B1514="",E1514=""),"缺组合/功能",IF(COUNTIFS(Equipment[组合编号],B1514)&lt;&gt;1,"组合编号无效",IF(COUNTIFS(FunctionMatrix[编号],E1514)=0,"功能编号无效",IF(H1514="不适用",IF(J1514="已实测","适用性冲突",IF(I1514="","待补不适用依据","不适用（非实测）")),IF(J1514="阻塞",IF(I1514="","待补阻塞原因","阻塞（非实测）"),IF(J1514&lt;&gt;"已实测",IF(F1514="","待展开路径","未实测"),IF(H1514&lt;&gt;"适用","待确认适用性",IF(INDEX(Equipment[登记状态（自动）],MATCH(B1514,Equipment[组合编号],0))&lt;&gt;"已登记","待补设备组合",IF(AND(F1514&lt;&gt;"",G1514&lt;&gt;"",K1514&lt;&gt;"",L1514&lt;&gt;"",M1514&lt;&gt;"",N1514&lt;&gt;"",ISNUMBER(O1514),O1514&gt;0,P1514&lt;&gt;""),"记录齐全","待补实测记录")))))))))))</x:f>
        <x:v>待展开路径</x:v>
      </x:c>
    </x:row>
    <x:row r="1515" ht="43.5" customHeight="1">
      <x:c r="A1515" s="20" t="str">
        <x:v>REC-01506</x:v>
      </x:c>
      <x:c r="B1515" s="20" t="str">
        <x:v>P3-B5-01</x:v>
      </x:c>
      <x:c r="C1515" s="30" t="str">
        <x:f>IF(B1515="","",IF(COUNTIFS(Equipment[组合编号],B1515)&lt;&gt;1,"组合编号无效",INDEX(Equipment[PLC组],MATCH(B1515,Equipment[组合编号],0))))</x:f>
        <x:v>欧姆龙</x:v>
      </x:c>
      <x:c r="D1515" s="30" t="str">
        <x:f>IF(B1515="","",IF(COUNTIFS(Equipment[组合编号],B1515)&lt;&gt;1,"组合编号无效",INDEX(Equipment[驱动品牌],MATCH(B1515,Equipment[组合编号],0))))</x:f>
        <x:v>KEBA（可选）</x:v>
      </x:c>
      <x:c r="E1515" s="20" t="str">
        <x:v>S04</x:v>
      </x:c>
      <x:c r="F1515" s="20"/>
      <x:c r="G1515" s="20"/>
      <x:c r="H1515" s="20" t="str">
        <x:v>待判定</x:v>
      </x:c>
      <x:c r="I1515" s="20"/>
      <x:c r="J1515" s="20" t="str">
        <x:v>未测试</x:v>
      </x:c>
      <x:c r="K1515" s="20"/>
      <x:c r="L1515" s="20"/>
      <x:c r="M1515" s="20"/>
      <x:c r="N1515" s="20"/>
      <x:c r="O1515" s="31"/>
      <x:c r="P1515" s="20"/>
      <x:c r="Q1515" s="20"/>
      <x:c r="R1515" s="20" t="str">
        <x:v>待展开</x:v>
      </x:c>
      <x:c r="S1515" s="20"/>
      <x:c r="T1515" s="31"/>
      <x:c r="U1515" s="30" t="str">
        <x:f>IF(A1515="","缺记录编号",IF(COUNTIFS(PathRecords[记录编号],A1515)&lt;&gt;1,"记录编号重复",IF(OR(B1515="",E1515=""),"缺组合/功能",IF(COUNTIFS(Equipment[组合编号],B1515)&lt;&gt;1,"组合编号无效",IF(COUNTIFS(FunctionMatrix[编号],E1515)=0,"功能编号无效",IF(H1515="不适用",IF(J1515="已实测","适用性冲突",IF(I1515="","待补不适用依据","不适用（非实测）")),IF(J1515="阻塞",IF(I1515="","待补阻塞原因","阻塞（非实测）"),IF(J1515&lt;&gt;"已实测",IF(F1515="","待展开路径","未实测"),IF(H1515&lt;&gt;"适用","待确认适用性",IF(INDEX(Equipment[登记状态（自动）],MATCH(B1515,Equipment[组合编号],0))&lt;&gt;"已登记","待补设备组合",IF(AND(F1515&lt;&gt;"",G1515&lt;&gt;"",K1515&lt;&gt;"",L1515&lt;&gt;"",M1515&lt;&gt;"",N1515&lt;&gt;"",ISNUMBER(O1515),O1515&gt;0,P1515&lt;&gt;""),"记录齐全","待补实测记录")))))))))))</x:f>
        <x:v>待展开路径</x:v>
      </x:c>
    </x:row>
    <x:row r="1516" ht="43.5" customHeight="1">
      <x:c r="A1516" s="20" t="str">
        <x:v>REC-01507</x:v>
      </x:c>
      <x:c r="B1516" s="20" t="str">
        <x:v>P3-B5-01</x:v>
      </x:c>
      <x:c r="C1516" s="30" t="str">
        <x:f>IF(B1516="","",IF(COUNTIFS(Equipment[组合编号],B1516)&lt;&gt;1,"组合编号无效",INDEX(Equipment[PLC组],MATCH(B1516,Equipment[组合编号],0))))</x:f>
        <x:v>欧姆龙</x:v>
      </x:c>
      <x:c r="D1516" s="30" t="str">
        <x:f>IF(B1516="","",IF(COUNTIFS(Equipment[组合编号],B1516)&lt;&gt;1,"组合编号无效",INDEX(Equipment[驱动品牌],MATCH(B1516,Equipment[组合编号],0))))</x:f>
        <x:v>KEBA（可选）</x:v>
      </x:c>
      <x:c r="E1516" s="20" t="str">
        <x:v>S05</x:v>
      </x:c>
      <x:c r="F1516" s="20"/>
      <x:c r="G1516" s="20"/>
      <x:c r="H1516" s="20" t="str">
        <x:v>待判定</x:v>
      </x:c>
      <x:c r="I1516" s="20"/>
      <x:c r="J1516" s="20" t="str">
        <x:v>未测试</x:v>
      </x:c>
      <x:c r="K1516" s="20"/>
      <x:c r="L1516" s="20"/>
      <x:c r="M1516" s="20"/>
      <x:c r="N1516" s="20"/>
      <x:c r="O1516" s="31"/>
      <x:c r="P1516" s="20"/>
      <x:c r="Q1516" s="20"/>
      <x:c r="R1516" s="20" t="str">
        <x:v>待展开</x:v>
      </x:c>
      <x:c r="S1516" s="20"/>
      <x:c r="T1516" s="31"/>
      <x:c r="U1516" s="30" t="str">
        <x:f>IF(A1516="","缺记录编号",IF(COUNTIFS(PathRecords[记录编号],A1516)&lt;&gt;1,"记录编号重复",IF(OR(B1516="",E1516=""),"缺组合/功能",IF(COUNTIFS(Equipment[组合编号],B1516)&lt;&gt;1,"组合编号无效",IF(COUNTIFS(FunctionMatrix[编号],E1516)=0,"功能编号无效",IF(H1516="不适用",IF(J1516="已实测","适用性冲突",IF(I1516="","待补不适用依据","不适用（非实测）")),IF(J1516="阻塞",IF(I1516="","待补阻塞原因","阻塞（非实测）"),IF(J1516&lt;&gt;"已实测",IF(F1516="","待展开路径","未实测"),IF(H1516&lt;&gt;"适用","待确认适用性",IF(INDEX(Equipment[登记状态（自动）],MATCH(B1516,Equipment[组合编号],0))&lt;&gt;"已登记","待补设备组合",IF(AND(F1516&lt;&gt;"",G1516&lt;&gt;"",K1516&lt;&gt;"",L1516&lt;&gt;"",M1516&lt;&gt;"",N1516&lt;&gt;"",ISNUMBER(O1516),O1516&gt;0,P1516&lt;&gt;""),"记录齐全","待补实测记录")))))))))))</x:f>
        <x:v>待展开路径</x:v>
      </x:c>
    </x:row>
    <x:row r="1517" ht="43.5" customHeight="1">
      <x:c r="A1517" s="20" t="str">
        <x:v>REC-01508</x:v>
      </x:c>
      <x:c r="B1517" s="20" t="str">
        <x:v>P3-B5-01</x:v>
      </x:c>
      <x:c r="C1517" s="30" t="str">
        <x:f>IF(B1517="","",IF(COUNTIFS(Equipment[组合编号],B1517)&lt;&gt;1,"组合编号无效",INDEX(Equipment[PLC组],MATCH(B1517,Equipment[组合编号],0))))</x:f>
        <x:v>欧姆龙</x:v>
      </x:c>
      <x:c r="D1517" s="30" t="str">
        <x:f>IF(B1517="","",IF(COUNTIFS(Equipment[组合编号],B1517)&lt;&gt;1,"组合编号无效",INDEX(Equipment[驱动品牌],MATCH(B1517,Equipment[组合编号],0))))</x:f>
        <x:v>KEBA（可选）</x:v>
      </x:c>
      <x:c r="E1517" s="20" t="str">
        <x:v>S06</x:v>
      </x:c>
      <x:c r="F1517" s="20"/>
      <x:c r="G1517" s="20"/>
      <x:c r="H1517" s="20" t="str">
        <x:v>待判定</x:v>
      </x:c>
      <x:c r="I1517" s="20"/>
      <x:c r="J1517" s="20" t="str">
        <x:v>未测试</x:v>
      </x:c>
      <x:c r="K1517" s="20"/>
      <x:c r="L1517" s="20"/>
      <x:c r="M1517" s="20"/>
      <x:c r="N1517" s="20"/>
      <x:c r="O1517" s="31"/>
      <x:c r="P1517" s="20"/>
      <x:c r="Q1517" s="20"/>
      <x:c r="R1517" s="20" t="str">
        <x:v>待展开</x:v>
      </x:c>
      <x:c r="S1517" s="20"/>
      <x:c r="T1517" s="31"/>
      <x:c r="U1517" s="30" t="str">
        <x:f>IF(A1517="","缺记录编号",IF(COUNTIFS(PathRecords[记录编号],A1517)&lt;&gt;1,"记录编号重复",IF(OR(B1517="",E1517=""),"缺组合/功能",IF(COUNTIFS(Equipment[组合编号],B1517)&lt;&gt;1,"组合编号无效",IF(COUNTIFS(FunctionMatrix[编号],E1517)=0,"功能编号无效",IF(H1517="不适用",IF(J1517="已实测","适用性冲突",IF(I1517="","待补不适用依据","不适用（非实测）")),IF(J1517="阻塞",IF(I1517="","待补阻塞原因","阻塞（非实测）"),IF(J1517&lt;&gt;"已实测",IF(F1517="","待展开路径","未实测"),IF(H1517&lt;&gt;"适用","待确认适用性",IF(INDEX(Equipment[登记状态（自动）],MATCH(B1517,Equipment[组合编号],0))&lt;&gt;"已登记","待补设备组合",IF(AND(F1517&lt;&gt;"",G1517&lt;&gt;"",K1517&lt;&gt;"",L1517&lt;&gt;"",M1517&lt;&gt;"",N1517&lt;&gt;"",ISNUMBER(O1517),O1517&gt;0,P1517&lt;&gt;""),"记录齐全","待补实测记录")))))))))))</x:f>
        <x:v>待展开路径</x:v>
      </x:c>
    </x:row>
    <x:row r="1518" ht="43.5" customHeight="1">
      <x:c r="A1518" s="20" t="str">
        <x:v>REC-01509</x:v>
      </x:c>
      <x:c r="B1518" s="20" t="str">
        <x:v>P3-B5-01</x:v>
      </x:c>
      <x:c r="C1518" s="30" t="str">
        <x:f>IF(B1518="","",IF(COUNTIFS(Equipment[组合编号],B1518)&lt;&gt;1,"组合编号无效",INDEX(Equipment[PLC组],MATCH(B1518,Equipment[组合编号],0))))</x:f>
        <x:v>欧姆龙</x:v>
      </x:c>
      <x:c r="D1518" s="30" t="str">
        <x:f>IF(B1518="","",IF(COUNTIFS(Equipment[组合编号],B1518)&lt;&gt;1,"组合编号无效",INDEX(Equipment[驱动品牌],MATCH(B1518,Equipment[组合编号],0))))</x:f>
        <x:v>KEBA（可选）</x:v>
      </x:c>
      <x:c r="E1518" s="20" t="str">
        <x:v>S07</x:v>
      </x:c>
      <x:c r="F1518" s="20"/>
      <x:c r="G1518" s="20"/>
      <x:c r="H1518" s="20" t="str">
        <x:v>待判定</x:v>
      </x:c>
      <x:c r="I1518" s="20"/>
      <x:c r="J1518" s="20" t="str">
        <x:v>未测试</x:v>
      </x:c>
      <x:c r="K1518" s="20"/>
      <x:c r="L1518" s="20"/>
      <x:c r="M1518" s="20"/>
      <x:c r="N1518" s="20"/>
      <x:c r="O1518" s="31"/>
      <x:c r="P1518" s="20"/>
      <x:c r="Q1518" s="20"/>
      <x:c r="R1518" s="20" t="str">
        <x:v>待展开</x:v>
      </x:c>
      <x:c r="S1518" s="20"/>
      <x:c r="T1518" s="31"/>
      <x:c r="U1518" s="30" t="str">
        <x:f>IF(A1518="","缺记录编号",IF(COUNTIFS(PathRecords[记录编号],A1518)&lt;&gt;1,"记录编号重复",IF(OR(B1518="",E1518=""),"缺组合/功能",IF(COUNTIFS(Equipment[组合编号],B1518)&lt;&gt;1,"组合编号无效",IF(COUNTIFS(FunctionMatrix[编号],E1518)=0,"功能编号无效",IF(H1518="不适用",IF(J1518="已实测","适用性冲突",IF(I1518="","待补不适用依据","不适用（非实测）")),IF(J1518="阻塞",IF(I1518="","待补阻塞原因","阻塞（非实测）"),IF(J1518&lt;&gt;"已实测",IF(F1518="","待展开路径","未实测"),IF(H1518&lt;&gt;"适用","待确认适用性",IF(INDEX(Equipment[登记状态（自动）],MATCH(B1518,Equipment[组合编号],0))&lt;&gt;"已登记","待补设备组合",IF(AND(F1518&lt;&gt;"",G1518&lt;&gt;"",K1518&lt;&gt;"",L1518&lt;&gt;"",M1518&lt;&gt;"",N1518&lt;&gt;"",ISNUMBER(O1518),O1518&gt;0,P1518&lt;&gt;""),"记录齐全","待补实测记录")))))))))))</x:f>
        <x:v>待展开路径</x:v>
      </x:c>
    </x:row>
    <x:row r="1519" ht="43.5" customHeight="1">
      <x:c r="A1519" s="20" t="str">
        <x:v>REC-01510</x:v>
      </x:c>
      <x:c r="B1519" s="20" t="str">
        <x:v>P3-B5-01</x:v>
      </x:c>
      <x:c r="C1519" s="30" t="str">
        <x:f>IF(B1519="","",IF(COUNTIFS(Equipment[组合编号],B1519)&lt;&gt;1,"组合编号无效",INDEX(Equipment[PLC组],MATCH(B1519,Equipment[组合编号],0))))</x:f>
        <x:v>欧姆龙</x:v>
      </x:c>
      <x:c r="D1519" s="30" t="str">
        <x:f>IF(B1519="","",IF(COUNTIFS(Equipment[组合编号],B1519)&lt;&gt;1,"组合编号无效",INDEX(Equipment[驱动品牌],MATCH(B1519,Equipment[组合编号],0))))</x:f>
        <x:v>KEBA（可选）</x:v>
      </x:c>
      <x:c r="E1519" s="20" t="str">
        <x:v>S08</x:v>
      </x:c>
      <x:c r="F1519" s="20"/>
      <x:c r="G1519" s="20"/>
      <x:c r="H1519" s="20" t="str">
        <x:v>待判定</x:v>
      </x:c>
      <x:c r="I1519" s="20"/>
      <x:c r="J1519" s="20" t="str">
        <x:v>未测试</x:v>
      </x:c>
      <x:c r="K1519" s="20"/>
      <x:c r="L1519" s="20"/>
      <x:c r="M1519" s="20"/>
      <x:c r="N1519" s="20"/>
      <x:c r="O1519" s="31"/>
      <x:c r="P1519" s="20"/>
      <x:c r="Q1519" s="20"/>
      <x:c r="R1519" s="20" t="str">
        <x:v>待展开</x:v>
      </x:c>
      <x:c r="S1519" s="20"/>
      <x:c r="T1519" s="31"/>
      <x:c r="U1519" s="30" t="str">
        <x:f>IF(A1519="","缺记录编号",IF(COUNTIFS(PathRecords[记录编号],A1519)&lt;&gt;1,"记录编号重复",IF(OR(B1519="",E1519=""),"缺组合/功能",IF(COUNTIFS(Equipment[组合编号],B1519)&lt;&gt;1,"组合编号无效",IF(COUNTIFS(FunctionMatrix[编号],E1519)=0,"功能编号无效",IF(H1519="不适用",IF(J1519="已实测","适用性冲突",IF(I1519="","待补不适用依据","不适用（非实测）")),IF(J1519="阻塞",IF(I1519="","待补阻塞原因","阻塞（非实测）"),IF(J1519&lt;&gt;"已实测",IF(F1519="","待展开路径","未实测"),IF(H1519&lt;&gt;"适用","待确认适用性",IF(INDEX(Equipment[登记状态（自动）],MATCH(B1519,Equipment[组合编号],0))&lt;&gt;"已登记","待补设备组合",IF(AND(F1519&lt;&gt;"",G1519&lt;&gt;"",K1519&lt;&gt;"",L1519&lt;&gt;"",M1519&lt;&gt;"",N1519&lt;&gt;"",ISNUMBER(O1519),O1519&gt;0,P1519&lt;&gt;""),"记录齐全","待补实测记录")))))))))))</x:f>
        <x:v>待展开路径</x:v>
      </x:c>
    </x:row>
    <x:row r="1520" ht="43.5" customHeight="1">
      <x:c r="A1520" s="20" t="str">
        <x:v>REC-01511</x:v>
      </x:c>
      <x:c r="B1520" s="20" t="str">
        <x:v>P3-B5-01</x:v>
      </x:c>
      <x:c r="C1520" s="30" t="str">
        <x:f>IF(B1520="","",IF(COUNTIFS(Equipment[组合编号],B1520)&lt;&gt;1,"组合编号无效",INDEX(Equipment[PLC组],MATCH(B1520,Equipment[组合编号],0))))</x:f>
        <x:v>欧姆龙</x:v>
      </x:c>
      <x:c r="D1520" s="30" t="str">
        <x:f>IF(B1520="","",IF(COUNTIFS(Equipment[组合编号],B1520)&lt;&gt;1,"组合编号无效",INDEX(Equipment[驱动品牌],MATCH(B1520,Equipment[组合编号],0))))</x:f>
        <x:v>KEBA（可选）</x:v>
      </x:c>
      <x:c r="E1520" s="20" t="str">
        <x:v>S09</x:v>
      </x:c>
      <x:c r="F1520" s="20"/>
      <x:c r="G1520" s="20"/>
      <x:c r="H1520" s="20" t="str">
        <x:v>待判定</x:v>
      </x:c>
      <x:c r="I1520" s="20"/>
      <x:c r="J1520" s="20" t="str">
        <x:v>未测试</x:v>
      </x:c>
      <x:c r="K1520" s="20"/>
      <x:c r="L1520" s="20"/>
      <x:c r="M1520" s="20"/>
      <x:c r="N1520" s="20"/>
      <x:c r="O1520" s="31"/>
      <x:c r="P1520" s="20"/>
      <x:c r="Q1520" s="20"/>
      <x:c r="R1520" s="20" t="str">
        <x:v>待展开</x:v>
      </x:c>
      <x:c r="S1520" s="20"/>
      <x:c r="T1520" s="31"/>
      <x:c r="U1520" s="30" t="str">
        <x:f>IF(A1520="","缺记录编号",IF(COUNTIFS(PathRecords[记录编号],A1520)&lt;&gt;1,"记录编号重复",IF(OR(B1520="",E1520=""),"缺组合/功能",IF(COUNTIFS(Equipment[组合编号],B1520)&lt;&gt;1,"组合编号无效",IF(COUNTIFS(FunctionMatrix[编号],E1520)=0,"功能编号无效",IF(H1520="不适用",IF(J1520="已实测","适用性冲突",IF(I1520="","待补不适用依据","不适用（非实测）")),IF(J1520="阻塞",IF(I1520="","待补阻塞原因","阻塞（非实测）"),IF(J1520&lt;&gt;"已实测",IF(F1520="","待展开路径","未实测"),IF(H1520&lt;&gt;"适用","待确认适用性",IF(INDEX(Equipment[登记状态（自动）],MATCH(B1520,Equipment[组合编号],0))&lt;&gt;"已登记","待补设备组合",IF(AND(F1520&lt;&gt;"",G1520&lt;&gt;"",K1520&lt;&gt;"",L1520&lt;&gt;"",M1520&lt;&gt;"",N1520&lt;&gt;"",ISNUMBER(O1520),O1520&gt;0,P1520&lt;&gt;""),"记录齐全","待补实测记录")))))))))))</x:f>
        <x:v>待展开路径</x:v>
      </x:c>
    </x:row>
    <x:row r="1521" ht="43.5" customHeight="1">
      <x:c r="A1521" s="20" t="str">
        <x:v>REC-01512</x:v>
      </x:c>
      <x:c r="B1521" s="20" t="str">
        <x:v>P3-B5-01</x:v>
      </x:c>
      <x:c r="C1521" s="30" t="str">
        <x:f>IF(B1521="","",IF(COUNTIFS(Equipment[组合编号],B1521)&lt;&gt;1,"组合编号无效",INDEX(Equipment[PLC组],MATCH(B1521,Equipment[组合编号],0))))</x:f>
        <x:v>欧姆龙</x:v>
      </x:c>
      <x:c r="D1521" s="30" t="str">
        <x:f>IF(B1521="","",IF(COUNTIFS(Equipment[组合编号],B1521)&lt;&gt;1,"组合编号无效",INDEX(Equipment[驱动品牌],MATCH(B1521,Equipment[组合编号],0))))</x:f>
        <x:v>KEBA（可选）</x:v>
      </x:c>
      <x:c r="E1521" s="20" t="str">
        <x:v>U01</x:v>
      </x:c>
      <x:c r="F1521" s="20"/>
      <x:c r="G1521" s="20"/>
      <x:c r="H1521" s="20" t="str">
        <x:v>待判定</x:v>
      </x:c>
      <x:c r="I1521" s="20"/>
      <x:c r="J1521" s="20" t="str">
        <x:v>未测试</x:v>
      </x:c>
      <x:c r="K1521" s="20"/>
      <x:c r="L1521" s="20"/>
      <x:c r="M1521" s="20"/>
      <x:c r="N1521" s="20"/>
      <x:c r="O1521" s="31"/>
      <x:c r="P1521" s="20"/>
      <x:c r="Q1521" s="20"/>
      <x:c r="R1521" s="20" t="str">
        <x:v>待展开</x:v>
      </x:c>
      <x:c r="S1521" s="20"/>
      <x:c r="T1521" s="31"/>
      <x:c r="U1521" s="30" t="str">
        <x:f>IF(A1521="","缺记录编号",IF(COUNTIFS(PathRecords[记录编号],A1521)&lt;&gt;1,"记录编号重复",IF(OR(B1521="",E1521=""),"缺组合/功能",IF(COUNTIFS(Equipment[组合编号],B1521)&lt;&gt;1,"组合编号无效",IF(COUNTIFS(FunctionMatrix[编号],E1521)=0,"功能编号无效",IF(H1521="不适用",IF(J1521="已实测","适用性冲突",IF(I1521="","待补不适用依据","不适用（非实测）")),IF(J1521="阻塞",IF(I1521="","待补阻塞原因","阻塞（非实测）"),IF(J1521&lt;&gt;"已实测",IF(F1521="","待展开路径","未实测"),IF(H1521&lt;&gt;"适用","待确认适用性",IF(INDEX(Equipment[登记状态（自动）],MATCH(B1521,Equipment[组合编号],0))&lt;&gt;"已登记","待补设备组合",IF(AND(F1521&lt;&gt;"",G1521&lt;&gt;"",K1521&lt;&gt;"",L1521&lt;&gt;"",M1521&lt;&gt;"",N1521&lt;&gt;"",ISNUMBER(O1521),O1521&gt;0,P1521&lt;&gt;""),"记录齐全","待补实测记录")))))))))))</x:f>
        <x:v>待展开路径</x:v>
      </x:c>
    </x:row>
    <x:row r="1522" ht="43.5" customHeight="1">
      <x:c r="A1522" s="20" t="str">
        <x:v>REC-01513</x:v>
      </x:c>
      <x:c r="B1522" s="20" t="str">
        <x:v>P3-B5-01</x:v>
      </x:c>
      <x:c r="C1522" s="30" t="str">
        <x:f>IF(B1522="","",IF(COUNTIFS(Equipment[组合编号],B1522)&lt;&gt;1,"组合编号无效",INDEX(Equipment[PLC组],MATCH(B1522,Equipment[组合编号],0))))</x:f>
        <x:v>欧姆龙</x:v>
      </x:c>
      <x:c r="D1522" s="30" t="str">
        <x:f>IF(B1522="","",IF(COUNTIFS(Equipment[组合编号],B1522)&lt;&gt;1,"组合编号无效",INDEX(Equipment[驱动品牌],MATCH(B1522,Equipment[组合编号],0))))</x:f>
        <x:v>KEBA（可选）</x:v>
      </x:c>
      <x:c r="E1522" s="20" t="str">
        <x:v>U02</x:v>
      </x:c>
      <x:c r="F1522" s="20"/>
      <x:c r="G1522" s="20"/>
      <x:c r="H1522" s="20" t="str">
        <x:v>待判定</x:v>
      </x:c>
      <x:c r="I1522" s="20"/>
      <x:c r="J1522" s="20" t="str">
        <x:v>未测试</x:v>
      </x:c>
      <x:c r="K1522" s="20"/>
      <x:c r="L1522" s="20"/>
      <x:c r="M1522" s="20"/>
      <x:c r="N1522" s="20"/>
      <x:c r="O1522" s="31"/>
      <x:c r="P1522" s="20"/>
      <x:c r="Q1522" s="20"/>
      <x:c r="R1522" s="20" t="str">
        <x:v>待展开</x:v>
      </x:c>
      <x:c r="S1522" s="20"/>
      <x:c r="T1522" s="31"/>
      <x:c r="U1522" s="30" t="str">
        <x:f>IF(A1522="","缺记录编号",IF(COUNTIFS(PathRecords[记录编号],A1522)&lt;&gt;1,"记录编号重复",IF(OR(B1522="",E1522=""),"缺组合/功能",IF(COUNTIFS(Equipment[组合编号],B1522)&lt;&gt;1,"组合编号无效",IF(COUNTIFS(FunctionMatrix[编号],E1522)=0,"功能编号无效",IF(H1522="不适用",IF(J1522="已实测","适用性冲突",IF(I1522="","待补不适用依据","不适用（非实测）")),IF(J1522="阻塞",IF(I1522="","待补阻塞原因","阻塞（非实测）"),IF(J1522&lt;&gt;"已实测",IF(F1522="","待展开路径","未实测"),IF(H1522&lt;&gt;"适用","待确认适用性",IF(INDEX(Equipment[登记状态（自动）],MATCH(B1522,Equipment[组合编号],0))&lt;&gt;"已登记","待补设备组合",IF(AND(F1522&lt;&gt;"",G1522&lt;&gt;"",K1522&lt;&gt;"",L1522&lt;&gt;"",M1522&lt;&gt;"",N1522&lt;&gt;"",ISNUMBER(O1522),O1522&gt;0,P1522&lt;&gt;""),"记录齐全","待补实测记录")))))))))))</x:f>
        <x:v>待展开路径</x:v>
      </x:c>
    </x:row>
    <x:row r="1523" ht="43.5" customHeight="1">
      <x:c r="A1523" s="20" t="str">
        <x:v>REC-01514</x:v>
      </x:c>
      <x:c r="B1523" s="20" t="str">
        <x:v>P3-B5-01</x:v>
      </x:c>
      <x:c r="C1523" s="30" t="str">
        <x:f>IF(B1523="","",IF(COUNTIFS(Equipment[组合编号],B1523)&lt;&gt;1,"组合编号无效",INDEX(Equipment[PLC组],MATCH(B1523,Equipment[组合编号],0))))</x:f>
        <x:v>欧姆龙</x:v>
      </x:c>
      <x:c r="D1523" s="30" t="str">
        <x:f>IF(B1523="","",IF(COUNTIFS(Equipment[组合编号],B1523)&lt;&gt;1,"组合编号无效",INDEX(Equipment[驱动品牌],MATCH(B1523,Equipment[组合编号],0))))</x:f>
        <x:v>KEBA（可选）</x:v>
      </x:c>
      <x:c r="E1523" s="20" t="str">
        <x:v>U03</x:v>
      </x:c>
      <x:c r="F1523" s="20"/>
      <x:c r="G1523" s="20"/>
      <x:c r="H1523" s="20" t="str">
        <x:v>待判定</x:v>
      </x:c>
      <x:c r="I1523" s="20"/>
      <x:c r="J1523" s="20" t="str">
        <x:v>未测试</x:v>
      </x:c>
      <x:c r="K1523" s="20"/>
      <x:c r="L1523" s="20"/>
      <x:c r="M1523" s="20"/>
      <x:c r="N1523" s="20"/>
      <x:c r="O1523" s="31"/>
      <x:c r="P1523" s="20"/>
      <x:c r="Q1523" s="20"/>
      <x:c r="R1523" s="20" t="str">
        <x:v>待展开</x:v>
      </x:c>
      <x:c r="S1523" s="20"/>
      <x:c r="T1523" s="31"/>
      <x:c r="U1523" s="30" t="str">
        <x:f>IF(A1523="","缺记录编号",IF(COUNTIFS(PathRecords[记录编号],A1523)&lt;&gt;1,"记录编号重复",IF(OR(B1523="",E1523=""),"缺组合/功能",IF(COUNTIFS(Equipment[组合编号],B1523)&lt;&gt;1,"组合编号无效",IF(COUNTIFS(FunctionMatrix[编号],E1523)=0,"功能编号无效",IF(H1523="不适用",IF(J1523="已实测","适用性冲突",IF(I1523="","待补不适用依据","不适用（非实测）")),IF(J1523="阻塞",IF(I1523="","待补阻塞原因","阻塞（非实测）"),IF(J1523&lt;&gt;"已实测",IF(F1523="","待展开路径","未实测"),IF(H1523&lt;&gt;"适用","待确认适用性",IF(INDEX(Equipment[登记状态（自动）],MATCH(B1523,Equipment[组合编号],0))&lt;&gt;"已登记","待补设备组合",IF(AND(F1523&lt;&gt;"",G1523&lt;&gt;"",K1523&lt;&gt;"",L1523&lt;&gt;"",M1523&lt;&gt;"",N1523&lt;&gt;"",ISNUMBER(O1523),O1523&gt;0,P1523&lt;&gt;""),"记录齐全","待补实测记录")))))))))))</x:f>
        <x:v>待展开路径</x:v>
      </x:c>
    </x:row>
    <x:row r="1524" ht="43.5" customHeight="1">
      <x:c r="A1524" s="20" t="str">
        <x:v>REC-01515</x:v>
      </x:c>
      <x:c r="B1524" s="20" t="str">
        <x:v>P3-B5-01</x:v>
      </x:c>
      <x:c r="C1524" s="30" t="str">
        <x:f>IF(B1524="","",IF(COUNTIFS(Equipment[组合编号],B1524)&lt;&gt;1,"组合编号无效",INDEX(Equipment[PLC组],MATCH(B1524,Equipment[组合编号],0))))</x:f>
        <x:v>欧姆龙</x:v>
      </x:c>
      <x:c r="D1524" s="30" t="str">
        <x:f>IF(B1524="","",IF(COUNTIFS(Equipment[组合编号],B1524)&lt;&gt;1,"组合编号无效",INDEX(Equipment[驱动品牌],MATCH(B1524,Equipment[组合编号],0))))</x:f>
        <x:v>KEBA（可选）</x:v>
      </x:c>
      <x:c r="E1524" s="20" t="str">
        <x:v>U04</x:v>
      </x:c>
      <x:c r="F1524" s="20"/>
      <x:c r="G1524" s="20"/>
      <x:c r="H1524" s="20" t="str">
        <x:v>待判定</x:v>
      </x:c>
      <x:c r="I1524" s="20"/>
      <x:c r="J1524" s="20" t="str">
        <x:v>未测试</x:v>
      </x:c>
      <x:c r="K1524" s="20"/>
      <x:c r="L1524" s="20"/>
      <x:c r="M1524" s="20"/>
      <x:c r="N1524" s="20"/>
      <x:c r="O1524" s="31"/>
      <x:c r="P1524" s="20"/>
      <x:c r="Q1524" s="20"/>
      <x:c r="R1524" s="20" t="str">
        <x:v>待展开</x:v>
      </x:c>
      <x:c r="S1524" s="20"/>
      <x:c r="T1524" s="31"/>
      <x:c r="U1524" s="30" t="str">
        <x:f>IF(A1524="","缺记录编号",IF(COUNTIFS(PathRecords[记录编号],A1524)&lt;&gt;1,"记录编号重复",IF(OR(B1524="",E1524=""),"缺组合/功能",IF(COUNTIFS(Equipment[组合编号],B1524)&lt;&gt;1,"组合编号无效",IF(COUNTIFS(FunctionMatrix[编号],E1524)=0,"功能编号无效",IF(H1524="不适用",IF(J1524="已实测","适用性冲突",IF(I1524="","待补不适用依据","不适用（非实测）")),IF(J1524="阻塞",IF(I1524="","待补阻塞原因","阻塞（非实测）"),IF(J1524&lt;&gt;"已实测",IF(F1524="","待展开路径","未实测"),IF(H1524&lt;&gt;"适用","待确认适用性",IF(INDEX(Equipment[登记状态（自动）],MATCH(B1524,Equipment[组合编号],0))&lt;&gt;"已登记","待补设备组合",IF(AND(F1524&lt;&gt;"",G1524&lt;&gt;"",K1524&lt;&gt;"",L1524&lt;&gt;"",M1524&lt;&gt;"",N1524&lt;&gt;"",ISNUMBER(O1524),O1524&gt;0,P1524&lt;&gt;""),"记录齐全","待补实测记录")))))))))))</x:f>
        <x:v>待展开路径</x:v>
      </x:c>
    </x:row>
    <x:row r="1525" ht="43.5" customHeight="1">
      <x:c r="A1525" s="20" t="str">
        <x:v>REC-01516</x:v>
      </x:c>
      <x:c r="B1525" s="20" t="str">
        <x:v>P3-B5-01</x:v>
      </x:c>
      <x:c r="C1525" s="30" t="str">
        <x:f>IF(B1525="","",IF(COUNTIFS(Equipment[组合编号],B1525)&lt;&gt;1,"组合编号无效",INDEX(Equipment[PLC组],MATCH(B1525,Equipment[组合编号],0))))</x:f>
        <x:v>欧姆龙</x:v>
      </x:c>
      <x:c r="D1525" s="30" t="str">
        <x:f>IF(B1525="","",IF(COUNTIFS(Equipment[组合编号],B1525)&lt;&gt;1,"组合编号无效",INDEX(Equipment[驱动品牌],MATCH(B1525,Equipment[组合编号],0))))</x:f>
        <x:v>KEBA（可选）</x:v>
      </x:c>
      <x:c r="E1525" s="20" t="str">
        <x:v>U05</x:v>
      </x:c>
      <x:c r="F1525" s="20"/>
      <x:c r="G1525" s="20"/>
      <x:c r="H1525" s="20" t="str">
        <x:v>待判定</x:v>
      </x:c>
      <x:c r="I1525" s="20"/>
      <x:c r="J1525" s="20" t="str">
        <x:v>未测试</x:v>
      </x:c>
      <x:c r="K1525" s="20"/>
      <x:c r="L1525" s="20"/>
      <x:c r="M1525" s="20"/>
      <x:c r="N1525" s="20"/>
      <x:c r="O1525" s="31"/>
      <x:c r="P1525" s="20"/>
      <x:c r="Q1525" s="20"/>
      <x:c r="R1525" s="20" t="str">
        <x:v>待展开</x:v>
      </x:c>
      <x:c r="S1525" s="20"/>
      <x:c r="T1525" s="31"/>
      <x:c r="U1525" s="30" t="str">
        <x:f>IF(A1525="","缺记录编号",IF(COUNTIFS(PathRecords[记录编号],A1525)&lt;&gt;1,"记录编号重复",IF(OR(B1525="",E1525=""),"缺组合/功能",IF(COUNTIFS(Equipment[组合编号],B1525)&lt;&gt;1,"组合编号无效",IF(COUNTIFS(FunctionMatrix[编号],E1525)=0,"功能编号无效",IF(H1525="不适用",IF(J1525="已实测","适用性冲突",IF(I1525="","待补不适用依据","不适用（非实测）")),IF(J1525="阻塞",IF(I1525="","待补阻塞原因","阻塞（非实测）"),IF(J1525&lt;&gt;"已实测",IF(F1525="","待展开路径","未实测"),IF(H1525&lt;&gt;"适用","待确认适用性",IF(INDEX(Equipment[登记状态（自动）],MATCH(B1525,Equipment[组合编号],0))&lt;&gt;"已登记","待补设备组合",IF(AND(F1525&lt;&gt;"",G1525&lt;&gt;"",K1525&lt;&gt;"",L1525&lt;&gt;"",M1525&lt;&gt;"",N1525&lt;&gt;"",ISNUMBER(O1525),O1525&gt;0,P1525&lt;&gt;""),"记录齐全","待补实测记录")))))))))))</x:f>
        <x:v>待展开路径</x:v>
      </x:c>
    </x:row>
    <x:row r="1526" ht="43.5" customHeight="1">
      <x:c r="A1526" s="20" t="str">
        <x:v>REC-01517</x:v>
      </x:c>
      <x:c r="B1526" s="20" t="str">
        <x:v>P3-B5-01</x:v>
      </x:c>
      <x:c r="C1526" s="30" t="str">
        <x:f>IF(B1526="","",IF(COUNTIFS(Equipment[组合编号],B1526)&lt;&gt;1,"组合编号无效",INDEX(Equipment[PLC组],MATCH(B1526,Equipment[组合编号],0))))</x:f>
        <x:v>欧姆龙</x:v>
      </x:c>
      <x:c r="D1526" s="30" t="str">
        <x:f>IF(B1526="","",IF(COUNTIFS(Equipment[组合编号],B1526)&lt;&gt;1,"组合编号无效",INDEX(Equipment[驱动品牌],MATCH(B1526,Equipment[组合编号],0))))</x:f>
        <x:v>KEBA（可选）</x:v>
      </x:c>
      <x:c r="E1526" s="20" t="str">
        <x:v>U06</x:v>
      </x:c>
      <x:c r="F1526" s="20"/>
      <x:c r="G1526" s="20"/>
      <x:c r="H1526" s="20" t="str">
        <x:v>待判定</x:v>
      </x:c>
      <x:c r="I1526" s="20"/>
      <x:c r="J1526" s="20" t="str">
        <x:v>未测试</x:v>
      </x:c>
      <x:c r="K1526" s="20"/>
      <x:c r="L1526" s="20"/>
      <x:c r="M1526" s="20"/>
      <x:c r="N1526" s="20"/>
      <x:c r="O1526" s="31"/>
      <x:c r="P1526" s="20"/>
      <x:c r="Q1526" s="20"/>
      <x:c r="R1526" s="20" t="str">
        <x:v>待展开</x:v>
      </x:c>
      <x:c r="S1526" s="20"/>
      <x:c r="T1526" s="31"/>
      <x:c r="U1526" s="30" t="str">
        <x:f>IF(A1526="","缺记录编号",IF(COUNTIFS(PathRecords[记录编号],A1526)&lt;&gt;1,"记录编号重复",IF(OR(B1526="",E1526=""),"缺组合/功能",IF(COUNTIFS(Equipment[组合编号],B1526)&lt;&gt;1,"组合编号无效",IF(COUNTIFS(FunctionMatrix[编号],E1526)=0,"功能编号无效",IF(H1526="不适用",IF(J1526="已实测","适用性冲突",IF(I1526="","待补不适用依据","不适用（非实测）")),IF(J1526="阻塞",IF(I1526="","待补阻塞原因","阻塞（非实测）"),IF(J1526&lt;&gt;"已实测",IF(F1526="","待展开路径","未实测"),IF(H1526&lt;&gt;"适用","待确认适用性",IF(INDEX(Equipment[登记状态（自动）],MATCH(B1526,Equipment[组合编号],0))&lt;&gt;"已登记","待补设备组合",IF(AND(F1526&lt;&gt;"",G1526&lt;&gt;"",K1526&lt;&gt;"",L1526&lt;&gt;"",M1526&lt;&gt;"",N1526&lt;&gt;"",ISNUMBER(O1526),O1526&gt;0,P1526&lt;&gt;""),"记录齐全","待补实测记录")))))))))))</x:f>
        <x:v>待展开路径</x:v>
      </x:c>
    </x:row>
    <x:row r="1527" ht="43.5" customHeight="1">
      <x:c r="A1527" s="20" t="str">
        <x:v>REC-01518</x:v>
      </x:c>
      <x:c r="B1527" s="20" t="str">
        <x:v>P3-B5-01</x:v>
      </x:c>
      <x:c r="C1527" s="30" t="str">
        <x:f>IF(B1527="","",IF(COUNTIFS(Equipment[组合编号],B1527)&lt;&gt;1,"组合编号无效",INDEX(Equipment[PLC组],MATCH(B1527,Equipment[组合编号],0))))</x:f>
        <x:v>欧姆龙</x:v>
      </x:c>
      <x:c r="D1527" s="30" t="str">
        <x:f>IF(B1527="","",IF(COUNTIFS(Equipment[组合编号],B1527)&lt;&gt;1,"组合编号无效",INDEX(Equipment[驱动品牌],MATCH(B1527,Equipment[组合编号],0))))</x:f>
        <x:v>KEBA（可选）</x:v>
      </x:c>
      <x:c r="E1527" s="20" t="str">
        <x:v>U07</x:v>
      </x:c>
      <x:c r="F1527" s="20"/>
      <x:c r="G1527" s="20"/>
      <x:c r="H1527" s="20" t="str">
        <x:v>待判定</x:v>
      </x:c>
      <x:c r="I1527" s="20"/>
      <x:c r="J1527" s="20" t="str">
        <x:v>未测试</x:v>
      </x:c>
      <x:c r="K1527" s="20"/>
      <x:c r="L1527" s="20"/>
      <x:c r="M1527" s="20"/>
      <x:c r="N1527" s="20"/>
      <x:c r="O1527" s="31"/>
      <x:c r="P1527" s="20"/>
      <x:c r="Q1527" s="20"/>
      <x:c r="R1527" s="20" t="str">
        <x:v>待展开</x:v>
      </x:c>
      <x:c r="S1527" s="20"/>
      <x:c r="T1527" s="31"/>
      <x:c r="U1527" s="30" t="str">
        <x:f>IF(A1527="","缺记录编号",IF(COUNTIFS(PathRecords[记录编号],A1527)&lt;&gt;1,"记录编号重复",IF(OR(B1527="",E1527=""),"缺组合/功能",IF(COUNTIFS(Equipment[组合编号],B1527)&lt;&gt;1,"组合编号无效",IF(COUNTIFS(FunctionMatrix[编号],E1527)=0,"功能编号无效",IF(H1527="不适用",IF(J1527="已实测","适用性冲突",IF(I1527="","待补不适用依据","不适用（非实测）")),IF(J1527="阻塞",IF(I1527="","待补阻塞原因","阻塞（非实测）"),IF(J1527&lt;&gt;"已实测",IF(F1527="","待展开路径","未实测"),IF(H1527&lt;&gt;"适用","待确认适用性",IF(INDEX(Equipment[登记状态（自动）],MATCH(B1527,Equipment[组合编号],0))&lt;&gt;"已登记","待补设备组合",IF(AND(F1527&lt;&gt;"",G1527&lt;&gt;"",K1527&lt;&gt;"",L1527&lt;&gt;"",M1527&lt;&gt;"",N1527&lt;&gt;"",ISNUMBER(O1527),O1527&gt;0,P1527&lt;&gt;""),"记录齐全","待补实测记录")))))))))))</x:f>
        <x:v>待展开路径</x:v>
      </x:c>
    </x:row>
    <x:row r="1528" ht="43.5" customHeight="1">
      <x:c r="A1528" s="20" t="str">
        <x:v>REC-01519</x:v>
      </x:c>
      <x:c r="B1528" s="20" t="str">
        <x:v>P3-B5-01</x:v>
      </x:c>
      <x:c r="C1528" s="30" t="str">
        <x:f>IF(B1528="","",IF(COUNTIFS(Equipment[组合编号],B1528)&lt;&gt;1,"组合编号无效",INDEX(Equipment[PLC组],MATCH(B1528,Equipment[组合编号],0))))</x:f>
        <x:v>欧姆龙</x:v>
      </x:c>
      <x:c r="D1528" s="30" t="str">
        <x:f>IF(B1528="","",IF(COUNTIFS(Equipment[组合编号],B1528)&lt;&gt;1,"组合编号无效",INDEX(Equipment[驱动品牌],MATCH(B1528,Equipment[组合编号],0))))</x:f>
        <x:v>KEBA（可选）</x:v>
      </x:c>
      <x:c r="E1528" s="20" t="str">
        <x:v>U08</x:v>
      </x:c>
      <x:c r="F1528" s="20"/>
      <x:c r="G1528" s="20"/>
      <x:c r="H1528" s="20" t="str">
        <x:v>待判定</x:v>
      </x:c>
      <x:c r="I1528" s="20"/>
      <x:c r="J1528" s="20" t="str">
        <x:v>未测试</x:v>
      </x:c>
      <x:c r="K1528" s="20"/>
      <x:c r="L1528" s="20"/>
      <x:c r="M1528" s="20"/>
      <x:c r="N1528" s="20"/>
      <x:c r="O1528" s="31"/>
      <x:c r="P1528" s="20"/>
      <x:c r="Q1528" s="20"/>
      <x:c r="R1528" s="20" t="str">
        <x:v>待展开</x:v>
      </x:c>
      <x:c r="S1528" s="20"/>
      <x:c r="T1528" s="31"/>
      <x:c r="U1528" s="30" t="str">
        <x:f>IF(A1528="","缺记录编号",IF(COUNTIFS(PathRecords[记录编号],A1528)&lt;&gt;1,"记录编号重复",IF(OR(B1528="",E1528=""),"缺组合/功能",IF(COUNTIFS(Equipment[组合编号],B1528)&lt;&gt;1,"组合编号无效",IF(COUNTIFS(FunctionMatrix[编号],E1528)=0,"功能编号无效",IF(H1528="不适用",IF(J1528="已实测","适用性冲突",IF(I1528="","待补不适用依据","不适用（非实测）")),IF(J1528="阻塞",IF(I1528="","待补阻塞原因","阻塞（非实测）"),IF(J1528&lt;&gt;"已实测",IF(F1528="","待展开路径","未实测"),IF(H1528&lt;&gt;"适用","待确认适用性",IF(INDEX(Equipment[登记状态（自动）],MATCH(B1528,Equipment[组合编号],0))&lt;&gt;"已登记","待补设备组合",IF(AND(F1528&lt;&gt;"",G1528&lt;&gt;"",K1528&lt;&gt;"",L1528&lt;&gt;"",M1528&lt;&gt;"",N1528&lt;&gt;"",ISNUMBER(O1528),O1528&gt;0,P1528&lt;&gt;""),"记录齐全","待补实测记录")))))))))))</x:f>
        <x:v>待展开路径</x:v>
      </x:c>
    </x:row>
    <x:row r="1529" ht="43.5" customHeight="1">
      <x:c r="A1529" s="20" t="str">
        <x:v>REC-01520</x:v>
      </x:c>
      <x:c r="B1529" s="20" t="str">
        <x:v>P3-B5-01</x:v>
      </x:c>
      <x:c r="C1529" s="30" t="str">
        <x:f>IF(B1529="","",IF(COUNTIFS(Equipment[组合编号],B1529)&lt;&gt;1,"组合编号无效",INDEX(Equipment[PLC组],MATCH(B1529,Equipment[组合编号],0))))</x:f>
        <x:v>欧姆龙</x:v>
      </x:c>
      <x:c r="D1529" s="30" t="str">
        <x:f>IF(B1529="","",IF(COUNTIFS(Equipment[组合编号],B1529)&lt;&gt;1,"组合编号无效",INDEX(Equipment[驱动品牌],MATCH(B1529,Equipment[组合编号],0))))</x:f>
        <x:v>KEBA（可选）</x:v>
      </x:c>
      <x:c r="E1529" s="20" t="str">
        <x:v>U09</x:v>
      </x:c>
      <x:c r="F1529" s="20"/>
      <x:c r="G1529" s="20"/>
      <x:c r="H1529" s="20" t="str">
        <x:v>待判定</x:v>
      </x:c>
      <x:c r="I1529" s="20"/>
      <x:c r="J1529" s="20" t="str">
        <x:v>未测试</x:v>
      </x:c>
      <x:c r="K1529" s="20"/>
      <x:c r="L1529" s="20"/>
      <x:c r="M1529" s="20"/>
      <x:c r="N1529" s="20"/>
      <x:c r="O1529" s="31"/>
      <x:c r="P1529" s="20"/>
      <x:c r="Q1529" s="20"/>
      <x:c r="R1529" s="20" t="str">
        <x:v>待展开</x:v>
      </x:c>
      <x:c r="S1529" s="20"/>
      <x:c r="T1529" s="31"/>
      <x:c r="U1529" s="30" t="str">
        <x:f>IF(A1529="","缺记录编号",IF(COUNTIFS(PathRecords[记录编号],A1529)&lt;&gt;1,"记录编号重复",IF(OR(B1529="",E1529=""),"缺组合/功能",IF(COUNTIFS(Equipment[组合编号],B1529)&lt;&gt;1,"组合编号无效",IF(COUNTIFS(FunctionMatrix[编号],E1529)=0,"功能编号无效",IF(H1529="不适用",IF(J1529="已实测","适用性冲突",IF(I1529="","待补不适用依据","不适用（非实测）")),IF(J1529="阻塞",IF(I1529="","待补阻塞原因","阻塞（非实测）"),IF(J1529&lt;&gt;"已实测",IF(F1529="","待展开路径","未实测"),IF(H1529&lt;&gt;"适用","待确认适用性",IF(INDEX(Equipment[登记状态（自动）],MATCH(B1529,Equipment[组合编号],0))&lt;&gt;"已登记","待补设备组合",IF(AND(F1529&lt;&gt;"",G1529&lt;&gt;"",K1529&lt;&gt;"",L1529&lt;&gt;"",M1529&lt;&gt;"",N1529&lt;&gt;"",ISNUMBER(O1529),O1529&gt;0,P1529&lt;&gt;""),"记录齐全","待补实测记录")))))))))))</x:f>
        <x:v>待展开路径</x:v>
      </x:c>
    </x:row>
    <x:row r="1530" ht="43.5" customHeight="1">
      <x:c r="A1530" s="20" t="str">
        <x:v>REC-01521</x:v>
      </x:c>
      <x:c r="B1530" s="20" t="str">
        <x:v>P3-B5-01</x:v>
      </x:c>
      <x:c r="C1530" s="30" t="str">
        <x:f>IF(B1530="","",IF(COUNTIFS(Equipment[组合编号],B1530)&lt;&gt;1,"组合编号无效",INDEX(Equipment[PLC组],MATCH(B1530,Equipment[组合编号],0))))</x:f>
        <x:v>欧姆龙</x:v>
      </x:c>
      <x:c r="D1530" s="30" t="str">
        <x:f>IF(B1530="","",IF(COUNTIFS(Equipment[组合编号],B1530)&lt;&gt;1,"组合编号无效",INDEX(Equipment[驱动品牌],MATCH(B1530,Equipment[组合编号],0))))</x:f>
        <x:v>KEBA（可选）</x:v>
      </x:c>
      <x:c r="E1530" s="20" t="str">
        <x:v>U10</x:v>
      </x:c>
      <x:c r="F1530" s="20"/>
      <x:c r="G1530" s="20"/>
      <x:c r="H1530" s="20" t="str">
        <x:v>待判定</x:v>
      </x:c>
      <x:c r="I1530" s="20"/>
      <x:c r="J1530" s="20" t="str">
        <x:v>未测试</x:v>
      </x:c>
      <x:c r="K1530" s="20"/>
      <x:c r="L1530" s="20"/>
      <x:c r="M1530" s="20"/>
      <x:c r="N1530" s="20"/>
      <x:c r="O1530" s="31"/>
      <x:c r="P1530" s="20"/>
      <x:c r="Q1530" s="20"/>
      <x:c r="R1530" s="20" t="str">
        <x:v>待展开</x:v>
      </x:c>
      <x:c r="S1530" s="20"/>
      <x:c r="T1530" s="31"/>
      <x:c r="U1530" s="30" t="str">
        <x:f>IF(A1530="","缺记录编号",IF(COUNTIFS(PathRecords[记录编号],A1530)&lt;&gt;1,"记录编号重复",IF(OR(B1530="",E1530=""),"缺组合/功能",IF(COUNTIFS(Equipment[组合编号],B1530)&lt;&gt;1,"组合编号无效",IF(COUNTIFS(FunctionMatrix[编号],E1530)=0,"功能编号无效",IF(H1530="不适用",IF(J1530="已实测","适用性冲突",IF(I1530="","待补不适用依据","不适用（非实测）")),IF(J1530="阻塞",IF(I1530="","待补阻塞原因","阻塞（非实测）"),IF(J1530&lt;&gt;"已实测",IF(F1530="","待展开路径","未实测"),IF(H1530&lt;&gt;"适用","待确认适用性",IF(INDEX(Equipment[登记状态（自动）],MATCH(B1530,Equipment[组合编号],0))&lt;&gt;"已登记","待补设备组合",IF(AND(F1530&lt;&gt;"",G1530&lt;&gt;"",K1530&lt;&gt;"",L1530&lt;&gt;"",M1530&lt;&gt;"",N1530&lt;&gt;"",ISNUMBER(O1530),O1530&gt;0,P1530&lt;&gt;""),"记录齐全","待补实测记录")))))))))))</x:f>
        <x:v>待展开路径</x:v>
      </x:c>
    </x:row>
    <x:row r="1531" ht="43.5" customHeight="1">
      <x:c r="A1531" s="20" t="str">
        <x:v>REC-01522</x:v>
      </x:c>
      <x:c r="B1531" s="20" t="str">
        <x:v>P3-B5-01</x:v>
      </x:c>
      <x:c r="C1531" s="30" t="str">
        <x:f>IF(B1531="","",IF(COUNTIFS(Equipment[组合编号],B1531)&lt;&gt;1,"组合编号无效",INDEX(Equipment[PLC组],MATCH(B1531,Equipment[组合编号],0))))</x:f>
        <x:v>欧姆龙</x:v>
      </x:c>
      <x:c r="D1531" s="30" t="str">
        <x:f>IF(B1531="","",IF(COUNTIFS(Equipment[组合编号],B1531)&lt;&gt;1,"组合编号无效",INDEX(Equipment[驱动品牌],MATCH(B1531,Equipment[组合编号],0))))</x:f>
        <x:v>KEBA（可选）</x:v>
      </x:c>
      <x:c r="E1531" s="20" t="str">
        <x:v>H01</x:v>
      </x:c>
      <x:c r="F1531" s="20"/>
      <x:c r="G1531" s="20"/>
      <x:c r="H1531" s="20" t="str">
        <x:v>待判定</x:v>
      </x:c>
      <x:c r="I1531" s="20"/>
      <x:c r="J1531" s="20" t="str">
        <x:v>未测试</x:v>
      </x:c>
      <x:c r="K1531" s="20"/>
      <x:c r="L1531" s="20"/>
      <x:c r="M1531" s="20"/>
      <x:c r="N1531" s="20"/>
      <x:c r="O1531" s="31"/>
      <x:c r="P1531" s="20"/>
      <x:c r="Q1531" s="20"/>
      <x:c r="R1531" s="20" t="str">
        <x:v>待展开</x:v>
      </x:c>
      <x:c r="S1531" s="20"/>
      <x:c r="T1531" s="31"/>
      <x:c r="U1531" s="30" t="str">
        <x:f>IF(A1531="","缺记录编号",IF(COUNTIFS(PathRecords[记录编号],A1531)&lt;&gt;1,"记录编号重复",IF(OR(B1531="",E1531=""),"缺组合/功能",IF(COUNTIFS(Equipment[组合编号],B1531)&lt;&gt;1,"组合编号无效",IF(COUNTIFS(FunctionMatrix[编号],E1531)=0,"功能编号无效",IF(H1531="不适用",IF(J1531="已实测","适用性冲突",IF(I1531="","待补不适用依据","不适用（非实测）")),IF(J1531="阻塞",IF(I1531="","待补阻塞原因","阻塞（非实测）"),IF(J1531&lt;&gt;"已实测",IF(F1531="","待展开路径","未实测"),IF(H1531&lt;&gt;"适用","待确认适用性",IF(INDEX(Equipment[登记状态（自动）],MATCH(B1531,Equipment[组合编号],0))&lt;&gt;"已登记","待补设备组合",IF(AND(F1531&lt;&gt;"",G1531&lt;&gt;"",K1531&lt;&gt;"",L1531&lt;&gt;"",M1531&lt;&gt;"",N1531&lt;&gt;"",ISNUMBER(O1531),O1531&gt;0,P1531&lt;&gt;""),"记录齐全","待补实测记录")))))))))))</x:f>
        <x:v>待展开路径</x:v>
      </x:c>
    </x:row>
    <x:row r="1532" ht="43.5" customHeight="1">
      <x:c r="A1532" s="20" t="str">
        <x:v>REC-01523</x:v>
      </x:c>
      <x:c r="B1532" s="20" t="str">
        <x:v>P3-B5-01</x:v>
      </x:c>
      <x:c r="C1532" s="30" t="str">
        <x:f>IF(B1532="","",IF(COUNTIFS(Equipment[组合编号],B1532)&lt;&gt;1,"组合编号无效",INDEX(Equipment[PLC组],MATCH(B1532,Equipment[组合编号],0))))</x:f>
        <x:v>欧姆龙</x:v>
      </x:c>
      <x:c r="D1532" s="30" t="str">
        <x:f>IF(B1532="","",IF(COUNTIFS(Equipment[组合编号],B1532)&lt;&gt;1,"组合编号无效",INDEX(Equipment[驱动品牌],MATCH(B1532,Equipment[组合编号],0))))</x:f>
        <x:v>KEBA（可选）</x:v>
      </x:c>
      <x:c r="E1532" s="20" t="str">
        <x:v>H02</x:v>
      </x:c>
      <x:c r="F1532" s="20"/>
      <x:c r="G1532" s="20"/>
      <x:c r="H1532" s="20" t="str">
        <x:v>待判定</x:v>
      </x:c>
      <x:c r="I1532" s="20"/>
      <x:c r="J1532" s="20" t="str">
        <x:v>未测试</x:v>
      </x:c>
      <x:c r="K1532" s="20"/>
      <x:c r="L1532" s="20"/>
      <x:c r="M1532" s="20"/>
      <x:c r="N1532" s="20"/>
      <x:c r="O1532" s="31"/>
      <x:c r="P1532" s="20"/>
      <x:c r="Q1532" s="20"/>
      <x:c r="R1532" s="20" t="str">
        <x:v>待展开</x:v>
      </x:c>
      <x:c r="S1532" s="20"/>
      <x:c r="T1532" s="31"/>
      <x:c r="U1532" s="30" t="str">
        <x:f>IF(A1532="","缺记录编号",IF(COUNTIFS(PathRecords[记录编号],A1532)&lt;&gt;1,"记录编号重复",IF(OR(B1532="",E1532=""),"缺组合/功能",IF(COUNTIFS(Equipment[组合编号],B1532)&lt;&gt;1,"组合编号无效",IF(COUNTIFS(FunctionMatrix[编号],E1532)=0,"功能编号无效",IF(H1532="不适用",IF(J1532="已实测","适用性冲突",IF(I1532="","待补不适用依据","不适用（非实测）")),IF(J1532="阻塞",IF(I1532="","待补阻塞原因","阻塞（非实测）"),IF(J1532&lt;&gt;"已实测",IF(F1532="","待展开路径","未实测"),IF(H1532&lt;&gt;"适用","待确认适用性",IF(INDEX(Equipment[登记状态（自动）],MATCH(B1532,Equipment[组合编号],0))&lt;&gt;"已登记","待补设备组合",IF(AND(F1532&lt;&gt;"",G1532&lt;&gt;"",K1532&lt;&gt;"",L1532&lt;&gt;"",M1532&lt;&gt;"",N1532&lt;&gt;"",ISNUMBER(O1532),O1532&gt;0,P1532&lt;&gt;""),"记录齐全","待补实测记录")))))))))))</x:f>
        <x:v>待展开路径</x:v>
      </x:c>
    </x:row>
    <x:row r="1533" ht="43.5" customHeight="1">
      <x:c r="A1533" s="20" t="str">
        <x:v>REC-01524</x:v>
      </x:c>
      <x:c r="B1533" s="20" t="str">
        <x:v>P3-B5-01</x:v>
      </x:c>
      <x:c r="C1533" s="30" t="str">
        <x:f>IF(B1533="","",IF(COUNTIFS(Equipment[组合编号],B1533)&lt;&gt;1,"组合编号无效",INDEX(Equipment[PLC组],MATCH(B1533,Equipment[组合编号],0))))</x:f>
        <x:v>欧姆龙</x:v>
      </x:c>
      <x:c r="D1533" s="30" t="str">
        <x:f>IF(B1533="","",IF(COUNTIFS(Equipment[组合编号],B1533)&lt;&gt;1,"组合编号无效",INDEX(Equipment[驱动品牌],MATCH(B1533,Equipment[组合编号],0))))</x:f>
        <x:v>KEBA（可选）</x:v>
      </x:c>
      <x:c r="E1533" s="20" t="str">
        <x:v>H03</x:v>
      </x:c>
      <x:c r="F1533" s="20"/>
      <x:c r="G1533" s="20"/>
      <x:c r="H1533" s="20" t="str">
        <x:v>待判定</x:v>
      </x:c>
      <x:c r="I1533" s="20"/>
      <x:c r="J1533" s="20" t="str">
        <x:v>未测试</x:v>
      </x:c>
      <x:c r="K1533" s="20"/>
      <x:c r="L1533" s="20"/>
      <x:c r="M1533" s="20"/>
      <x:c r="N1533" s="20"/>
      <x:c r="O1533" s="31"/>
      <x:c r="P1533" s="20"/>
      <x:c r="Q1533" s="20"/>
      <x:c r="R1533" s="20" t="str">
        <x:v>待展开</x:v>
      </x:c>
      <x:c r="S1533" s="20"/>
      <x:c r="T1533" s="31"/>
      <x:c r="U1533" s="30" t="str">
        <x:f>IF(A1533="","缺记录编号",IF(COUNTIFS(PathRecords[记录编号],A1533)&lt;&gt;1,"记录编号重复",IF(OR(B1533="",E1533=""),"缺组合/功能",IF(COUNTIFS(Equipment[组合编号],B1533)&lt;&gt;1,"组合编号无效",IF(COUNTIFS(FunctionMatrix[编号],E1533)=0,"功能编号无效",IF(H1533="不适用",IF(J1533="已实测","适用性冲突",IF(I1533="","待补不适用依据","不适用（非实测）")),IF(J1533="阻塞",IF(I1533="","待补阻塞原因","阻塞（非实测）"),IF(J1533&lt;&gt;"已实测",IF(F1533="","待展开路径","未实测"),IF(H1533&lt;&gt;"适用","待确认适用性",IF(INDEX(Equipment[登记状态（自动）],MATCH(B1533,Equipment[组合编号],0))&lt;&gt;"已登记","待补设备组合",IF(AND(F1533&lt;&gt;"",G1533&lt;&gt;"",K1533&lt;&gt;"",L1533&lt;&gt;"",M1533&lt;&gt;"",N1533&lt;&gt;"",ISNUMBER(O1533),O1533&gt;0,P1533&lt;&gt;""),"记录齐全","待补实测记录")))))))))))</x:f>
        <x:v>待展开路径</x:v>
      </x:c>
    </x:row>
    <x:row r="1534" ht="43.5" customHeight="1">
      <x:c r="A1534" s="20" t="str">
        <x:v>REC-01525</x:v>
      </x:c>
      <x:c r="B1534" s="20" t="str">
        <x:v>P3-B5-01</x:v>
      </x:c>
      <x:c r="C1534" s="30" t="str">
        <x:f>IF(B1534="","",IF(COUNTIFS(Equipment[组合编号],B1534)&lt;&gt;1,"组合编号无效",INDEX(Equipment[PLC组],MATCH(B1534,Equipment[组合编号],0))))</x:f>
        <x:v>欧姆龙</x:v>
      </x:c>
      <x:c r="D1534" s="30" t="str">
        <x:f>IF(B1534="","",IF(COUNTIFS(Equipment[组合编号],B1534)&lt;&gt;1,"组合编号无效",INDEX(Equipment[驱动品牌],MATCH(B1534,Equipment[组合编号],0))))</x:f>
        <x:v>KEBA（可选）</x:v>
      </x:c>
      <x:c r="E1534" s="20" t="str">
        <x:v>H04</x:v>
      </x:c>
      <x:c r="F1534" s="20"/>
      <x:c r="G1534" s="20"/>
      <x:c r="H1534" s="20" t="str">
        <x:v>待判定</x:v>
      </x:c>
      <x:c r="I1534" s="20"/>
      <x:c r="J1534" s="20" t="str">
        <x:v>未测试</x:v>
      </x:c>
      <x:c r="K1534" s="20"/>
      <x:c r="L1534" s="20"/>
      <x:c r="M1534" s="20"/>
      <x:c r="N1534" s="20"/>
      <x:c r="O1534" s="31"/>
      <x:c r="P1534" s="20"/>
      <x:c r="Q1534" s="20"/>
      <x:c r="R1534" s="20" t="str">
        <x:v>待展开</x:v>
      </x:c>
      <x:c r="S1534" s="20"/>
      <x:c r="T1534" s="31"/>
      <x:c r="U1534" s="30" t="str">
        <x:f>IF(A1534="","缺记录编号",IF(COUNTIFS(PathRecords[记录编号],A1534)&lt;&gt;1,"记录编号重复",IF(OR(B1534="",E1534=""),"缺组合/功能",IF(COUNTIFS(Equipment[组合编号],B1534)&lt;&gt;1,"组合编号无效",IF(COUNTIFS(FunctionMatrix[编号],E1534)=0,"功能编号无效",IF(H1534="不适用",IF(J1534="已实测","适用性冲突",IF(I1534="","待补不适用依据","不适用（非实测）")),IF(J1534="阻塞",IF(I1534="","待补阻塞原因","阻塞（非实测）"),IF(J1534&lt;&gt;"已实测",IF(F1534="","待展开路径","未实测"),IF(H1534&lt;&gt;"适用","待确认适用性",IF(INDEX(Equipment[登记状态（自动）],MATCH(B1534,Equipment[组合编号],0))&lt;&gt;"已登记","待补设备组合",IF(AND(F1534&lt;&gt;"",G1534&lt;&gt;"",K1534&lt;&gt;"",L1534&lt;&gt;"",M1534&lt;&gt;"",N1534&lt;&gt;"",ISNUMBER(O1534),O1534&gt;0,P1534&lt;&gt;""),"记录齐全","待补实测记录")))))))))))</x:f>
        <x:v>待展开路径</x:v>
      </x:c>
    </x:row>
    <x:row r="1535" ht="43.5" customHeight="1">
      <x:c r="A1535" s="20" t="str">
        <x:v>REC-01526</x:v>
      </x:c>
      <x:c r="B1535" s="20" t="str">
        <x:v>P3-B5-01</x:v>
      </x:c>
      <x:c r="C1535" s="30" t="str">
        <x:f>IF(B1535="","",IF(COUNTIFS(Equipment[组合编号],B1535)&lt;&gt;1,"组合编号无效",INDEX(Equipment[PLC组],MATCH(B1535,Equipment[组合编号],0))))</x:f>
        <x:v>欧姆龙</x:v>
      </x:c>
      <x:c r="D1535" s="30" t="str">
        <x:f>IF(B1535="","",IF(COUNTIFS(Equipment[组合编号],B1535)&lt;&gt;1,"组合编号无效",INDEX(Equipment[驱动品牌],MATCH(B1535,Equipment[组合编号],0))))</x:f>
        <x:v>KEBA（可选）</x:v>
      </x:c>
      <x:c r="E1535" s="20" t="str">
        <x:v>H05</x:v>
      </x:c>
      <x:c r="F1535" s="20"/>
      <x:c r="G1535" s="20"/>
      <x:c r="H1535" s="20" t="str">
        <x:v>待判定</x:v>
      </x:c>
      <x:c r="I1535" s="20"/>
      <x:c r="J1535" s="20" t="str">
        <x:v>未测试</x:v>
      </x:c>
      <x:c r="K1535" s="20"/>
      <x:c r="L1535" s="20"/>
      <x:c r="M1535" s="20"/>
      <x:c r="N1535" s="20"/>
      <x:c r="O1535" s="31"/>
      <x:c r="P1535" s="20"/>
      <x:c r="Q1535" s="20"/>
      <x:c r="R1535" s="20" t="str">
        <x:v>待展开</x:v>
      </x:c>
      <x:c r="S1535" s="20"/>
      <x:c r="T1535" s="31"/>
      <x:c r="U1535" s="30" t="str">
        <x:f>IF(A1535="","缺记录编号",IF(COUNTIFS(PathRecords[记录编号],A1535)&lt;&gt;1,"记录编号重复",IF(OR(B1535="",E1535=""),"缺组合/功能",IF(COUNTIFS(Equipment[组合编号],B1535)&lt;&gt;1,"组合编号无效",IF(COUNTIFS(FunctionMatrix[编号],E1535)=0,"功能编号无效",IF(H1535="不适用",IF(J1535="已实测","适用性冲突",IF(I1535="","待补不适用依据","不适用（非实测）")),IF(J1535="阻塞",IF(I1535="","待补阻塞原因","阻塞（非实测）"),IF(J1535&lt;&gt;"已实测",IF(F1535="","待展开路径","未实测"),IF(H1535&lt;&gt;"适用","待确认适用性",IF(INDEX(Equipment[登记状态（自动）],MATCH(B1535,Equipment[组合编号],0))&lt;&gt;"已登记","待补设备组合",IF(AND(F1535&lt;&gt;"",G1535&lt;&gt;"",K1535&lt;&gt;"",L1535&lt;&gt;"",M1535&lt;&gt;"",N1535&lt;&gt;"",ISNUMBER(O1535),O1535&gt;0,P1535&lt;&gt;""),"记录齐全","待补实测记录")))))))))))</x:f>
        <x:v>待展开路径</x:v>
      </x:c>
    </x:row>
    <x:row r="1536" ht="43.5" customHeight="1">
      <x:c r="A1536" s="20" t="str">
        <x:v>REC-01527</x:v>
      </x:c>
      <x:c r="B1536" s="20" t="str">
        <x:v>P3-B5-01</x:v>
      </x:c>
      <x:c r="C1536" s="30" t="str">
        <x:f>IF(B1536="","",IF(COUNTIFS(Equipment[组合编号],B1536)&lt;&gt;1,"组合编号无效",INDEX(Equipment[PLC组],MATCH(B1536,Equipment[组合编号],0))))</x:f>
        <x:v>欧姆龙</x:v>
      </x:c>
      <x:c r="D1536" s="30" t="str">
        <x:f>IF(B1536="","",IF(COUNTIFS(Equipment[组合编号],B1536)&lt;&gt;1,"组合编号无效",INDEX(Equipment[驱动品牌],MATCH(B1536,Equipment[组合编号],0))))</x:f>
        <x:v>KEBA（可选）</x:v>
      </x:c>
      <x:c r="E1536" s="20" t="str">
        <x:v>H06</x:v>
      </x:c>
      <x:c r="F1536" s="20"/>
      <x:c r="G1536" s="20"/>
      <x:c r="H1536" s="20" t="str">
        <x:v>待判定</x:v>
      </x:c>
      <x:c r="I1536" s="20"/>
      <x:c r="J1536" s="20" t="str">
        <x:v>未测试</x:v>
      </x:c>
      <x:c r="K1536" s="20"/>
      <x:c r="L1536" s="20"/>
      <x:c r="M1536" s="20"/>
      <x:c r="N1536" s="20"/>
      <x:c r="O1536" s="31"/>
      <x:c r="P1536" s="20"/>
      <x:c r="Q1536" s="20"/>
      <x:c r="R1536" s="20" t="str">
        <x:v>待展开</x:v>
      </x:c>
      <x:c r="S1536" s="20"/>
      <x:c r="T1536" s="31"/>
      <x:c r="U1536" s="30" t="str">
        <x:f>IF(A1536="","缺记录编号",IF(COUNTIFS(PathRecords[记录编号],A1536)&lt;&gt;1,"记录编号重复",IF(OR(B1536="",E1536=""),"缺组合/功能",IF(COUNTIFS(Equipment[组合编号],B1536)&lt;&gt;1,"组合编号无效",IF(COUNTIFS(FunctionMatrix[编号],E1536)=0,"功能编号无效",IF(H1536="不适用",IF(J1536="已实测","适用性冲突",IF(I1536="","待补不适用依据","不适用（非实测）")),IF(J1536="阻塞",IF(I1536="","待补阻塞原因","阻塞（非实测）"),IF(J1536&lt;&gt;"已实测",IF(F1536="","待展开路径","未实测"),IF(H1536&lt;&gt;"适用","待确认适用性",IF(INDEX(Equipment[登记状态（自动）],MATCH(B1536,Equipment[组合编号],0))&lt;&gt;"已登记","待补设备组合",IF(AND(F1536&lt;&gt;"",G1536&lt;&gt;"",K1536&lt;&gt;"",L1536&lt;&gt;"",M1536&lt;&gt;"",N1536&lt;&gt;"",ISNUMBER(O1536),O1536&gt;0,P1536&lt;&gt;""),"记录齐全","待补实测记录")))))))))))</x:f>
        <x:v>待展开路径</x:v>
      </x:c>
    </x:row>
    <x:row r="1537" ht="43.5" customHeight="1">
      <x:c r="A1537" s="20" t="str">
        <x:v>REC-01528</x:v>
      </x:c>
      <x:c r="B1537" s="20" t="str">
        <x:v>P3-B5-01</x:v>
      </x:c>
      <x:c r="C1537" s="30" t="str">
        <x:f>IF(B1537="","",IF(COUNTIFS(Equipment[组合编号],B1537)&lt;&gt;1,"组合编号无效",INDEX(Equipment[PLC组],MATCH(B1537,Equipment[组合编号],0))))</x:f>
        <x:v>欧姆龙</x:v>
      </x:c>
      <x:c r="D1537" s="30" t="str">
        <x:f>IF(B1537="","",IF(COUNTIFS(Equipment[组合编号],B1537)&lt;&gt;1,"组合编号无效",INDEX(Equipment[驱动品牌],MATCH(B1537,Equipment[组合编号],0))))</x:f>
        <x:v>KEBA（可选）</x:v>
      </x:c>
      <x:c r="E1537" s="20" t="str">
        <x:v>H07</x:v>
      </x:c>
      <x:c r="F1537" s="20"/>
      <x:c r="G1537" s="20"/>
      <x:c r="H1537" s="20" t="str">
        <x:v>待判定</x:v>
      </x:c>
      <x:c r="I1537" s="20"/>
      <x:c r="J1537" s="20" t="str">
        <x:v>未测试</x:v>
      </x:c>
      <x:c r="K1537" s="20"/>
      <x:c r="L1537" s="20"/>
      <x:c r="M1537" s="20"/>
      <x:c r="N1537" s="20"/>
      <x:c r="O1537" s="31"/>
      <x:c r="P1537" s="20"/>
      <x:c r="Q1537" s="20"/>
      <x:c r="R1537" s="20" t="str">
        <x:v>待展开</x:v>
      </x:c>
      <x:c r="S1537" s="20"/>
      <x:c r="T1537" s="31"/>
      <x:c r="U1537" s="30" t="str">
        <x:f>IF(A1537="","缺记录编号",IF(COUNTIFS(PathRecords[记录编号],A1537)&lt;&gt;1,"记录编号重复",IF(OR(B1537="",E1537=""),"缺组合/功能",IF(COUNTIFS(Equipment[组合编号],B1537)&lt;&gt;1,"组合编号无效",IF(COUNTIFS(FunctionMatrix[编号],E1537)=0,"功能编号无效",IF(H1537="不适用",IF(J1537="已实测","适用性冲突",IF(I1537="","待补不适用依据","不适用（非实测）")),IF(J1537="阻塞",IF(I1537="","待补阻塞原因","阻塞（非实测）"),IF(J1537&lt;&gt;"已实测",IF(F1537="","待展开路径","未实测"),IF(H1537&lt;&gt;"适用","待确认适用性",IF(INDEX(Equipment[登记状态（自动）],MATCH(B1537,Equipment[组合编号],0))&lt;&gt;"已登记","待补设备组合",IF(AND(F1537&lt;&gt;"",G1537&lt;&gt;"",K1537&lt;&gt;"",L1537&lt;&gt;"",M1537&lt;&gt;"",N1537&lt;&gt;"",ISNUMBER(O1537),O1537&gt;0,P1537&lt;&gt;""),"记录齐全","待补实测记录")))))))))))</x:f>
        <x:v>待展开路径</x:v>
      </x:c>
    </x:row>
    <x:row r="1538" ht="43.5" customHeight="1">
      <x:c r="A1538" s="20" t="str">
        <x:v>REC-01529</x:v>
      </x:c>
      <x:c r="B1538" s="20" t="str">
        <x:v>P3-B5-01</x:v>
      </x:c>
      <x:c r="C1538" s="30" t="str">
        <x:f>IF(B1538="","",IF(COUNTIFS(Equipment[组合编号],B1538)&lt;&gt;1,"组合编号无效",INDEX(Equipment[PLC组],MATCH(B1538,Equipment[组合编号],0))))</x:f>
        <x:v>欧姆龙</x:v>
      </x:c>
      <x:c r="D1538" s="30" t="str">
        <x:f>IF(B1538="","",IF(COUNTIFS(Equipment[组合编号],B1538)&lt;&gt;1,"组合编号无效",INDEX(Equipment[驱动品牌],MATCH(B1538,Equipment[组合编号],0))))</x:f>
        <x:v>KEBA（可选）</x:v>
      </x:c>
      <x:c r="E1538" s="20" t="str">
        <x:v>H08</x:v>
      </x:c>
      <x:c r="F1538" s="20"/>
      <x:c r="G1538" s="20"/>
      <x:c r="H1538" s="20" t="str">
        <x:v>待判定</x:v>
      </x:c>
      <x:c r="I1538" s="20"/>
      <x:c r="J1538" s="20" t="str">
        <x:v>未测试</x:v>
      </x:c>
      <x:c r="K1538" s="20"/>
      <x:c r="L1538" s="20"/>
      <x:c r="M1538" s="20"/>
      <x:c r="N1538" s="20"/>
      <x:c r="O1538" s="31"/>
      <x:c r="P1538" s="20"/>
      <x:c r="Q1538" s="20"/>
      <x:c r="R1538" s="20" t="str">
        <x:v>待展开</x:v>
      </x:c>
      <x:c r="S1538" s="20"/>
      <x:c r="T1538" s="31"/>
      <x:c r="U1538" s="30" t="str">
        <x:f>IF(A1538="","缺记录编号",IF(COUNTIFS(PathRecords[记录编号],A1538)&lt;&gt;1,"记录编号重复",IF(OR(B1538="",E1538=""),"缺组合/功能",IF(COUNTIFS(Equipment[组合编号],B1538)&lt;&gt;1,"组合编号无效",IF(COUNTIFS(FunctionMatrix[编号],E1538)=0,"功能编号无效",IF(H1538="不适用",IF(J1538="已实测","适用性冲突",IF(I1538="","待补不适用依据","不适用（非实测）")),IF(J1538="阻塞",IF(I1538="","待补阻塞原因","阻塞（非实测）"),IF(J1538&lt;&gt;"已实测",IF(F1538="","待展开路径","未实测"),IF(H1538&lt;&gt;"适用","待确认适用性",IF(INDEX(Equipment[登记状态（自动）],MATCH(B1538,Equipment[组合编号],0))&lt;&gt;"已登记","待补设备组合",IF(AND(F1538&lt;&gt;"",G1538&lt;&gt;"",K1538&lt;&gt;"",L1538&lt;&gt;"",M1538&lt;&gt;"",N1538&lt;&gt;"",ISNUMBER(O1538),O1538&gt;0,P1538&lt;&gt;""),"记录齐全","待补实测记录")))))))))))</x:f>
        <x:v>待展开路径</x:v>
      </x:c>
    </x:row>
    <x:row r="1539" ht="43.5" customHeight="1">
      <x:c r="A1539" s="20" t="str">
        <x:v>REC-01530</x:v>
      </x:c>
      <x:c r="B1539" s="20" t="str">
        <x:v>P3-B5-01</x:v>
      </x:c>
      <x:c r="C1539" s="30" t="str">
        <x:f>IF(B1539="","",IF(COUNTIFS(Equipment[组合编号],B1539)&lt;&gt;1,"组合编号无效",INDEX(Equipment[PLC组],MATCH(B1539,Equipment[组合编号],0))))</x:f>
        <x:v>欧姆龙</x:v>
      </x:c>
      <x:c r="D1539" s="30" t="str">
        <x:f>IF(B1539="","",IF(COUNTIFS(Equipment[组合编号],B1539)&lt;&gt;1,"组合编号无效",INDEX(Equipment[驱动品牌],MATCH(B1539,Equipment[组合编号],0))))</x:f>
        <x:v>KEBA（可选）</x:v>
      </x:c>
      <x:c r="E1539" s="20" t="str">
        <x:v>H09</x:v>
      </x:c>
      <x:c r="F1539" s="20"/>
      <x:c r="G1539" s="20"/>
      <x:c r="H1539" s="20" t="str">
        <x:v>待判定</x:v>
      </x:c>
      <x:c r="I1539" s="20"/>
      <x:c r="J1539" s="20" t="str">
        <x:v>未测试</x:v>
      </x:c>
      <x:c r="K1539" s="20"/>
      <x:c r="L1539" s="20"/>
      <x:c r="M1539" s="20"/>
      <x:c r="N1539" s="20"/>
      <x:c r="O1539" s="31"/>
      <x:c r="P1539" s="20"/>
      <x:c r="Q1539" s="20"/>
      <x:c r="R1539" s="20" t="str">
        <x:v>待展开</x:v>
      </x:c>
      <x:c r="S1539" s="20"/>
      <x:c r="T1539" s="31"/>
      <x:c r="U1539" s="30" t="str">
        <x:f>IF(A1539="","缺记录编号",IF(COUNTIFS(PathRecords[记录编号],A1539)&lt;&gt;1,"记录编号重复",IF(OR(B1539="",E1539=""),"缺组合/功能",IF(COUNTIFS(Equipment[组合编号],B1539)&lt;&gt;1,"组合编号无效",IF(COUNTIFS(FunctionMatrix[编号],E1539)=0,"功能编号无效",IF(H1539="不适用",IF(J1539="已实测","适用性冲突",IF(I1539="","待补不适用依据","不适用（非实测）")),IF(J1539="阻塞",IF(I1539="","待补阻塞原因","阻塞（非实测）"),IF(J1539&lt;&gt;"已实测",IF(F1539="","待展开路径","未实测"),IF(H1539&lt;&gt;"适用","待确认适用性",IF(INDEX(Equipment[登记状态（自动）],MATCH(B1539,Equipment[组合编号],0))&lt;&gt;"已登记","待补设备组合",IF(AND(F1539&lt;&gt;"",G1539&lt;&gt;"",K1539&lt;&gt;"",L1539&lt;&gt;"",M1539&lt;&gt;"",N1539&lt;&gt;"",ISNUMBER(O1539),O1539&gt;0,P1539&lt;&gt;""),"记录齐全","待补实测记录")))))))))))</x:f>
        <x:v>待展开路径</x:v>
      </x:c>
    </x:row>
    <x:row r="1540" ht="43.5" customHeight="1">
      <x:c r="A1540" s="20" t="str">
        <x:v>REC-01531</x:v>
      </x:c>
      <x:c r="B1540" s="20" t="str">
        <x:v>P3-B5-01</x:v>
      </x:c>
      <x:c r="C1540" s="30" t="str">
        <x:f>IF(B1540="","",IF(COUNTIFS(Equipment[组合编号],B1540)&lt;&gt;1,"组合编号无效",INDEX(Equipment[PLC组],MATCH(B1540,Equipment[组合编号],0))))</x:f>
        <x:v>欧姆龙</x:v>
      </x:c>
      <x:c r="D1540" s="30" t="str">
        <x:f>IF(B1540="","",IF(COUNTIFS(Equipment[组合编号],B1540)&lt;&gt;1,"组合编号无效",INDEX(Equipment[驱动品牌],MATCH(B1540,Equipment[组合编号],0))))</x:f>
        <x:v>KEBA（可选）</x:v>
      </x:c>
      <x:c r="E1540" s="20" t="str">
        <x:v>H10</x:v>
      </x:c>
      <x:c r="F1540" s="20"/>
      <x:c r="G1540" s="20"/>
      <x:c r="H1540" s="20" t="str">
        <x:v>待判定</x:v>
      </x:c>
      <x:c r="I1540" s="20"/>
      <x:c r="J1540" s="20" t="str">
        <x:v>未测试</x:v>
      </x:c>
      <x:c r="K1540" s="20"/>
      <x:c r="L1540" s="20"/>
      <x:c r="M1540" s="20"/>
      <x:c r="N1540" s="20"/>
      <x:c r="O1540" s="31"/>
      <x:c r="P1540" s="20"/>
      <x:c r="Q1540" s="20"/>
      <x:c r="R1540" s="20" t="str">
        <x:v>待展开</x:v>
      </x:c>
      <x:c r="S1540" s="20"/>
      <x:c r="T1540" s="31"/>
      <x:c r="U1540" s="30" t="str">
        <x:f>IF(A1540="","缺记录编号",IF(COUNTIFS(PathRecords[记录编号],A1540)&lt;&gt;1,"记录编号重复",IF(OR(B1540="",E1540=""),"缺组合/功能",IF(COUNTIFS(Equipment[组合编号],B1540)&lt;&gt;1,"组合编号无效",IF(COUNTIFS(FunctionMatrix[编号],E1540)=0,"功能编号无效",IF(H1540="不适用",IF(J1540="已实测","适用性冲突",IF(I1540="","待补不适用依据","不适用（非实测）")),IF(J1540="阻塞",IF(I1540="","待补阻塞原因","阻塞（非实测）"),IF(J1540&lt;&gt;"已实测",IF(F1540="","待展开路径","未实测"),IF(H1540&lt;&gt;"适用","待确认适用性",IF(INDEX(Equipment[登记状态（自动）],MATCH(B1540,Equipment[组合编号],0))&lt;&gt;"已登记","待补设备组合",IF(AND(F1540&lt;&gt;"",G1540&lt;&gt;"",K1540&lt;&gt;"",L1540&lt;&gt;"",M1540&lt;&gt;"",N1540&lt;&gt;"",ISNUMBER(O1540),O1540&gt;0,P1540&lt;&gt;""),"记录齐全","待补实测记录")))))))))))</x:f>
        <x:v>待展开路径</x:v>
      </x:c>
    </x:row>
    <x:row r="1541" ht="43.5" customHeight="1">
      <x:c r="A1541" s="20" t="str">
        <x:v>REC-01532</x:v>
      </x:c>
      <x:c r="B1541" s="20" t="str">
        <x:v>P3-B5-01</x:v>
      </x:c>
      <x:c r="C1541" s="30" t="str">
        <x:f>IF(B1541="","",IF(COUNTIFS(Equipment[组合编号],B1541)&lt;&gt;1,"组合编号无效",INDEX(Equipment[PLC组],MATCH(B1541,Equipment[组合编号],0))))</x:f>
        <x:v>欧姆龙</x:v>
      </x:c>
      <x:c r="D1541" s="30" t="str">
        <x:f>IF(B1541="","",IF(COUNTIFS(Equipment[组合编号],B1541)&lt;&gt;1,"组合编号无效",INDEX(Equipment[驱动品牌],MATCH(B1541,Equipment[组合编号],0))))</x:f>
        <x:v>KEBA（可选）</x:v>
      </x:c>
      <x:c r="E1541" s="20" t="str">
        <x:v>H11</x:v>
      </x:c>
      <x:c r="F1541" s="20"/>
      <x:c r="G1541" s="20"/>
      <x:c r="H1541" s="20" t="str">
        <x:v>待判定</x:v>
      </x:c>
      <x:c r="I1541" s="20"/>
      <x:c r="J1541" s="20" t="str">
        <x:v>未测试</x:v>
      </x:c>
      <x:c r="K1541" s="20"/>
      <x:c r="L1541" s="20"/>
      <x:c r="M1541" s="20"/>
      <x:c r="N1541" s="20"/>
      <x:c r="O1541" s="31"/>
      <x:c r="P1541" s="20"/>
      <x:c r="Q1541" s="20"/>
      <x:c r="R1541" s="20" t="str">
        <x:v>待展开</x:v>
      </x:c>
      <x:c r="S1541" s="20"/>
      <x:c r="T1541" s="31"/>
      <x:c r="U1541" s="30" t="str">
        <x:f>IF(A1541="","缺记录编号",IF(COUNTIFS(PathRecords[记录编号],A1541)&lt;&gt;1,"记录编号重复",IF(OR(B1541="",E1541=""),"缺组合/功能",IF(COUNTIFS(Equipment[组合编号],B1541)&lt;&gt;1,"组合编号无效",IF(COUNTIFS(FunctionMatrix[编号],E1541)=0,"功能编号无效",IF(H1541="不适用",IF(J1541="已实测","适用性冲突",IF(I1541="","待补不适用依据","不适用（非实测）")),IF(J1541="阻塞",IF(I1541="","待补阻塞原因","阻塞（非实测）"),IF(J1541&lt;&gt;"已实测",IF(F1541="","待展开路径","未实测"),IF(H1541&lt;&gt;"适用","待确认适用性",IF(INDEX(Equipment[登记状态（自动）],MATCH(B1541,Equipment[组合编号],0))&lt;&gt;"已登记","待补设备组合",IF(AND(F1541&lt;&gt;"",G1541&lt;&gt;"",K1541&lt;&gt;"",L1541&lt;&gt;"",M1541&lt;&gt;"",N1541&lt;&gt;"",ISNUMBER(O1541),O1541&gt;0,P1541&lt;&gt;""),"记录齐全","待补实测记录")))))))))))</x:f>
        <x:v>待展开路径</x:v>
      </x:c>
    </x:row>
    <x:row r="1542" ht="43.5" customHeight="1">
      <x:c r="A1542" s="20" t="str">
        <x:v>REC-01533</x:v>
      </x:c>
      <x:c r="B1542" s="20" t="str">
        <x:v>P3-B5-01</x:v>
      </x:c>
      <x:c r="C1542" s="30" t="str">
        <x:f>IF(B1542="","",IF(COUNTIFS(Equipment[组合编号],B1542)&lt;&gt;1,"组合编号无效",INDEX(Equipment[PLC组],MATCH(B1542,Equipment[组合编号],0))))</x:f>
        <x:v>欧姆龙</x:v>
      </x:c>
      <x:c r="D1542" s="30" t="str">
        <x:f>IF(B1542="","",IF(COUNTIFS(Equipment[组合编号],B1542)&lt;&gt;1,"组合编号无效",INDEX(Equipment[驱动品牌],MATCH(B1542,Equipment[组合编号],0))))</x:f>
        <x:v>KEBA（可选）</x:v>
      </x:c>
      <x:c r="E1542" s="20" t="str">
        <x:v>N01</x:v>
      </x:c>
      <x:c r="F1542" s="20"/>
      <x:c r="G1542" s="20"/>
      <x:c r="H1542" s="20" t="str">
        <x:v>待判定</x:v>
      </x:c>
      <x:c r="I1542" s="20"/>
      <x:c r="J1542" s="20" t="str">
        <x:v>未测试</x:v>
      </x:c>
      <x:c r="K1542" s="20"/>
      <x:c r="L1542" s="20"/>
      <x:c r="M1542" s="20"/>
      <x:c r="N1542" s="20"/>
      <x:c r="O1542" s="31"/>
      <x:c r="P1542" s="20"/>
      <x:c r="Q1542" s="20"/>
      <x:c r="R1542" s="20" t="str">
        <x:v>待展开</x:v>
      </x:c>
      <x:c r="S1542" s="20"/>
      <x:c r="T1542" s="31"/>
      <x:c r="U1542" s="30" t="str">
        <x:f>IF(A1542="","缺记录编号",IF(COUNTIFS(PathRecords[记录编号],A1542)&lt;&gt;1,"记录编号重复",IF(OR(B1542="",E1542=""),"缺组合/功能",IF(COUNTIFS(Equipment[组合编号],B1542)&lt;&gt;1,"组合编号无效",IF(COUNTIFS(FunctionMatrix[编号],E1542)=0,"功能编号无效",IF(H1542="不适用",IF(J1542="已实测","适用性冲突",IF(I1542="","待补不适用依据","不适用（非实测）")),IF(J1542="阻塞",IF(I1542="","待补阻塞原因","阻塞（非实测）"),IF(J1542&lt;&gt;"已实测",IF(F1542="","待展开路径","未实测"),IF(H1542&lt;&gt;"适用","待确认适用性",IF(INDEX(Equipment[登记状态（自动）],MATCH(B1542,Equipment[组合编号],0))&lt;&gt;"已登记","待补设备组合",IF(AND(F1542&lt;&gt;"",G1542&lt;&gt;"",K1542&lt;&gt;"",L1542&lt;&gt;"",M1542&lt;&gt;"",N1542&lt;&gt;"",ISNUMBER(O1542),O1542&gt;0,P1542&lt;&gt;""),"记录齐全","待补实测记录")))))))))))</x:f>
        <x:v>待展开路径</x:v>
      </x:c>
    </x:row>
    <x:row r="1543" ht="43.5" customHeight="1">
      <x:c r="A1543" s="20" t="str">
        <x:v>REC-01534</x:v>
      </x:c>
      <x:c r="B1543" s="20" t="str">
        <x:v>P3-B5-01</x:v>
      </x:c>
      <x:c r="C1543" s="30" t="str">
        <x:f>IF(B1543="","",IF(COUNTIFS(Equipment[组合编号],B1543)&lt;&gt;1,"组合编号无效",INDEX(Equipment[PLC组],MATCH(B1543,Equipment[组合编号],0))))</x:f>
        <x:v>欧姆龙</x:v>
      </x:c>
      <x:c r="D1543" s="30" t="str">
        <x:f>IF(B1543="","",IF(COUNTIFS(Equipment[组合编号],B1543)&lt;&gt;1,"组合编号无效",INDEX(Equipment[驱动品牌],MATCH(B1543,Equipment[组合编号],0))))</x:f>
        <x:v>KEBA（可选）</x:v>
      </x:c>
      <x:c r="E1543" s="20" t="str">
        <x:v>N02</x:v>
      </x:c>
      <x:c r="F1543" s="20"/>
      <x:c r="G1543" s="20"/>
      <x:c r="H1543" s="20" t="str">
        <x:v>待判定</x:v>
      </x:c>
      <x:c r="I1543" s="20"/>
      <x:c r="J1543" s="20" t="str">
        <x:v>未测试</x:v>
      </x:c>
      <x:c r="K1543" s="20"/>
      <x:c r="L1543" s="20"/>
      <x:c r="M1543" s="20"/>
      <x:c r="N1543" s="20"/>
      <x:c r="O1543" s="31"/>
      <x:c r="P1543" s="20"/>
      <x:c r="Q1543" s="20"/>
      <x:c r="R1543" s="20" t="str">
        <x:v>待展开</x:v>
      </x:c>
      <x:c r="S1543" s="20"/>
      <x:c r="T1543" s="31"/>
      <x:c r="U1543" s="30" t="str">
        <x:f>IF(A1543="","缺记录编号",IF(COUNTIFS(PathRecords[记录编号],A1543)&lt;&gt;1,"记录编号重复",IF(OR(B1543="",E1543=""),"缺组合/功能",IF(COUNTIFS(Equipment[组合编号],B1543)&lt;&gt;1,"组合编号无效",IF(COUNTIFS(FunctionMatrix[编号],E1543)=0,"功能编号无效",IF(H1543="不适用",IF(J1543="已实测","适用性冲突",IF(I1543="","待补不适用依据","不适用（非实测）")),IF(J1543="阻塞",IF(I1543="","待补阻塞原因","阻塞（非实测）"),IF(J1543&lt;&gt;"已实测",IF(F1543="","待展开路径","未实测"),IF(H1543&lt;&gt;"适用","待确认适用性",IF(INDEX(Equipment[登记状态（自动）],MATCH(B1543,Equipment[组合编号],0))&lt;&gt;"已登记","待补设备组合",IF(AND(F1543&lt;&gt;"",G1543&lt;&gt;"",K1543&lt;&gt;"",L1543&lt;&gt;"",M1543&lt;&gt;"",N1543&lt;&gt;"",ISNUMBER(O1543),O1543&gt;0,P1543&lt;&gt;""),"记录齐全","待补实测记录")))))))))))</x:f>
        <x:v>待展开路径</x:v>
      </x:c>
    </x:row>
    <x:row r="1544" ht="43.5" customHeight="1">
      <x:c r="A1544" s="20" t="str">
        <x:v>REC-01535</x:v>
      </x:c>
      <x:c r="B1544" s="20" t="str">
        <x:v>P3-B5-01</x:v>
      </x:c>
      <x:c r="C1544" s="30" t="str">
        <x:f>IF(B1544="","",IF(COUNTIFS(Equipment[组合编号],B1544)&lt;&gt;1,"组合编号无效",INDEX(Equipment[PLC组],MATCH(B1544,Equipment[组合编号],0))))</x:f>
        <x:v>欧姆龙</x:v>
      </x:c>
      <x:c r="D1544" s="30" t="str">
        <x:f>IF(B1544="","",IF(COUNTIFS(Equipment[组合编号],B1544)&lt;&gt;1,"组合编号无效",INDEX(Equipment[驱动品牌],MATCH(B1544,Equipment[组合编号],0))))</x:f>
        <x:v>KEBA（可选）</x:v>
      </x:c>
      <x:c r="E1544" s="20" t="str">
        <x:v>N03</x:v>
      </x:c>
      <x:c r="F1544" s="20"/>
      <x:c r="G1544" s="20"/>
      <x:c r="H1544" s="20" t="str">
        <x:v>待判定</x:v>
      </x:c>
      <x:c r="I1544" s="20"/>
      <x:c r="J1544" s="20" t="str">
        <x:v>未测试</x:v>
      </x:c>
      <x:c r="K1544" s="20"/>
      <x:c r="L1544" s="20"/>
      <x:c r="M1544" s="20"/>
      <x:c r="N1544" s="20"/>
      <x:c r="O1544" s="31"/>
      <x:c r="P1544" s="20"/>
      <x:c r="Q1544" s="20"/>
      <x:c r="R1544" s="20" t="str">
        <x:v>待展开</x:v>
      </x:c>
      <x:c r="S1544" s="20"/>
      <x:c r="T1544" s="31"/>
      <x:c r="U1544" s="30" t="str">
        <x:f>IF(A1544="","缺记录编号",IF(COUNTIFS(PathRecords[记录编号],A1544)&lt;&gt;1,"记录编号重复",IF(OR(B1544="",E1544=""),"缺组合/功能",IF(COUNTIFS(Equipment[组合编号],B1544)&lt;&gt;1,"组合编号无效",IF(COUNTIFS(FunctionMatrix[编号],E1544)=0,"功能编号无效",IF(H1544="不适用",IF(J1544="已实测","适用性冲突",IF(I1544="","待补不适用依据","不适用（非实测）")),IF(J1544="阻塞",IF(I1544="","待补阻塞原因","阻塞（非实测）"),IF(J1544&lt;&gt;"已实测",IF(F1544="","待展开路径","未实测"),IF(H1544&lt;&gt;"适用","待确认适用性",IF(INDEX(Equipment[登记状态（自动）],MATCH(B1544,Equipment[组合编号],0))&lt;&gt;"已登记","待补设备组合",IF(AND(F1544&lt;&gt;"",G1544&lt;&gt;"",K1544&lt;&gt;"",L1544&lt;&gt;"",M1544&lt;&gt;"",N1544&lt;&gt;"",ISNUMBER(O1544),O1544&gt;0,P1544&lt;&gt;""),"记录齐全","待补实测记录")))))))))))</x:f>
        <x:v>待展开路径</x:v>
      </x:c>
    </x:row>
    <x:row r="1545" ht="43.5" customHeight="1">
      <x:c r="A1545" s="20" t="str">
        <x:v>REC-01536</x:v>
      </x:c>
      <x:c r="B1545" s="20" t="str">
        <x:v>P3-B5-01</x:v>
      </x:c>
      <x:c r="C1545" s="30" t="str">
        <x:f>IF(B1545="","",IF(COUNTIFS(Equipment[组合编号],B1545)&lt;&gt;1,"组合编号无效",INDEX(Equipment[PLC组],MATCH(B1545,Equipment[组合编号],0))))</x:f>
        <x:v>欧姆龙</x:v>
      </x:c>
      <x:c r="D1545" s="30" t="str">
        <x:f>IF(B1545="","",IF(COUNTIFS(Equipment[组合编号],B1545)&lt;&gt;1,"组合编号无效",INDEX(Equipment[驱动品牌],MATCH(B1545,Equipment[组合编号],0))))</x:f>
        <x:v>KEBA（可选）</x:v>
      </x:c>
      <x:c r="E1545" s="20" t="str">
        <x:v>N04</x:v>
      </x:c>
      <x:c r="F1545" s="20"/>
      <x:c r="G1545" s="20"/>
      <x:c r="H1545" s="20" t="str">
        <x:v>待判定</x:v>
      </x:c>
      <x:c r="I1545" s="20"/>
      <x:c r="J1545" s="20" t="str">
        <x:v>未测试</x:v>
      </x:c>
      <x:c r="K1545" s="20"/>
      <x:c r="L1545" s="20"/>
      <x:c r="M1545" s="20"/>
      <x:c r="N1545" s="20"/>
      <x:c r="O1545" s="31"/>
      <x:c r="P1545" s="20"/>
      <x:c r="Q1545" s="20"/>
      <x:c r="R1545" s="20" t="str">
        <x:v>待展开</x:v>
      </x:c>
      <x:c r="S1545" s="20"/>
      <x:c r="T1545" s="31"/>
      <x:c r="U1545" s="30" t="str">
        <x:f>IF(A1545="","缺记录编号",IF(COUNTIFS(PathRecords[记录编号],A1545)&lt;&gt;1,"记录编号重复",IF(OR(B1545="",E1545=""),"缺组合/功能",IF(COUNTIFS(Equipment[组合编号],B1545)&lt;&gt;1,"组合编号无效",IF(COUNTIFS(FunctionMatrix[编号],E1545)=0,"功能编号无效",IF(H1545="不适用",IF(J1545="已实测","适用性冲突",IF(I1545="","待补不适用依据","不适用（非实测）")),IF(J1545="阻塞",IF(I1545="","待补阻塞原因","阻塞（非实测）"),IF(J1545&lt;&gt;"已实测",IF(F1545="","待展开路径","未实测"),IF(H1545&lt;&gt;"适用","待确认适用性",IF(INDEX(Equipment[登记状态（自动）],MATCH(B1545,Equipment[组合编号],0))&lt;&gt;"已登记","待补设备组合",IF(AND(F1545&lt;&gt;"",G1545&lt;&gt;"",K1545&lt;&gt;"",L1545&lt;&gt;"",M1545&lt;&gt;"",N1545&lt;&gt;"",ISNUMBER(O1545),O1545&gt;0,P1545&lt;&gt;""),"记录齐全","待补实测记录")))))))))))</x:f>
        <x:v>待展开路径</x:v>
      </x:c>
    </x:row>
    <x:row r="1546" ht="43.5" customHeight="1">
      <x:c r="A1546" s="20" t="str">
        <x:v>REC-01537</x:v>
      </x:c>
      <x:c r="B1546" s="20" t="str">
        <x:v>P3-B5-01</x:v>
      </x:c>
      <x:c r="C1546" s="30" t="str">
        <x:f>IF(B1546="","",IF(COUNTIFS(Equipment[组合编号],B1546)&lt;&gt;1,"组合编号无效",INDEX(Equipment[PLC组],MATCH(B1546,Equipment[组合编号],0))))</x:f>
        <x:v>欧姆龙</x:v>
      </x:c>
      <x:c r="D1546" s="30" t="str">
        <x:f>IF(B1546="","",IF(COUNTIFS(Equipment[组合编号],B1546)&lt;&gt;1,"组合编号无效",INDEX(Equipment[驱动品牌],MATCH(B1546,Equipment[组合编号],0))))</x:f>
        <x:v>KEBA（可选）</x:v>
      </x:c>
      <x:c r="E1546" s="20" t="str">
        <x:v>N05</x:v>
      </x:c>
      <x:c r="F1546" s="20"/>
      <x:c r="G1546" s="20"/>
      <x:c r="H1546" s="20" t="str">
        <x:v>待判定</x:v>
      </x:c>
      <x:c r="I1546" s="20"/>
      <x:c r="J1546" s="20" t="str">
        <x:v>未测试</x:v>
      </x:c>
      <x:c r="K1546" s="20"/>
      <x:c r="L1546" s="20"/>
      <x:c r="M1546" s="20"/>
      <x:c r="N1546" s="20"/>
      <x:c r="O1546" s="31"/>
      <x:c r="P1546" s="20"/>
      <x:c r="Q1546" s="20"/>
      <x:c r="R1546" s="20" t="str">
        <x:v>待展开</x:v>
      </x:c>
      <x:c r="S1546" s="20"/>
      <x:c r="T1546" s="31"/>
      <x:c r="U1546" s="30" t="str">
        <x:f>IF(A1546="","缺记录编号",IF(COUNTIFS(PathRecords[记录编号],A1546)&lt;&gt;1,"记录编号重复",IF(OR(B1546="",E1546=""),"缺组合/功能",IF(COUNTIFS(Equipment[组合编号],B1546)&lt;&gt;1,"组合编号无效",IF(COUNTIFS(FunctionMatrix[编号],E1546)=0,"功能编号无效",IF(H1546="不适用",IF(J1546="已实测","适用性冲突",IF(I1546="","待补不适用依据","不适用（非实测）")),IF(J1546="阻塞",IF(I1546="","待补阻塞原因","阻塞（非实测）"),IF(J1546&lt;&gt;"已实测",IF(F1546="","待展开路径","未实测"),IF(H1546&lt;&gt;"适用","待确认适用性",IF(INDEX(Equipment[登记状态（自动）],MATCH(B1546,Equipment[组合编号],0))&lt;&gt;"已登记","待补设备组合",IF(AND(F1546&lt;&gt;"",G1546&lt;&gt;"",K1546&lt;&gt;"",L1546&lt;&gt;"",M1546&lt;&gt;"",N1546&lt;&gt;"",ISNUMBER(O1546),O1546&gt;0,P1546&lt;&gt;""),"记录齐全","待补实测记录")))))))))))</x:f>
        <x:v>待展开路径</x:v>
      </x:c>
    </x:row>
    <x:row r="1547" ht="43.5" customHeight="1">
      <x:c r="A1547" s="20" t="str">
        <x:v>REC-01538</x:v>
      </x:c>
      <x:c r="B1547" s="20" t="str">
        <x:v>P3-B5-01</x:v>
      </x:c>
      <x:c r="C1547" s="30" t="str">
        <x:f>IF(B1547="","",IF(COUNTIFS(Equipment[组合编号],B1547)&lt;&gt;1,"组合编号无效",INDEX(Equipment[PLC组],MATCH(B1547,Equipment[组合编号],0))))</x:f>
        <x:v>欧姆龙</x:v>
      </x:c>
      <x:c r="D1547" s="30" t="str">
        <x:f>IF(B1547="","",IF(COUNTIFS(Equipment[组合编号],B1547)&lt;&gt;1,"组合编号无效",INDEX(Equipment[驱动品牌],MATCH(B1547,Equipment[组合编号],0))))</x:f>
        <x:v>KEBA（可选）</x:v>
      </x:c>
      <x:c r="E1547" s="20" t="str">
        <x:v>N06</x:v>
      </x:c>
      <x:c r="F1547" s="20"/>
      <x:c r="G1547" s="20"/>
      <x:c r="H1547" s="20" t="str">
        <x:v>待判定</x:v>
      </x:c>
      <x:c r="I1547" s="20"/>
      <x:c r="J1547" s="20" t="str">
        <x:v>未测试</x:v>
      </x:c>
      <x:c r="K1547" s="20"/>
      <x:c r="L1547" s="20"/>
      <x:c r="M1547" s="20"/>
      <x:c r="N1547" s="20"/>
      <x:c r="O1547" s="31"/>
      <x:c r="P1547" s="20"/>
      <x:c r="Q1547" s="20"/>
      <x:c r="R1547" s="20" t="str">
        <x:v>待展开</x:v>
      </x:c>
      <x:c r="S1547" s="20"/>
      <x:c r="T1547" s="31"/>
      <x:c r="U1547" s="30" t="str">
        <x:f>IF(A1547="","缺记录编号",IF(COUNTIFS(PathRecords[记录编号],A1547)&lt;&gt;1,"记录编号重复",IF(OR(B1547="",E1547=""),"缺组合/功能",IF(COUNTIFS(Equipment[组合编号],B1547)&lt;&gt;1,"组合编号无效",IF(COUNTIFS(FunctionMatrix[编号],E1547)=0,"功能编号无效",IF(H1547="不适用",IF(J1547="已实测","适用性冲突",IF(I1547="","待补不适用依据","不适用（非实测）")),IF(J1547="阻塞",IF(I1547="","待补阻塞原因","阻塞（非实测）"),IF(J1547&lt;&gt;"已实测",IF(F1547="","待展开路径","未实测"),IF(H1547&lt;&gt;"适用","待确认适用性",IF(INDEX(Equipment[登记状态（自动）],MATCH(B1547,Equipment[组合编号],0))&lt;&gt;"已登记","待补设备组合",IF(AND(F1547&lt;&gt;"",G1547&lt;&gt;"",K1547&lt;&gt;"",L1547&lt;&gt;"",M1547&lt;&gt;"",N1547&lt;&gt;"",ISNUMBER(O1547),O1547&gt;0,P1547&lt;&gt;""),"记录齐全","待补实测记录")))))))))))</x:f>
        <x:v>待展开路径</x:v>
      </x:c>
    </x:row>
    <x:row r="1548" ht="43.5" customHeight="1">
      <x:c r="A1548" s="20" t="str">
        <x:v>REC-01539</x:v>
      </x:c>
      <x:c r="B1548" s="20" t="str">
        <x:v>P3-B5-01</x:v>
      </x:c>
      <x:c r="C1548" s="30" t="str">
        <x:f>IF(B1548="","",IF(COUNTIFS(Equipment[组合编号],B1548)&lt;&gt;1,"组合编号无效",INDEX(Equipment[PLC组],MATCH(B1548,Equipment[组合编号],0))))</x:f>
        <x:v>欧姆龙</x:v>
      </x:c>
      <x:c r="D1548" s="30" t="str">
        <x:f>IF(B1548="","",IF(COUNTIFS(Equipment[组合编号],B1548)&lt;&gt;1,"组合编号无效",INDEX(Equipment[驱动品牌],MATCH(B1548,Equipment[组合编号],0))))</x:f>
        <x:v>KEBA（可选）</x:v>
      </x:c>
      <x:c r="E1548" s="20" t="str">
        <x:v>N07</x:v>
      </x:c>
      <x:c r="F1548" s="20"/>
      <x:c r="G1548" s="20"/>
      <x:c r="H1548" s="20" t="str">
        <x:v>待判定</x:v>
      </x:c>
      <x:c r="I1548" s="20"/>
      <x:c r="J1548" s="20" t="str">
        <x:v>未测试</x:v>
      </x:c>
      <x:c r="K1548" s="20"/>
      <x:c r="L1548" s="20"/>
      <x:c r="M1548" s="20"/>
      <x:c r="N1548" s="20"/>
      <x:c r="O1548" s="31"/>
      <x:c r="P1548" s="20"/>
      <x:c r="Q1548" s="20"/>
      <x:c r="R1548" s="20" t="str">
        <x:v>待展开</x:v>
      </x:c>
      <x:c r="S1548" s="20"/>
      <x:c r="T1548" s="31"/>
      <x:c r="U1548" s="30" t="str">
        <x:f>IF(A1548="","缺记录编号",IF(COUNTIFS(PathRecords[记录编号],A1548)&lt;&gt;1,"记录编号重复",IF(OR(B1548="",E1548=""),"缺组合/功能",IF(COUNTIFS(Equipment[组合编号],B1548)&lt;&gt;1,"组合编号无效",IF(COUNTIFS(FunctionMatrix[编号],E1548)=0,"功能编号无效",IF(H1548="不适用",IF(J1548="已实测","适用性冲突",IF(I1548="","待补不适用依据","不适用（非实测）")),IF(J1548="阻塞",IF(I1548="","待补阻塞原因","阻塞（非实测）"),IF(J1548&lt;&gt;"已实测",IF(F1548="","待展开路径","未实测"),IF(H1548&lt;&gt;"适用","待确认适用性",IF(INDEX(Equipment[登记状态（自动）],MATCH(B1548,Equipment[组合编号],0))&lt;&gt;"已登记","待补设备组合",IF(AND(F1548&lt;&gt;"",G1548&lt;&gt;"",K1548&lt;&gt;"",L1548&lt;&gt;"",M1548&lt;&gt;"",N1548&lt;&gt;"",ISNUMBER(O1548),O1548&gt;0,P1548&lt;&gt;""),"记录齐全","待补实测记录")))))))))))</x:f>
        <x:v>待展开路径</x:v>
      </x:c>
    </x:row>
    <x:row r="1549" ht="43.5" customHeight="1">
      <x:c r="A1549" s="20" t="str">
        <x:v>REC-01540</x:v>
      </x:c>
      <x:c r="B1549" s="20" t="str">
        <x:v>P3-B5-01</x:v>
      </x:c>
      <x:c r="C1549" s="30" t="str">
        <x:f>IF(B1549="","",IF(COUNTIFS(Equipment[组合编号],B1549)&lt;&gt;1,"组合编号无效",INDEX(Equipment[PLC组],MATCH(B1549,Equipment[组合编号],0))))</x:f>
        <x:v>欧姆龙</x:v>
      </x:c>
      <x:c r="D1549" s="30" t="str">
        <x:f>IF(B1549="","",IF(COUNTIFS(Equipment[组合编号],B1549)&lt;&gt;1,"组合编号无效",INDEX(Equipment[驱动品牌],MATCH(B1549,Equipment[组合编号],0))))</x:f>
        <x:v>KEBA（可选）</x:v>
      </x:c>
      <x:c r="E1549" s="20" t="str">
        <x:v>N08</x:v>
      </x:c>
      <x:c r="F1549" s="20"/>
      <x:c r="G1549" s="20"/>
      <x:c r="H1549" s="20" t="str">
        <x:v>待判定</x:v>
      </x:c>
      <x:c r="I1549" s="20"/>
      <x:c r="J1549" s="20" t="str">
        <x:v>未测试</x:v>
      </x:c>
      <x:c r="K1549" s="20"/>
      <x:c r="L1549" s="20"/>
      <x:c r="M1549" s="20"/>
      <x:c r="N1549" s="20"/>
      <x:c r="O1549" s="31"/>
      <x:c r="P1549" s="20"/>
      <x:c r="Q1549" s="20"/>
      <x:c r="R1549" s="20" t="str">
        <x:v>待展开</x:v>
      </x:c>
      <x:c r="S1549" s="20"/>
      <x:c r="T1549" s="31"/>
      <x:c r="U1549" s="30" t="str">
        <x:f>IF(A1549="","缺记录编号",IF(COUNTIFS(PathRecords[记录编号],A1549)&lt;&gt;1,"记录编号重复",IF(OR(B1549="",E1549=""),"缺组合/功能",IF(COUNTIFS(Equipment[组合编号],B1549)&lt;&gt;1,"组合编号无效",IF(COUNTIFS(FunctionMatrix[编号],E1549)=0,"功能编号无效",IF(H1549="不适用",IF(J1549="已实测","适用性冲突",IF(I1549="","待补不适用依据","不适用（非实测）")),IF(J1549="阻塞",IF(I1549="","待补阻塞原因","阻塞（非实测）"),IF(J1549&lt;&gt;"已实测",IF(F1549="","待展开路径","未实测"),IF(H1549&lt;&gt;"适用","待确认适用性",IF(INDEX(Equipment[登记状态（自动）],MATCH(B1549,Equipment[组合编号],0))&lt;&gt;"已登记","待补设备组合",IF(AND(F1549&lt;&gt;"",G1549&lt;&gt;"",K1549&lt;&gt;"",L1549&lt;&gt;"",M1549&lt;&gt;"",N1549&lt;&gt;"",ISNUMBER(O1549),O1549&gt;0,P1549&lt;&gt;""),"记录齐全","待补实测记录")))))))))))</x:f>
        <x:v>待展开路径</x:v>
      </x:c>
    </x:row>
    <x:row r="1550" ht="43.5" customHeight="1">
      <x:c r="A1550" s="20" t="str">
        <x:v>REC-01541</x:v>
      </x:c>
      <x:c r="B1550" s="20" t="str">
        <x:v>P3-B5-01</x:v>
      </x:c>
      <x:c r="C1550" s="30" t="str">
        <x:f>IF(B1550="","",IF(COUNTIFS(Equipment[组合编号],B1550)&lt;&gt;1,"组合编号无效",INDEX(Equipment[PLC组],MATCH(B1550,Equipment[组合编号],0))))</x:f>
        <x:v>欧姆龙</x:v>
      </x:c>
      <x:c r="D1550" s="30" t="str">
        <x:f>IF(B1550="","",IF(COUNTIFS(Equipment[组合编号],B1550)&lt;&gt;1,"组合编号无效",INDEX(Equipment[驱动品牌],MATCH(B1550,Equipment[组合编号],0))))</x:f>
        <x:v>KEBA（可选）</x:v>
      </x:c>
      <x:c r="E1550" s="20" t="str">
        <x:v>N09</x:v>
      </x:c>
      <x:c r="F1550" s="20"/>
      <x:c r="G1550" s="20"/>
      <x:c r="H1550" s="20" t="str">
        <x:v>待判定</x:v>
      </x:c>
      <x:c r="I1550" s="20"/>
      <x:c r="J1550" s="20" t="str">
        <x:v>未测试</x:v>
      </x:c>
      <x:c r="K1550" s="20"/>
      <x:c r="L1550" s="20"/>
      <x:c r="M1550" s="20"/>
      <x:c r="N1550" s="20"/>
      <x:c r="O1550" s="31"/>
      <x:c r="P1550" s="20"/>
      <x:c r="Q1550" s="20"/>
      <x:c r="R1550" s="20" t="str">
        <x:v>待展开</x:v>
      </x:c>
      <x:c r="S1550" s="20"/>
      <x:c r="T1550" s="31"/>
      <x:c r="U1550" s="30" t="str">
        <x:f>IF(A1550="","缺记录编号",IF(COUNTIFS(PathRecords[记录编号],A1550)&lt;&gt;1,"记录编号重复",IF(OR(B1550="",E1550=""),"缺组合/功能",IF(COUNTIFS(Equipment[组合编号],B1550)&lt;&gt;1,"组合编号无效",IF(COUNTIFS(FunctionMatrix[编号],E1550)=0,"功能编号无效",IF(H1550="不适用",IF(J1550="已实测","适用性冲突",IF(I1550="","待补不适用依据","不适用（非实测）")),IF(J1550="阻塞",IF(I1550="","待补阻塞原因","阻塞（非实测）"),IF(J1550&lt;&gt;"已实测",IF(F1550="","待展开路径","未实测"),IF(H1550&lt;&gt;"适用","待确认适用性",IF(INDEX(Equipment[登记状态（自动）],MATCH(B1550,Equipment[组合编号],0))&lt;&gt;"已登记","待补设备组合",IF(AND(F1550&lt;&gt;"",G1550&lt;&gt;"",K1550&lt;&gt;"",L1550&lt;&gt;"",M1550&lt;&gt;"",N1550&lt;&gt;"",ISNUMBER(O1550),O1550&gt;0,P1550&lt;&gt;""),"记录齐全","待补实测记录")))))))))))</x:f>
        <x:v>待展开路径</x:v>
      </x:c>
    </x:row>
    <x:row r="1551" ht="43.5" customHeight="1">
      <x:c r="A1551" s="20" t="str">
        <x:v>REC-01542</x:v>
      </x:c>
      <x:c r="B1551" s="20" t="str">
        <x:v>P3-B5-01</x:v>
      </x:c>
      <x:c r="C1551" s="30" t="str">
        <x:f>IF(B1551="","",IF(COUNTIFS(Equipment[组合编号],B1551)&lt;&gt;1,"组合编号无效",INDEX(Equipment[PLC组],MATCH(B1551,Equipment[组合编号],0))))</x:f>
        <x:v>欧姆龙</x:v>
      </x:c>
      <x:c r="D1551" s="30" t="str">
        <x:f>IF(B1551="","",IF(COUNTIFS(Equipment[组合编号],B1551)&lt;&gt;1,"组合编号无效",INDEX(Equipment[驱动品牌],MATCH(B1551,Equipment[组合编号],0))))</x:f>
        <x:v>KEBA（可选）</x:v>
      </x:c>
      <x:c r="E1551" s="20" t="str">
        <x:v>N10</x:v>
      </x:c>
      <x:c r="F1551" s="20"/>
      <x:c r="G1551" s="20"/>
      <x:c r="H1551" s="20" t="str">
        <x:v>待判定</x:v>
      </x:c>
      <x:c r="I1551" s="20"/>
      <x:c r="J1551" s="20" t="str">
        <x:v>未测试</x:v>
      </x:c>
      <x:c r="K1551" s="20"/>
      <x:c r="L1551" s="20"/>
      <x:c r="M1551" s="20"/>
      <x:c r="N1551" s="20"/>
      <x:c r="O1551" s="31"/>
      <x:c r="P1551" s="20"/>
      <x:c r="Q1551" s="20"/>
      <x:c r="R1551" s="20" t="str">
        <x:v>待展开</x:v>
      </x:c>
      <x:c r="S1551" s="20"/>
      <x:c r="T1551" s="31"/>
      <x:c r="U1551" s="30" t="str">
        <x:f>IF(A1551="","缺记录编号",IF(COUNTIFS(PathRecords[记录编号],A1551)&lt;&gt;1,"记录编号重复",IF(OR(B1551="",E1551=""),"缺组合/功能",IF(COUNTIFS(Equipment[组合编号],B1551)&lt;&gt;1,"组合编号无效",IF(COUNTIFS(FunctionMatrix[编号],E1551)=0,"功能编号无效",IF(H1551="不适用",IF(J1551="已实测","适用性冲突",IF(I1551="","待补不适用依据","不适用（非实测）")),IF(J1551="阻塞",IF(I1551="","待补阻塞原因","阻塞（非实测）"),IF(J1551&lt;&gt;"已实测",IF(F1551="","待展开路径","未实测"),IF(H1551&lt;&gt;"适用","待确认适用性",IF(INDEX(Equipment[登记状态（自动）],MATCH(B1551,Equipment[组合编号],0))&lt;&gt;"已登记","待补设备组合",IF(AND(F1551&lt;&gt;"",G1551&lt;&gt;"",K1551&lt;&gt;"",L1551&lt;&gt;"",M1551&lt;&gt;"",N1551&lt;&gt;"",ISNUMBER(O1551),O1551&gt;0,P1551&lt;&gt;""),"记录齐全","待补实测记录")))))))))))</x:f>
        <x:v>待展开路径</x:v>
      </x:c>
    </x:row>
    <x:row r="1552" ht="43.5" customHeight="1">
      <x:c r="A1552" s="20" t="str">
        <x:v>REC-01543</x:v>
      </x:c>
      <x:c r="B1552" s="20" t="str">
        <x:v>P3-B5-01</x:v>
      </x:c>
      <x:c r="C1552" s="30" t="str">
        <x:f>IF(B1552="","",IF(COUNTIFS(Equipment[组合编号],B1552)&lt;&gt;1,"组合编号无效",INDEX(Equipment[PLC组],MATCH(B1552,Equipment[组合编号],0))))</x:f>
        <x:v>欧姆龙</x:v>
      </x:c>
      <x:c r="D1552" s="30" t="str">
        <x:f>IF(B1552="","",IF(COUNTIFS(Equipment[组合编号],B1552)&lt;&gt;1,"组合编号无效",INDEX(Equipment[驱动品牌],MATCH(B1552,Equipment[组合编号],0))))</x:f>
        <x:v>KEBA（可选）</x:v>
      </x:c>
      <x:c r="E1552" s="20" t="str">
        <x:v>N11</x:v>
      </x:c>
      <x:c r="F1552" s="20"/>
      <x:c r="G1552" s="20"/>
      <x:c r="H1552" s="20" t="str">
        <x:v>待判定</x:v>
      </x:c>
      <x:c r="I1552" s="20"/>
      <x:c r="J1552" s="20" t="str">
        <x:v>未测试</x:v>
      </x:c>
      <x:c r="K1552" s="20"/>
      <x:c r="L1552" s="20"/>
      <x:c r="M1552" s="20"/>
      <x:c r="N1552" s="20"/>
      <x:c r="O1552" s="31"/>
      <x:c r="P1552" s="20"/>
      <x:c r="Q1552" s="20"/>
      <x:c r="R1552" s="20" t="str">
        <x:v>待展开</x:v>
      </x:c>
      <x:c r="S1552" s="20"/>
      <x:c r="T1552" s="31"/>
      <x:c r="U1552" s="30" t="str">
        <x:f>IF(A1552="","缺记录编号",IF(COUNTIFS(PathRecords[记录编号],A1552)&lt;&gt;1,"记录编号重复",IF(OR(B1552="",E1552=""),"缺组合/功能",IF(COUNTIFS(Equipment[组合编号],B1552)&lt;&gt;1,"组合编号无效",IF(COUNTIFS(FunctionMatrix[编号],E1552)=0,"功能编号无效",IF(H1552="不适用",IF(J1552="已实测","适用性冲突",IF(I1552="","待补不适用依据","不适用（非实测）")),IF(J1552="阻塞",IF(I1552="","待补阻塞原因","阻塞（非实测）"),IF(J1552&lt;&gt;"已实测",IF(F1552="","待展开路径","未实测"),IF(H1552&lt;&gt;"适用","待确认适用性",IF(INDEX(Equipment[登记状态（自动）],MATCH(B1552,Equipment[组合编号],0))&lt;&gt;"已登记","待补设备组合",IF(AND(F1552&lt;&gt;"",G1552&lt;&gt;"",K1552&lt;&gt;"",L1552&lt;&gt;"",M1552&lt;&gt;"",N1552&lt;&gt;"",ISNUMBER(O1552),O1552&gt;0,P1552&lt;&gt;""),"记录齐全","待补实测记录")))))))))))</x:f>
        <x:v>待展开路径</x:v>
      </x:c>
    </x:row>
    <x:row r="1553" ht="43.5" customHeight="1">
      <x:c r="A1553" s="20" t="str">
        <x:v>REC-01544</x:v>
      </x:c>
      <x:c r="B1553" s="20" t="str">
        <x:v>P3-B5-01</x:v>
      </x:c>
      <x:c r="C1553" s="30" t="str">
        <x:f>IF(B1553="","",IF(COUNTIFS(Equipment[组合编号],B1553)&lt;&gt;1,"组合编号无效",INDEX(Equipment[PLC组],MATCH(B1553,Equipment[组合编号],0))))</x:f>
        <x:v>欧姆龙</x:v>
      </x:c>
      <x:c r="D1553" s="30" t="str">
        <x:f>IF(B1553="","",IF(COUNTIFS(Equipment[组合编号],B1553)&lt;&gt;1,"组合编号无效",INDEX(Equipment[驱动品牌],MATCH(B1553,Equipment[组合编号],0))))</x:f>
        <x:v>KEBA（可选）</x:v>
      </x:c>
      <x:c r="E1553" s="20" t="str">
        <x:v>N12</x:v>
      </x:c>
      <x:c r="F1553" s="20"/>
      <x:c r="G1553" s="20"/>
      <x:c r="H1553" s="20" t="str">
        <x:v>待判定</x:v>
      </x:c>
      <x:c r="I1553" s="20"/>
      <x:c r="J1553" s="20" t="str">
        <x:v>未测试</x:v>
      </x:c>
      <x:c r="K1553" s="20"/>
      <x:c r="L1553" s="20"/>
      <x:c r="M1553" s="20"/>
      <x:c r="N1553" s="20"/>
      <x:c r="O1553" s="31"/>
      <x:c r="P1553" s="20"/>
      <x:c r="Q1553" s="20"/>
      <x:c r="R1553" s="20" t="str">
        <x:v>待展开</x:v>
      </x:c>
      <x:c r="S1553" s="20"/>
      <x:c r="T1553" s="31"/>
      <x:c r="U1553" s="30" t="str">
        <x:f>IF(A1553="","缺记录编号",IF(COUNTIFS(PathRecords[记录编号],A1553)&lt;&gt;1,"记录编号重复",IF(OR(B1553="",E1553=""),"缺组合/功能",IF(COUNTIFS(Equipment[组合编号],B1553)&lt;&gt;1,"组合编号无效",IF(COUNTIFS(FunctionMatrix[编号],E1553)=0,"功能编号无效",IF(H1553="不适用",IF(J1553="已实测","适用性冲突",IF(I1553="","待补不适用依据","不适用（非实测）")),IF(J1553="阻塞",IF(I1553="","待补阻塞原因","阻塞（非实测）"),IF(J1553&lt;&gt;"已实测",IF(F1553="","待展开路径","未实测"),IF(H1553&lt;&gt;"适用","待确认适用性",IF(INDEX(Equipment[登记状态（自动）],MATCH(B1553,Equipment[组合编号],0))&lt;&gt;"已登记","待补设备组合",IF(AND(F1553&lt;&gt;"",G1553&lt;&gt;"",K1553&lt;&gt;"",L1553&lt;&gt;"",M1553&lt;&gt;"",N1553&lt;&gt;"",ISNUMBER(O1553),O1553&gt;0,P1553&lt;&gt;""),"记录齐全","待补实测记录")))))))))))</x:f>
        <x:v>待展开路径</x:v>
      </x:c>
    </x:row>
    <x:row r="1554" ht="43.5" customHeight="1">
      <x:c r="A1554" s="20" t="str">
        <x:v>REC-01545</x:v>
      </x:c>
      <x:c r="B1554" s="20" t="str">
        <x:v>P3-B5-01</x:v>
      </x:c>
      <x:c r="C1554" s="30" t="str">
        <x:f>IF(B1554="","",IF(COUNTIFS(Equipment[组合编号],B1554)&lt;&gt;1,"组合编号无效",INDEX(Equipment[PLC组],MATCH(B1554,Equipment[组合编号],0))))</x:f>
        <x:v>欧姆龙</x:v>
      </x:c>
      <x:c r="D1554" s="30" t="str">
        <x:f>IF(B1554="","",IF(COUNTIFS(Equipment[组合编号],B1554)&lt;&gt;1,"组合编号无效",INDEX(Equipment[驱动品牌],MATCH(B1554,Equipment[组合编号],0))))</x:f>
        <x:v>KEBA（可选）</x:v>
      </x:c>
      <x:c r="E1554" s="20" t="str">
        <x:v>P01</x:v>
      </x:c>
      <x:c r="F1554" s="20"/>
      <x:c r="G1554" s="20"/>
      <x:c r="H1554" s="20" t="str">
        <x:v>待判定</x:v>
      </x:c>
      <x:c r="I1554" s="20"/>
      <x:c r="J1554" s="20" t="str">
        <x:v>未测试</x:v>
      </x:c>
      <x:c r="K1554" s="20"/>
      <x:c r="L1554" s="20"/>
      <x:c r="M1554" s="20"/>
      <x:c r="N1554" s="20"/>
      <x:c r="O1554" s="31"/>
      <x:c r="P1554" s="20"/>
      <x:c r="Q1554" s="20"/>
      <x:c r="R1554" s="20" t="str">
        <x:v>待展开</x:v>
      </x:c>
      <x:c r="S1554" s="20"/>
      <x:c r="T1554" s="31"/>
      <x:c r="U1554" s="30" t="str">
        <x:f>IF(A1554="","缺记录编号",IF(COUNTIFS(PathRecords[记录编号],A1554)&lt;&gt;1,"记录编号重复",IF(OR(B1554="",E1554=""),"缺组合/功能",IF(COUNTIFS(Equipment[组合编号],B1554)&lt;&gt;1,"组合编号无效",IF(COUNTIFS(FunctionMatrix[编号],E1554)=0,"功能编号无效",IF(H1554="不适用",IF(J1554="已实测","适用性冲突",IF(I1554="","待补不适用依据","不适用（非实测）")),IF(J1554="阻塞",IF(I1554="","待补阻塞原因","阻塞（非实测）"),IF(J1554&lt;&gt;"已实测",IF(F1554="","待展开路径","未实测"),IF(H1554&lt;&gt;"适用","待确认适用性",IF(INDEX(Equipment[登记状态（自动）],MATCH(B1554,Equipment[组合编号],0))&lt;&gt;"已登记","待补设备组合",IF(AND(F1554&lt;&gt;"",G1554&lt;&gt;"",K1554&lt;&gt;"",L1554&lt;&gt;"",M1554&lt;&gt;"",N1554&lt;&gt;"",ISNUMBER(O1554),O1554&gt;0,P1554&lt;&gt;""),"记录齐全","待补实测记录")))))))))))</x:f>
        <x:v>待展开路径</x:v>
      </x:c>
    </x:row>
    <x:row r="1555" ht="43.5" customHeight="1">
      <x:c r="A1555" s="20" t="str">
        <x:v>REC-01546</x:v>
      </x:c>
      <x:c r="B1555" s="20" t="str">
        <x:v>P3-B5-01</x:v>
      </x:c>
      <x:c r="C1555" s="30" t="str">
        <x:f>IF(B1555="","",IF(COUNTIFS(Equipment[组合编号],B1555)&lt;&gt;1,"组合编号无效",INDEX(Equipment[PLC组],MATCH(B1555,Equipment[组合编号],0))))</x:f>
        <x:v>欧姆龙</x:v>
      </x:c>
      <x:c r="D1555" s="30" t="str">
        <x:f>IF(B1555="","",IF(COUNTIFS(Equipment[组合编号],B1555)&lt;&gt;1,"组合编号无效",INDEX(Equipment[驱动品牌],MATCH(B1555,Equipment[组合编号],0))))</x:f>
        <x:v>KEBA（可选）</x:v>
      </x:c>
      <x:c r="E1555" s="20" t="str">
        <x:v>P02</x:v>
      </x:c>
      <x:c r="F1555" s="20"/>
      <x:c r="G1555" s="20"/>
      <x:c r="H1555" s="20" t="str">
        <x:v>待判定</x:v>
      </x:c>
      <x:c r="I1555" s="20"/>
      <x:c r="J1555" s="20" t="str">
        <x:v>未测试</x:v>
      </x:c>
      <x:c r="K1555" s="20"/>
      <x:c r="L1555" s="20"/>
      <x:c r="M1555" s="20"/>
      <x:c r="N1555" s="20"/>
      <x:c r="O1555" s="31"/>
      <x:c r="P1555" s="20"/>
      <x:c r="Q1555" s="20"/>
      <x:c r="R1555" s="20" t="str">
        <x:v>待展开</x:v>
      </x:c>
      <x:c r="S1555" s="20"/>
      <x:c r="T1555" s="31"/>
      <x:c r="U1555" s="30" t="str">
        <x:f>IF(A1555="","缺记录编号",IF(COUNTIFS(PathRecords[记录编号],A1555)&lt;&gt;1,"记录编号重复",IF(OR(B1555="",E1555=""),"缺组合/功能",IF(COUNTIFS(Equipment[组合编号],B1555)&lt;&gt;1,"组合编号无效",IF(COUNTIFS(FunctionMatrix[编号],E1555)=0,"功能编号无效",IF(H1555="不适用",IF(J1555="已实测","适用性冲突",IF(I1555="","待补不适用依据","不适用（非实测）")),IF(J1555="阻塞",IF(I1555="","待补阻塞原因","阻塞（非实测）"),IF(J1555&lt;&gt;"已实测",IF(F1555="","待展开路径","未实测"),IF(H1555&lt;&gt;"适用","待确认适用性",IF(INDEX(Equipment[登记状态（自动）],MATCH(B1555,Equipment[组合编号],0))&lt;&gt;"已登记","待补设备组合",IF(AND(F1555&lt;&gt;"",G1555&lt;&gt;"",K1555&lt;&gt;"",L1555&lt;&gt;"",M1555&lt;&gt;"",N1555&lt;&gt;"",ISNUMBER(O1555),O1555&gt;0,P1555&lt;&gt;""),"记录齐全","待补实测记录")))))))))))</x:f>
        <x:v>待展开路径</x:v>
      </x:c>
    </x:row>
    <x:row r="1556" ht="43.5" customHeight="1">
      <x:c r="A1556" s="20" t="str">
        <x:v>REC-01547</x:v>
      </x:c>
      <x:c r="B1556" s="20" t="str">
        <x:v>P3-B5-01</x:v>
      </x:c>
      <x:c r="C1556" s="30" t="str">
        <x:f>IF(B1556="","",IF(COUNTIFS(Equipment[组合编号],B1556)&lt;&gt;1,"组合编号无效",INDEX(Equipment[PLC组],MATCH(B1556,Equipment[组合编号],0))))</x:f>
        <x:v>欧姆龙</x:v>
      </x:c>
      <x:c r="D1556" s="30" t="str">
        <x:f>IF(B1556="","",IF(COUNTIFS(Equipment[组合编号],B1556)&lt;&gt;1,"组合编号无效",INDEX(Equipment[驱动品牌],MATCH(B1556,Equipment[组合编号],0))))</x:f>
        <x:v>KEBA（可选）</x:v>
      </x:c>
      <x:c r="E1556" s="20" t="str">
        <x:v>P03</x:v>
      </x:c>
      <x:c r="F1556" s="20"/>
      <x:c r="G1556" s="20"/>
      <x:c r="H1556" s="20" t="str">
        <x:v>待判定</x:v>
      </x:c>
      <x:c r="I1556" s="20"/>
      <x:c r="J1556" s="20" t="str">
        <x:v>未测试</x:v>
      </x:c>
      <x:c r="K1556" s="20"/>
      <x:c r="L1556" s="20"/>
      <x:c r="M1556" s="20"/>
      <x:c r="N1556" s="20"/>
      <x:c r="O1556" s="31"/>
      <x:c r="P1556" s="20"/>
      <x:c r="Q1556" s="20"/>
      <x:c r="R1556" s="20" t="str">
        <x:v>待展开</x:v>
      </x:c>
      <x:c r="S1556" s="20"/>
      <x:c r="T1556" s="31"/>
      <x:c r="U1556" s="30" t="str">
        <x:f>IF(A1556="","缺记录编号",IF(COUNTIFS(PathRecords[记录编号],A1556)&lt;&gt;1,"记录编号重复",IF(OR(B1556="",E1556=""),"缺组合/功能",IF(COUNTIFS(Equipment[组合编号],B1556)&lt;&gt;1,"组合编号无效",IF(COUNTIFS(FunctionMatrix[编号],E1556)=0,"功能编号无效",IF(H1556="不适用",IF(J1556="已实测","适用性冲突",IF(I1556="","待补不适用依据","不适用（非实测）")),IF(J1556="阻塞",IF(I1556="","待补阻塞原因","阻塞（非实测）"),IF(J1556&lt;&gt;"已实测",IF(F1556="","待展开路径","未实测"),IF(H1556&lt;&gt;"适用","待确认适用性",IF(INDEX(Equipment[登记状态（自动）],MATCH(B1556,Equipment[组合编号],0))&lt;&gt;"已登记","待补设备组合",IF(AND(F1556&lt;&gt;"",G1556&lt;&gt;"",K1556&lt;&gt;"",L1556&lt;&gt;"",M1556&lt;&gt;"",N1556&lt;&gt;"",ISNUMBER(O1556),O1556&gt;0,P1556&lt;&gt;""),"记录齐全","待补实测记录")))))))))))</x:f>
        <x:v>待展开路径</x:v>
      </x:c>
    </x:row>
    <x:row r="1557" ht="43.5" customHeight="1">
      <x:c r="A1557" s="20" t="str">
        <x:v>REC-01548</x:v>
      </x:c>
      <x:c r="B1557" s="20" t="str">
        <x:v>P3-B5-01</x:v>
      </x:c>
      <x:c r="C1557" s="30" t="str">
        <x:f>IF(B1557="","",IF(COUNTIFS(Equipment[组合编号],B1557)&lt;&gt;1,"组合编号无效",INDEX(Equipment[PLC组],MATCH(B1557,Equipment[组合编号],0))))</x:f>
        <x:v>欧姆龙</x:v>
      </x:c>
      <x:c r="D1557" s="30" t="str">
        <x:f>IF(B1557="","",IF(COUNTIFS(Equipment[组合编号],B1557)&lt;&gt;1,"组合编号无效",INDEX(Equipment[驱动品牌],MATCH(B1557,Equipment[组合编号],0))))</x:f>
        <x:v>KEBA（可选）</x:v>
      </x:c>
      <x:c r="E1557" s="20" t="str">
        <x:v>P04</x:v>
      </x:c>
      <x:c r="F1557" s="20"/>
      <x:c r="G1557" s="20"/>
      <x:c r="H1557" s="20" t="str">
        <x:v>待判定</x:v>
      </x:c>
      <x:c r="I1557" s="20"/>
      <x:c r="J1557" s="20" t="str">
        <x:v>未测试</x:v>
      </x:c>
      <x:c r="K1557" s="20"/>
      <x:c r="L1557" s="20"/>
      <x:c r="M1557" s="20"/>
      <x:c r="N1557" s="20"/>
      <x:c r="O1557" s="31"/>
      <x:c r="P1557" s="20"/>
      <x:c r="Q1557" s="20"/>
      <x:c r="R1557" s="20" t="str">
        <x:v>待展开</x:v>
      </x:c>
      <x:c r="S1557" s="20"/>
      <x:c r="T1557" s="31"/>
      <x:c r="U1557" s="30" t="str">
        <x:f>IF(A1557="","缺记录编号",IF(COUNTIFS(PathRecords[记录编号],A1557)&lt;&gt;1,"记录编号重复",IF(OR(B1557="",E1557=""),"缺组合/功能",IF(COUNTIFS(Equipment[组合编号],B1557)&lt;&gt;1,"组合编号无效",IF(COUNTIFS(FunctionMatrix[编号],E1557)=0,"功能编号无效",IF(H1557="不适用",IF(J1557="已实测","适用性冲突",IF(I1557="","待补不适用依据","不适用（非实测）")),IF(J1557="阻塞",IF(I1557="","待补阻塞原因","阻塞（非实测）"),IF(J1557&lt;&gt;"已实测",IF(F1557="","待展开路径","未实测"),IF(H1557&lt;&gt;"适用","待确认适用性",IF(INDEX(Equipment[登记状态（自动）],MATCH(B1557,Equipment[组合编号],0))&lt;&gt;"已登记","待补设备组合",IF(AND(F1557&lt;&gt;"",G1557&lt;&gt;"",K1557&lt;&gt;"",L1557&lt;&gt;"",M1557&lt;&gt;"",N1557&lt;&gt;"",ISNUMBER(O1557),O1557&gt;0,P1557&lt;&gt;""),"记录齐全","待补实测记录")))))))))))</x:f>
        <x:v>待展开路径</x:v>
      </x:c>
    </x:row>
    <x:row r="1558" ht="43.5" customHeight="1">
      <x:c r="A1558" s="20" t="str">
        <x:v>REC-01549</x:v>
      </x:c>
      <x:c r="B1558" s="20" t="str">
        <x:v>P3-B5-01</x:v>
      </x:c>
      <x:c r="C1558" s="30" t="str">
        <x:f>IF(B1558="","",IF(COUNTIFS(Equipment[组合编号],B1558)&lt;&gt;1,"组合编号无效",INDEX(Equipment[PLC组],MATCH(B1558,Equipment[组合编号],0))))</x:f>
        <x:v>欧姆龙</x:v>
      </x:c>
      <x:c r="D1558" s="30" t="str">
        <x:f>IF(B1558="","",IF(COUNTIFS(Equipment[组合编号],B1558)&lt;&gt;1,"组合编号无效",INDEX(Equipment[驱动品牌],MATCH(B1558,Equipment[组合编号],0))))</x:f>
        <x:v>KEBA（可选）</x:v>
      </x:c>
      <x:c r="E1558" s="20" t="str">
        <x:v>P05</x:v>
      </x:c>
      <x:c r="F1558" s="20"/>
      <x:c r="G1558" s="20"/>
      <x:c r="H1558" s="20" t="str">
        <x:v>待判定</x:v>
      </x:c>
      <x:c r="I1558" s="20"/>
      <x:c r="J1558" s="20" t="str">
        <x:v>未测试</x:v>
      </x:c>
      <x:c r="K1558" s="20"/>
      <x:c r="L1558" s="20"/>
      <x:c r="M1558" s="20"/>
      <x:c r="N1558" s="20"/>
      <x:c r="O1558" s="31"/>
      <x:c r="P1558" s="20"/>
      <x:c r="Q1558" s="20"/>
      <x:c r="R1558" s="20" t="str">
        <x:v>待展开</x:v>
      </x:c>
      <x:c r="S1558" s="20"/>
      <x:c r="T1558" s="31"/>
      <x:c r="U1558" s="30" t="str">
        <x:f>IF(A1558="","缺记录编号",IF(COUNTIFS(PathRecords[记录编号],A1558)&lt;&gt;1,"记录编号重复",IF(OR(B1558="",E1558=""),"缺组合/功能",IF(COUNTIFS(Equipment[组合编号],B1558)&lt;&gt;1,"组合编号无效",IF(COUNTIFS(FunctionMatrix[编号],E1558)=0,"功能编号无效",IF(H1558="不适用",IF(J1558="已实测","适用性冲突",IF(I1558="","待补不适用依据","不适用（非实测）")),IF(J1558="阻塞",IF(I1558="","待补阻塞原因","阻塞（非实测）"),IF(J1558&lt;&gt;"已实测",IF(F1558="","待展开路径","未实测"),IF(H1558&lt;&gt;"适用","待确认适用性",IF(INDEX(Equipment[登记状态（自动）],MATCH(B1558,Equipment[组合编号],0))&lt;&gt;"已登记","待补设备组合",IF(AND(F1558&lt;&gt;"",G1558&lt;&gt;"",K1558&lt;&gt;"",L1558&lt;&gt;"",M1558&lt;&gt;"",N1558&lt;&gt;"",ISNUMBER(O1558),O1558&gt;0,P1558&lt;&gt;""),"记录齐全","待补实测记录")))))))))))</x:f>
        <x:v>待展开路径</x:v>
      </x:c>
    </x:row>
    <x:row r="1559" ht="43.5" customHeight="1">
      <x:c r="A1559" s="20" t="str">
        <x:v>REC-01550</x:v>
      </x:c>
      <x:c r="B1559" s="20" t="str">
        <x:v>P3-B5-01</x:v>
      </x:c>
      <x:c r="C1559" s="30" t="str">
        <x:f>IF(B1559="","",IF(COUNTIFS(Equipment[组合编号],B1559)&lt;&gt;1,"组合编号无效",INDEX(Equipment[PLC组],MATCH(B1559,Equipment[组合编号],0))))</x:f>
        <x:v>欧姆龙</x:v>
      </x:c>
      <x:c r="D1559" s="30" t="str">
        <x:f>IF(B1559="","",IF(COUNTIFS(Equipment[组合编号],B1559)&lt;&gt;1,"组合编号无效",INDEX(Equipment[驱动品牌],MATCH(B1559,Equipment[组合编号],0))))</x:f>
        <x:v>KEBA（可选）</x:v>
      </x:c>
      <x:c r="E1559" s="20" t="str">
        <x:v>P06</x:v>
      </x:c>
      <x:c r="F1559" s="20"/>
      <x:c r="G1559" s="20"/>
      <x:c r="H1559" s="20" t="str">
        <x:v>待判定</x:v>
      </x:c>
      <x:c r="I1559" s="20"/>
      <x:c r="J1559" s="20" t="str">
        <x:v>未测试</x:v>
      </x:c>
      <x:c r="K1559" s="20"/>
      <x:c r="L1559" s="20"/>
      <x:c r="M1559" s="20"/>
      <x:c r="N1559" s="20"/>
      <x:c r="O1559" s="31"/>
      <x:c r="P1559" s="20"/>
      <x:c r="Q1559" s="20"/>
      <x:c r="R1559" s="20" t="str">
        <x:v>待展开</x:v>
      </x:c>
      <x:c r="S1559" s="20"/>
      <x:c r="T1559" s="31"/>
      <x:c r="U1559" s="30" t="str">
        <x:f>IF(A1559="","缺记录编号",IF(COUNTIFS(PathRecords[记录编号],A1559)&lt;&gt;1,"记录编号重复",IF(OR(B1559="",E1559=""),"缺组合/功能",IF(COUNTIFS(Equipment[组合编号],B1559)&lt;&gt;1,"组合编号无效",IF(COUNTIFS(FunctionMatrix[编号],E1559)=0,"功能编号无效",IF(H1559="不适用",IF(J1559="已实测","适用性冲突",IF(I1559="","待补不适用依据","不适用（非实测）")),IF(J1559="阻塞",IF(I1559="","待补阻塞原因","阻塞（非实测）"),IF(J1559&lt;&gt;"已实测",IF(F1559="","待展开路径","未实测"),IF(H1559&lt;&gt;"适用","待确认适用性",IF(INDEX(Equipment[登记状态（自动）],MATCH(B1559,Equipment[组合编号],0))&lt;&gt;"已登记","待补设备组合",IF(AND(F1559&lt;&gt;"",G1559&lt;&gt;"",K1559&lt;&gt;"",L1559&lt;&gt;"",M1559&lt;&gt;"",N1559&lt;&gt;"",ISNUMBER(O1559),O1559&gt;0,P1559&lt;&gt;""),"记录齐全","待补实测记录")))))))))))</x:f>
        <x:v>待展开路径</x:v>
      </x:c>
    </x:row>
    <x:row r="1560" ht="43.5" customHeight="1">
      <x:c r="A1560" s="20" t="str">
        <x:v>REC-01551</x:v>
      </x:c>
      <x:c r="B1560" s="20" t="str">
        <x:v>P3-B5-01</x:v>
      </x:c>
      <x:c r="C1560" s="30" t="str">
        <x:f>IF(B1560="","",IF(COUNTIFS(Equipment[组合编号],B1560)&lt;&gt;1,"组合编号无效",INDEX(Equipment[PLC组],MATCH(B1560,Equipment[组合编号],0))))</x:f>
        <x:v>欧姆龙</x:v>
      </x:c>
      <x:c r="D1560" s="30" t="str">
        <x:f>IF(B1560="","",IF(COUNTIFS(Equipment[组合编号],B1560)&lt;&gt;1,"组合编号无效",INDEX(Equipment[驱动品牌],MATCH(B1560,Equipment[组合编号],0))))</x:f>
        <x:v>KEBA（可选）</x:v>
      </x:c>
      <x:c r="E1560" s="20" t="str">
        <x:v>P07</x:v>
      </x:c>
      <x:c r="F1560" s="20"/>
      <x:c r="G1560" s="20"/>
      <x:c r="H1560" s="20" t="str">
        <x:v>待判定</x:v>
      </x:c>
      <x:c r="I1560" s="20"/>
      <x:c r="J1560" s="20" t="str">
        <x:v>未测试</x:v>
      </x:c>
      <x:c r="K1560" s="20"/>
      <x:c r="L1560" s="20"/>
      <x:c r="M1560" s="20"/>
      <x:c r="N1560" s="20"/>
      <x:c r="O1560" s="31"/>
      <x:c r="P1560" s="20"/>
      <x:c r="Q1560" s="20"/>
      <x:c r="R1560" s="20" t="str">
        <x:v>待展开</x:v>
      </x:c>
      <x:c r="S1560" s="20"/>
      <x:c r="T1560" s="31"/>
      <x:c r="U1560" s="30" t="str">
        <x:f>IF(A1560="","缺记录编号",IF(COUNTIFS(PathRecords[记录编号],A1560)&lt;&gt;1,"记录编号重复",IF(OR(B1560="",E1560=""),"缺组合/功能",IF(COUNTIFS(Equipment[组合编号],B1560)&lt;&gt;1,"组合编号无效",IF(COUNTIFS(FunctionMatrix[编号],E1560)=0,"功能编号无效",IF(H1560="不适用",IF(J1560="已实测","适用性冲突",IF(I1560="","待补不适用依据","不适用（非实测）")),IF(J1560="阻塞",IF(I1560="","待补阻塞原因","阻塞（非实测）"),IF(J1560&lt;&gt;"已实测",IF(F1560="","待展开路径","未实测"),IF(H1560&lt;&gt;"适用","待确认适用性",IF(INDEX(Equipment[登记状态（自动）],MATCH(B1560,Equipment[组合编号],0))&lt;&gt;"已登记","待补设备组合",IF(AND(F1560&lt;&gt;"",G1560&lt;&gt;"",K1560&lt;&gt;"",L1560&lt;&gt;"",M1560&lt;&gt;"",N1560&lt;&gt;"",ISNUMBER(O1560),O1560&gt;0,P1560&lt;&gt;""),"记录齐全","待补实测记录")))))))))))</x:f>
        <x:v>待展开路径</x:v>
      </x:c>
    </x:row>
    <x:row r="1561" ht="43.5" customHeight="1">
      <x:c r="A1561" s="20" t="str">
        <x:v>REC-01552</x:v>
      </x:c>
      <x:c r="B1561" s="20" t="str">
        <x:v>P3-B5-01</x:v>
      </x:c>
      <x:c r="C1561" s="30" t="str">
        <x:f>IF(B1561="","",IF(COUNTIFS(Equipment[组合编号],B1561)&lt;&gt;1,"组合编号无效",INDEX(Equipment[PLC组],MATCH(B1561,Equipment[组合编号],0))))</x:f>
        <x:v>欧姆龙</x:v>
      </x:c>
      <x:c r="D1561" s="30" t="str">
        <x:f>IF(B1561="","",IF(COUNTIFS(Equipment[组合编号],B1561)&lt;&gt;1,"组合编号无效",INDEX(Equipment[驱动品牌],MATCH(B1561,Equipment[组合编号],0))))</x:f>
        <x:v>KEBA（可选）</x:v>
      </x:c>
      <x:c r="E1561" s="20" t="str">
        <x:v>P08</x:v>
      </x:c>
      <x:c r="F1561" s="20"/>
      <x:c r="G1561" s="20"/>
      <x:c r="H1561" s="20" t="str">
        <x:v>待判定</x:v>
      </x:c>
      <x:c r="I1561" s="20"/>
      <x:c r="J1561" s="20" t="str">
        <x:v>未测试</x:v>
      </x:c>
      <x:c r="K1561" s="20"/>
      <x:c r="L1561" s="20"/>
      <x:c r="M1561" s="20"/>
      <x:c r="N1561" s="20"/>
      <x:c r="O1561" s="31"/>
      <x:c r="P1561" s="20"/>
      <x:c r="Q1561" s="20"/>
      <x:c r="R1561" s="20" t="str">
        <x:v>待展开</x:v>
      </x:c>
      <x:c r="S1561" s="20"/>
      <x:c r="T1561" s="31"/>
      <x:c r="U1561" s="30" t="str">
        <x:f>IF(A1561="","缺记录编号",IF(COUNTIFS(PathRecords[记录编号],A1561)&lt;&gt;1,"记录编号重复",IF(OR(B1561="",E1561=""),"缺组合/功能",IF(COUNTIFS(Equipment[组合编号],B1561)&lt;&gt;1,"组合编号无效",IF(COUNTIFS(FunctionMatrix[编号],E1561)=0,"功能编号无效",IF(H1561="不适用",IF(J1561="已实测","适用性冲突",IF(I1561="","待补不适用依据","不适用（非实测）")),IF(J1561="阻塞",IF(I1561="","待补阻塞原因","阻塞（非实测）"),IF(J1561&lt;&gt;"已实测",IF(F1561="","待展开路径","未实测"),IF(H1561&lt;&gt;"适用","待确认适用性",IF(INDEX(Equipment[登记状态（自动）],MATCH(B1561,Equipment[组合编号],0))&lt;&gt;"已登记","待补设备组合",IF(AND(F1561&lt;&gt;"",G1561&lt;&gt;"",K1561&lt;&gt;"",L1561&lt;&gt;"",M1561&lt;&gt;"",N1561&lt;&gt;"",ISNUMBER(O1561),O1561&gt;0,P1561&lt;&gt;""),"记录齐全","待补实测记录")))))))))))</x:f>
        <x:v>待展开路径</x:v>
      </x:c>
    </x:row>
    <x:row r="1562" ht="43.5" customHeight="1">
      <x:c r="A1562" s="20" t="str">
        <x:v>REC-01553</x:v>
      </x:c>
      <x:c r="B1562" s="20" t="str">
        <x:v>P3-B5-01</x:v>
      </x:c>
      <x:c r="C1562" s="30" t="str">
        <x:f>IF(B1562="","",IF(COUNTIFS(Equipment[组合编号],B1562)&lt;&gt;1,"组合编号无效",INDEX(Equipment[PLC组],MATCH(B1562,Equipment[组合编号],0))))</x:f>
        <x:v>欧姆龙</x:v>
      </x:c>
      <x:c r="D1562" s="30" t="str">
        <x:f>IF(B1562="","",IF(COUNTIFS(Equipment[组合编号],B1562)&lt;&gt;1,"组合编号无效",INDEX(Equipment[驱动品牌],MATCH(B1562,Equipment[组合编号],0))))</x:f>
        <x:v>KEBA（可选）</x:v>
      </x:c>
      <x:c r="E1562" s="20" t="str">
        <x:v>P09</x:v>
      </x:c>
      <x:c r="F1562" s="20"/>
      <x:c r="G1562" s="20"/>
      <x:c r="H1562" s="20" t="str">
        <x:v>待判定</x:v>
      </x:c>
      <x:c r="I1562" s="20"/>
      <x:c r="J1562" s="20" t="str">
        <x:v>未测试</x:v>
      </x:c>
      <x:c r="K1562" s="20"/>
      <x:c r="L1562" s="20"/>
      <x:c r="M1562" s="20"/>
      <x:c r="N1562" s="20"/>
      <x:c r="O1562" s="31"/>
      <x:c r="P1562" s="20"/>
      <x:c r="Q1562" s="20"/>
      <x:c r="R1562" s="20" t="str">
        <x:v>待展开</x:v>
      </x:c>
      <x:c r="S1562" s="20"/>
      <x:c r="T1562" s="31"/>
      <x:c r="U1562" s="30" t="str">
        <x:f>IF(A1562="","缺记录编号",IF(COUNTIFS(PathRecords[记录编号],A1562)&lt;&gt;1,"记录编号重复",IF(OR(B1562="",E1562=""),"缺组合/功能",IF(COUNTIFS(Equipment[组合编号],B1562)&lt;&gt;1,"组合编号无效",IF(COUNTIFS(FunctionMatrix[编号],E1562)=0,"功能编号无效",IF(H1562="不适用",IF(J1562="已实测","适用性冲突",IF(I1562="","待补不适用依据","不适用（非实测）")),IF(J1562="阻塞",IF(I1562="","待补阻塞原因","阻塞（非实测）"),IF(J1562&lt;&gt;"已实测",IF(F1562="","待展开路径","未实测"),IF(H1562&lt;&gt;"适用","待确认适用性",IF(INDEX(Equipment[登记状态（自动）],MATCH(B1562,Equipment[组合编号],0))&lt;&gt;"已登记","待补设备组合",IF(AND(F1562&lt;&gt;"",G1562&lt;&gt;"",K1562&lt;&gt;"",L1562&lt;&gt;"",M1562&lt;&gt;"",N1562&lt;&gt;"",ISNUMBER(O1562),O1562&gt;0,P1562&lt;&gt;""),"记录齐全","待补实测记录")))))))))))</x:f>
        <x:v>待展开路径</x:v>
      </x:c>
    </x:row>
    <x:row r="1563" ht="43.5" customHeight="1">
      <x:c r="A1563" s="20" t="str">
        <x:v>REC-01554</x:v>
      </x:c>
      <x:c r="B1563" s="20" t="str">
        <x:v>P3-B5-01</x:v>
      </x:c>
      <x:c r="C1563" s="30" t="str">
        <x:f>IF(B1563="","",IF(COUNTIFS(Equipment[组合编号],B1563)&lt;&gt;1,"组合编号无效",INDEX(Equipment[PLC组],MATCH(B1563,Equipment[组合编号],0))))</x:f>
        <x:v>欧姆龙</x:v>
      </x:c>
      <x:c r="D1563" s="30" t="str">
        <x:f>IF(B1563="","",IF(COUNTIFS(Equipment[组合编号],B1563)&lt;&gt;1,"组合编号无效",INDEX(Equipment[驱动品牌],MATCH(B1563,Equipment[组合编号],0))))</x:f>
        <x:v>KEBA（可选）</x:v>
      </x:c>
      <x:c r="E1563" s="20" t="str">
        <x:v>P10</x:v>
      </x:c>
      <x:c r="F1563" s="20"/>
      <x:c r="G1563" s="20"/>
      <x:c r="H1563" s="20" t="str">
        <x:v>待判定</x:v>
      </x:c>
      <x:c r="I1563" s="20"/>
      <x:c r="J1563" s="20" t="str">
        <x:v>未测试</x:v>
      </x:c>
      <x:c r="K1563" s="20"/>
      <x:c r="L1563" s="20"/>
      <x:c r="M1563" s="20"/>
      <x:c r="N1563" s="20"/>
      <x:c r="O1563" s="31"/>
      <x:c r="P1563" s="20"/>
      <x:c r="Q1563" s="20"/>
      <x:c r="R1563" s="20" t="str">
        <x:v>待展开</x:v>
      </x:c>
      <x:c r="S1563" s="20"/>
      <x:c r="T1563" s="31"/>
      <x:c r="U1563" s="30" t="str">
        <x:f>IF(A1563="","缺记录编号",IF(COUNTIFS(PathRecords[记录编号],A1563)&lt;&gt;1,"记录编号重复",IF(OR(B1563="",E1563=""),"缺组合/功能",IF(COUNTIFS(Equipment[组合编号],B1563)&lt;&gt;1,"组合编号无效",IF(COUNTIFS(FunctionMatrix[编号],E1563)=0,"功能编号无效",IF(H1563="不适用",IF(J1563="已实测","适用性冲突",IF(I1563="","待补不适用依据","不适用（非实测）")),IF(J1563="阻塞",IF(I1563="","待补阻塞原因","阻塞（非实测）"),IF(J1563&lt;&gt;"已实测",IF(F1563="","待展开路径","未实测"),IF(H1563&lt;&gt;"适用","待确认适用性",IF(INDEX(Equipment[登记状态（自动）],MATCH(B1563,Equipment[组合编号],0))&lt;&gt;"已登记","待补设备组合",IF(AND(F1563&lt;&gt;"",G1563&lt;&gt;"",K1563&lt;&gt;"",L1563&lt;&gt;"",M1563&lt;&gt;"",N1563&lt;&gt;"",ISNUMBER(O1563),O1563&gt;0,P1563&lt;&gt;""),"记录齐全","待补实测记录")))))))))))</x:f>
        <x:v>待展开路径</x:v>
      </x:c>
    </x:row>
    <x:row r="1564" ht="43.5" customHeight="1">
      <x:c r="A1564" s="20" t="str">
        <x:v>REC-01555</x:v>
      </x:c>
      <x:c r="B1564" s="20" t="str">
        <x:v>P3-B5-01</x:v>
      </x:c>
      <x:c r="C1564" s="30" t="str">
        <x:f>IF(B1564="","",IF(COUNTIFS(Equipment[组合编号],B1564)&lt;&gt;1,"组合编号无效",INDEX(Equipment[PLC组],MATCH(B1564,Equipment[组合编号],0))))</x:f>
        <x:v>欧姆龙</x:v>
      </x:c>
      <x:c r="D1564" s="30" t="str">
        <x:f>IF(B1564="","",IF(COUNTIFS(Equipment[组合编号],B1564)&lt;&gt;1,"组合编号无效",INDEX(Equipment[驱动品牌],MATCH(B1564,Equipment[组合编号],0))))</x:f>
        <x:v>KEBA（可选）</x:v>
      </x:c>
      <x:c r="E1564" s="20" t="str">
        <x:v>A01</x:v>
      </x:c>
      <x:c r="F1564" s="20"/>
      <x:c r="G1564" s="20"/>
      <x:c r="H1564" s="20" t="str">
        <x:v>待判定</x:v>
      </x:c>
      <x:c r="I1564" s="20"/>
      <x:c r="J1564" s="20" t="str">
        <x:v>未测试</x:v>
      </x:c>
      <x:c r="K1564" s="20"/>
      <x:c r="L1564" s="20"/>
      <x:c r="M1564" s="20"/>
      <x:c r="N1564" s="20"/>
      <x:c r="O1564" s="31"/>
      <x:c r="P1564" s="20"/>
      <x:c r="Q1564" s="20"/>
      <x:c r="R1564" s="20" t="str">
        <x:v>待展开</x:v>
      </x:c>
      <x:c r="S1564" s="20"/>
      <x:c r="T1564" s="31"/>
      <x:c r="U1564" s="30" t="str">
        <x:f>IF(A1564="","缺记录编号",IF(COUNTIFS(PathRecords[记录编号],A1564)&lt;&gt;1,"记录编号重复",IF(OR(B1564="",E1564=""),"缺组合/功能",IF(COUNTIFS(Equipment[组合编号],B1564)&lt;&gt;1,"组合编号无效",IF(COUNTIFS(FunctionMatrix[编号],E1564)=0,"功能编号无效",IF(H1564="不适用",IF(J1564="已实测","适用性冲突",IF(I1564="","待补不适用依据","不适用（非实测）")),IF(J1564="阻塞",IF(I1564="","待补阻塞原因","阻塞（非实测）"),IF(J1564&lt;&gt;"已实测",IF(F1564="","待展开路径","未实测"),IF(H1564&lt;&gt;"适用","待确认适用性",IF(INDEX(Equipment[登记状态（自动）],MATCH(B1564,Equipment[组合编号],0))&lt;&gt;"已登记","待补设备组合",IF(AND(F1564&lt;&gt;"",G1564&lt;&gt;"",K1564&lt;&gt;"",L1564&lt;&gt;"",M1564&lt;&gt;"",N1564&lt;&gt;"",ISNUMBER(O1564),O1564&gt;0,P1564&lt;&gt;""),"记录齐全","待补实测记录")))))))))))</x:f>
        <x:v>待展开路径</x:v>
      </x:c>
    </x:row>
    <x:row r="1565" ht="43.5" customHeight="1">
      <x:c r="A1565" s="20" t="str">
        <x:v>REC-01556</x:v>
      </x:c>
      <x:c r="B1565" s="20" t="str">
        <x:v>P3-B5-01</x:v>
      </x:c>
      <x:c r="C1565" s="30" t="str">
        <x:f>IF(B1565="","",IF(COUNTIFS(Equipment[组合编号],B1565)&lt;&gt;1,"组合编号无效",INDEX(Equipment[PLC组],MATCH(B1565,Equipment[组合编号],0))))</x:f>
        <x:v>欧姆龙</x:v>
      </x:c>
      <x:c r="D1565" s="30" t="str">
        <x:f>IF(B1565="","",IF(COUNTIFS(Equipment[组合编号],B1565)&lt;&gt;1,"组合编号无效",INDEX(Equipment[驱动品牌],MATCH(B1565,Equipment[组合编号],0))))</x:f>
        <x:v>KEBA（可选）</x:v>
      </x:c>
      <x:c r="E1565" s="20" t="str">
        <x:v>A02</x:v>
      </x:c>
      <x:c r="F1565" s="20"/>
      <x:c r="G1565" s="20"/>
      <x:c r="H1565" s="20" t="str">
        <x:v>待判定</x:v>
      </x:c>
      <x:c r="I1565" s="20"/>
      <x:c r="J1565" s="20" t="str">
        <x:v>未测试</x:v>
      </x:c>
      <x:c r="K1565" s="20"/>
      <x:c r="L1565" s="20"/>
      <x:c r="M1565" s="20"/>
      <x:c r="N1565" s="20"/>
      <x:c r="O1565" s="31"/>
      <x:c r="P1565" s="20"/>
      <x:c r="Q1565" s="20"/>
      <x:c r="R1565" s="20" t="str">
        <x:v>待展开</x:v>
      </x:c>
      <x:c r="S1565" s="20"/>
      <x:c r="T1565" s="31"/>
      <x:c r="U1565" s="30" t="str">
        <x:f>IF(A1565="","缺记录编号",IF(COUNTIFS(PathRecords[记录编号],A1565)&lt;&gt;1,"记录编号重复",IF(OR(B1565="",E1565=""),"缺组合/功能",IF(COUNTIFS(Equipment[组合编号],B1565)&lt;&gt;1,"组合编号无效",IF(COUNTIFS(FunctionMatrix[编号],E1565)=0,"功能编号无效",IF(H1565="不适用",IF(J1565="已实测","适用性冲突",IF(I1565="","待补不适用依据","不适用（非实测）")),IF(J1565="阻塞",IF(I1565="","待补阻塞原因","阻塞（非实测）"),IF(J1565&lt;&gt;"已实测",IF(F1565="","待展开路径","未实测"),IF(H1565&lt;&gt;"适用","待确认适用性",IF(INDEX(Equipment[登记状态（自动）],MATCH(B1565,Equipment[组合编号],0))&lt;&gt;"已登记","待补设备组合",IF(AND(F1565&lt;&gt;"",G1565&lt;&gt;"",K1565&lt;&gt;"",L1565&lt;&gt;"",M1565&lt;&gt;"",N1565&lt;&gt;"",ISNUMBER(O1565),O1565&gt;0,P1565&lt;&gt;""),"记录齐全","待补实测记录")))))))))))</x:f>
        <x:v>待展开路径</x:v>
      </x:c>
    </x:row>
    <x:row r="1566" ht="43.5" customHeight="1">
      <x:c r="A1566" s="20" t="str">
        <x:v>REC-01557</x:v>
      </x:c>
      <x:c r="B1566" s="20" t="str">
        <x:v>P3-B5-01</x:v>
      </x:c>
      <x:c r="C1566" s="30" t="str">
        <x:f>IF(B1566="","",IF(COUNTIFS(Equipment[组合编号],B1566)&lt;&gt;1,"组合编号无效",INDEX(Equipment[PLC组],MATCH(B1566,Equipment[组合编号],0))))</x:f>
        <x:v>欧姆龙</x:v>
      </x:c>
      <x:c r="D1566" s="30" t="str">
        <x:f>IF(B1566="","",IF(COUNTIFS(Equipment[组合编号],B1566)&lt;&gt;1,"组合编号无效",INDEX(Equipment[驱动品牌],MATCH(B1566,Equipment[组合编号],0))))</x:f>
        <x:v>KEBA（可选）</x:v>
      </x:c>
      <x:c r="E1566" s="20" t="str">
        <x:v>A03</x:v>
      </x:c>
      <x:c r="F1566" s="20"/>
      <x:c r="G1566" s="20"/>
      <x:c r="H1566" s="20" t="str">
        <x:v>待判定</x:v>
      </x:c>
      <x:c r="I1566" s="20"/>
      <x:c r="J1566" s="20" t="str">
        <x:v>未测试</x:v>
      </x:c>
      <x:c r="K1566" s="20"/>
      <x:c r="L1566" s="20"/>
      <x:c r="M1566" s="20"/>
      <x:c r="N1566" s="20"/>
      <x:c r="O1566" s="31"/>
      <x:c r="P1566" s="20"/>
      <x:c r="Q1566" s="20"/>
      <x:c r="R1566" s="20" t="str">
        <x:v>待展开</x:v>
      </x:c>
      <x:c r="S1566" s="20"/>
      <x:c r="T1566" s="31"/>
      <x:c r="U1566" s="30" t="str">
        <x:f>IF(A1566="","缺记录编号",IF(COUNTIFS(PathRecords[记录编号],A1566)&lt;&gt;1,"记录编号重复",IF(OR(B1566="",E1566=""),"缺组合/功能",IF(COUNTIFS(Equipment[组合编号],B1566)&lt;&gt;1,"组合编号无效",IF(COUNTIFS(FunctionMatrix[编号],E1566)=0,"功能编号无效",IF(H1566="不适用",IF(J1566="已实测","适用性冲突",IF(I1566="","待补不适用依据","不适用（非实测）")),IF(J1566="阻塞",IF(I1566="","待补阻塞原因","阻塞（非实测）"),IF(J1566&lt;&gt;"已实测",IF(F1566="","待展开路径","未实测"),IF(H1566&lt;&gt;"适用","待确认适用性",IF(INDEX(Equipment[登记状态（自动）],MATCH(B1566,Equipment[组合编号],0))&lt;&gt;"已登记","待补设备组合",IF(AND(F1566&lt;&gt;"",G1566&lt;&gt;"",K1566&lt;&gt;"",L1566&lt;&gt;"",M1566&lt;&gt;"",N1566&lt;&gt;"",ISNUMBER(O1566),O1566&gt;0,P1566&lt;&gt;""),"记录齐全","待补实测记录")))))))))))</x:f>
        <x:v>待展开路径</x:v>
      </x:c>
    </x:row>
    <x:row r="1567" ht="43.5" customHeight="1">
      <x:c r="A1567" s="20" t="str">
        <x:v>REC-01558</x:v>
      </x:c>
      <x:c r="B1567" s="20" t="str">
        <x:v>P3-B5-01</x:v>
      </x:c>
      <x:c r="C1567" s="30" t="str">
        <x:f>IF(B1567="","",IF(COUNTIFS(Equipment[组合编号],B1567)&lt;&gt;1,"组合编号无效",INDEX(Equipment[PLC组],MATCH(B1567,Equipment[组合编号],0))))</x:f>
        <x:v>欧姆龙</x:v>
      </x:c>
      <x:c r="D1567" s="30" t="str">
        <x:f>IF(B1567="","",IF(COUNTIFS(Equipment[组合编号],B1567)&lt;&gt;1,"组合编号无效",INDEX(Equipment[驱动品牌],MATCH(B1567,Equipment[组合编号],0))))</x:f>
        <x:v>KEBA（可选）</x:v>
      </x:c>
      <x:c r="E1567" s="20" t="str">
        <x:v>A04</x:v>
      </x:c>
      <x:c r="F1567" s="20"/>
      <x:c r="G1567" s="20"/>
      <x:c r="H1567" s="20" t="str">
        <x:v>待判定</x:v>
      </x:c>
      <x:c r="I1567" s="20"/>
      <x:c r="J1567" s="20" t="str">
        <x:v>未测试</x:v>
      </x:c>
      <x:c r="K1567" s="20"/>
      <x:c r="L1567" s="20"/>
      <x:c r="M1567" s="20"/>
      <x:c r="N1567" s="20"/>
      <x:c r="O1567" s="31"/>
      <x:c r="P1567" s="20"/>
      <x:c r="Q1567" s="20"/>
      <x:c r="R1567" s="20" t="str">
        <x:v>待展开</x:v>
      </x:c>
      <x:c r="S1567" s="20"/>
      <x:c r="T1567" s="31"/>
      <x:c r="U1567" s="30" t="str">
        <x:f>IF(A1567="","缺记录编号",IF(COUNTIFS(PathRecords[记录编号],A1567)&lt;&gt;1,"记录编号重复",IF(OR(B1567="",E1567=""),"缺组合/功能",IF(COUNTIFS(Equipment[组合编号],B1567)&lt;&gt;1,"组合编号无效",IF(COUNTIFS(FunctionMatrix[编号],E1567)=0,"功能编号无效",IF(H1567="不适用",IF(J1567="已实测","适用性冲突",IF(I1567="","待补不适用依据","不适用（非实测）")),IF(J1567="阻塞",IF(I1567="","待补阻塞原因","阻塞（非实测）"),IF(J1567&lt;&gt;"已实测",IF(F1567="","待展开路径","未实测"),IF(H1567&lt;&gt;"适用","待确认适用性",IF(INDEX(Equipment[登记状态（自动）],MATCH(B1567,Equipment[组合编号],0))&lt;&gt;"已登记","待补设备组合",IF(AND(F1567&lt;&gt;"",G1567&lt;&gt;"",K1567&lt;&gt;"",L1567&lt;&gt;"",M1567&lt;&gt;"",N1567&lt;&gt;"",ISNUMBER(O1567),O1567&gt;0,P1567&lt;&gt;""),"记录齐全","待补实测记录")))))))))))</x:f>
        <x:v>待展开路径</x:v>
      </x:c>
    </x:row>
    <x:row r="1568" ht="43.5" customHeight="1">
      <x:c r="A1568" s="20" t="str">
        <x:v>REC-01559</x:v>
      </x:c>
      <x:c r="B1568" s="20" t="str">
        <x:v>P3-B5-01</x:v>
      </x:c>
      <x:c r="C1568" s="30" t="str">
        <x:f>IF(B1568="","",IF(COUNTIFS(Equipment[组合编号],B1568)&lt;&gt;1,"组合编号无效",INDEX(Equipment[PLC组],MATCH(B1568,Equipment[组合编号],0))))</x:f>
        <x:v>欧姆龙</x:v>
      </x:c>
      <x:c r="D1568" s="30" t="str">
        <x:f>IF(B1568="","",IF(COUNTIFS(Equipment[组合编号],B1568)&lt;&gt;1,"组合编号无效",INDEX(Equipment[驱动品牌],MATCH(B1568,Equipment[组合编号],0))))</x:f>
        <x:v>KEBA（可选）</x:v>
      </x:c>
      <x:c r="E1568" s="20" t="str">
        <x:v>A05</x:v>
      </x:c>
      <x:c r="F1568" s="20"/>
      <x:c r="G1568" s="20"/>
      <x:c r="H1568" s="20" t="str">
        <x:v>待判定</x:v>
      </x:c>
      <x:c r="I1568" s="20"/>
      <x:c r="J1568" s="20" t="str">
        <x:v>未测试</x:v>
      </x:c>
      <x:c r="K1568" s="20"/>
      <x:c r="L1568" s="20"/>
      <x:c r="M1568" s="20"/>
      <x:c r="N1568" s="20"/>
      <x:c r="O1568" s="31"/>
      <x:c r="P1568" s="20"/>
      <x:c r="Q1568" s="20"/>
      <x:c r="R1568" s="20" t="str">
        <x:v>待展开</x:v>
      </x:c>
      <x:c r="S1568" s="20"/>
      <x:c r="T1568" s="31"/>
      <x:c r="U1568" s="30" t="str">
        <x:f>IF(A1568="","缺记录编号",IF(COUNTIFS(PathRecords[记录编号],A1568)&lt;&gt;1,"记录编号重复",IF(OR(B1568="",E1568=""),"缺组合/功能",IF(COUNTIFS(Equipment[组合编号],B1568)&lt;&gt;1,"组合编号无效",IF(COUNTIFS(FunctionMatrix[编号],E1568)=0,"功能编号无效",IF(H1568="不适用",IF(J1568="已实测","适用性冲突",IF(I1568="","待补不适用依据","不适用（非实测）")),IF(J1568="阻塞",IF(I1568="","待补阻塞原因","阻塞（非实测）"),IF(J1568&lt;&gt;"已实测",IF(F1568="","待展开路径","未实测"),IF(H1568&lt;&gt;"适用","待确认适用性",IF(INDEX(Equipment[登记状态（自动）],MATCH(B1568,Equipment[组合编号],0))&lt;&gt;"已登记","待补设备组合",IF(AND(F1568&lt;&gt;"",G1568&lt;&gt;"",K1568&lt;&gt;"",L1568&lt;&gt;"",M1568&lt;&gt;"",N1568&lt;&gt;"",ISNUMBER(O1568),O1568&gt;0,P1568&lt;&gt;""),"记录齐全","待补实测记录")))))))))))</x:f>
        <x:v>待展开路径</x:v>
      </x:c>
    </x:row>
    <x:row r="1569" ht="43.5" customHeight="1">
      <x:c r="A1569" s="20" t="str">
        <x:v>REC-01560</x:v>
      </x:c>
      <x:c r="B1569" s="20" t="str">
        <x:v>P3-B5-01</x:v>
      </x:c>
      <x:c r="C1569" s="30" t="str">
        <x:f>IF(B1569="","",IF(COUNTIFS(Equipment[组合编号],B1569)&lt;&gt;1,"组合编号无效",INDEX(Equipment[PLC组],MATCH(B1569,Equipment[组合编号],0))))</x:f>
        <x:v>欧姆龙</x:v>
      </x:c>
      <x:c r="D1569" s="30" t="str">
        <x:f>IF(B1569="","",IF(COUNTIFS(Equipment[组合编号],B1569)&lt;&gt;1,"组合编号无效",INDEX(Equipment[驱动品牌],MATCH(B1569,Equipment[组合编号],0))))</x:f>
        <x:v>KEBA（可选）</x:v>
      </x:c>
      <x:c r="E1569" s="20" t="str">
        <x:v>A06</x:v>
      </x:c>
      <x:c r="F1569" s="20"/>
      <x:c r="G1569" s="20"/>
      <x:c r="H1569" s="20" t="str">
        <x:v>待判定</x:v>
      </x:c>
      <x:c r="I1569" s="20"/>
      <x:c r="J1569" s="20" t="str">
        <x:v>未测试</x:v>
      </x:c>
      <x:c r="K1569" s="20"/>
      <x:c r="L1569" s="20"/>
      <x:c r="M1569" s="20"/>
      <x:c r="N1569" s="20"/>
      <x:c r="O1569" s="31"/>
      <x:c r="P1569" s="20"/>
      <x:c r="Q1569" s="20"/>
      <x:c r="R1569" s="20" t="str">
        <x:v>待展开</x:v>
      </x:c>
      <x:c r="S1569" s="20"/>
      <x:c r="T1569" s="31"/>
      <x:c r="U1569" s="30" t="str">
        <x:f>IF(A1569="","缺记录编号",IF(COUNTIFS(PathRecords[记录编号],A1569)&lt;&gt;1,"记录编号重复",IF(OR(B1569="",E1569=""),"缺组合/功能",IF(COUNTIFS(Equipment[组合编号],B1569)&lt;&gt;1,"组合编号无效",IF(COUNTIFS(FunctionMatrix[编号],E1569)=0,"功能编号无效",IF(H1569="不适用",IF(J1569="已实测","适用性冲突",IF(I1569="","待补不适用依据","不适用（非实测）")),IF(J1569="阻塞",IF(I1569="","待补阻塞原因","阻塞（非实测）"),IF(J1569&lt;&gt;"已实测",IF(F1569="","待展开路径","未实测"),IF(H1569&lt;&gt;"适用","待确认适用性",IF(INDEX(Equipment[登记状态（自动）],MATCH(B1569,Equipment[组合编号],0))&lt;&gt;"已登记","待补设备组合",IF(AND(F1569&lt;&gt;"",G1569&lt;&gt;"",K1569&lt;&gt;"",L1569&lt;&gt;"",M1569&lt;&gt;"",N1569&lt;&gt;"",ISNUMBER(O1569),O1569&gt;0,P1569&lt;&gt;""),"记录齐全","待补实测记录")))))))))))</x:f>
        <x:v>待展开路径</x:v>
      </x:c>
    </x:row>
    <x:row r="1570" ht="43.5" customHeight="1">
      <x:c r="A1570" s="20" t="str">
        <x:v>REC-01561</x:v>
      </x:c>
      <x:c r="B1570" s="20" t="str">
        <x:v>P3-B5-01</x:v>
      </x:c>
      <x:c r="C1570" s="30" t="str">
        <x:f>IF(B1570="","",IF(COUNTIFS(Equipment[组合编号],B1570)&lt;&gt;1,"组合编号无效",INDEX(Equipment[PLC组],MATCH(B1570,Equipment[组合编号],0))))</x:f>
        <x:v>欧姆龙</x:v>
      </x:c>
      <x:c r="D1570" s="30" t="str">
        <x:f>IF(B1570="","",IF(COUNTIFS(Equipment[组合编号],B1570)&lt;&gt;1,"组合编号无效",INDEX(Equipment[驱动品牌],MATCH(B1570,Equipment[组合编号],0))))</x:f>
        <x:v>KEBA（可选）</x:v>
      </x:c>
      <x:c r="E1570" s="20" t="str">
        <x:v>A07</x:v>
      </x:c>
      <x:c r="F1570" s="20"/>
      <x:c r="G1570" s="20"/>
      <x:c r="H1570" s="20" t="str">
        <x:v>待判定</x:v>
      </x:c>
      <x:c r="I1570" s="20"/>
      <x:c r="J1570" s="20" t="str">
        <x:v>未测试</x:v>
      </x:c>
      <x:c r="K1570" s="20"/>
      <x:c r="L1570" s="20"/>
      <x:c r="M1570" s="20"/>
      <x:c r="N1570" s="20"/>
      <x:c r="O1570" s="31"/>
      <x:c r="P1570" s="20"/>
      <x:c r="Q1570" s="20"/>
      <x:c r="R1570" s="20" t="str">
        <x:v>待展开</x:v>
      </x:c>
      <x:c r="S1570" s="20"/>
      <x:c r="T1570" s="31"/>
      <x:c r="U1570" s="30" t="str">
        <x:f>IF(A1570="","缺记录编号",IF(COUNTIFS(PathRecords[记录编号],A1570)&lt;&gt;1,"记录编号重复",IF(OR(B1570="",E1570=""),"缺组合/功能",IF(COUNTIFS(Equipment[组合编号],B1570)&lt;&gt;1,"组合编号无效",IF(COUNTIFS(FunctionMatrix[编号],E1570)=0,"功能编号无效",IF(H1570="不适用",IF(J1570="已实测","适用性冲突",IF(I1570="","待补不适用依据","不适用（非实测）")),IF(J1570="阻塞",IF(I1570="","待补阻塞原因","阻塞（非实测）"),IF(J1570&lt;&gt;"已实测",IF(F1570="","待展开路径","未实测"),IF(H1570&lt;&gt;"适用","待确认适用性",IF(INDEX(Equipment[登记状态（自动）],MATCH(B1570,Equipment[组合编号],0))&lt;&gt;"已登记","待补设备组合",IF(AND(F1570&lt;&gt;"",G1570&lt;&gt;"",K1570&lt;&gt;"",L1570&lt;&gt;"",M1570&lt;&gt;"",N1570&lt;&gt;"",ISNUMBER(O1570),O1570&gt;0,P1570&lt;&gt;""),"记录齐全","待补实测记录")))))))))))</x:f>
        <x:v>待展开路径</x:v>
      </x:c>
    </x:row>
    <x:row r="1571" ht="43.5" customHeight="1">
      <x:c r="A1571" s="20" t="str">
        <x:v>REC-01562</x:v>
      </x:c>
      <x:c r="B1571" s="20" t="str">
        <x:v>P3-B5-01</x:v>
      </x:c>
      <x:c r="C1571" s="30" t="str">
        <x:f>IF(B1571="","",IF(COUNTIFS(Equipment[组合编号],B1571)&lt;&gt;1,"组合编号无效",INDEX(Equipment[PLC组],MATCH(B1571,Equipment[组合编号],0))))</x:f>
        <x:v>欧姆龙</x:v>
      </x:c>
      <x:c r="D1571" s="30" t="str">
        <x:f>IF(B1571="","",IF(COUNTIFS(Equipment[组合编号],B1571)&lt;&gt;1,"组合编号无效",INDEX(Equipment[驱动品牌],MATCH(B1571,Equipment[组合编号],0))))</x:f>
        <x:v>KEBA（可选）</x:v>
      </x:c>
      <x:c r="E1571" s="20" t="str">
        <x:v>A08</x:v>
      </x:c>
      <x:c r="F1571" s="20"/>
      <x:c r="G1571" s="20"/>
      <x:c r="H1571" s="20" t="str">
        <x:v>待判定</x:v>
      </x:c>
      <x:c r="I1571" s="20"/>
      <x:c r="J1571" s="20" t="str">
        <x:v>未测试</x:v>
      </x:c>
      <x:c r="K1571" s="20"/>
      <x:c r="L1571" s="20"/>
      <x:c r="M1571" s="20"/>
      <x:c r="N1571" s="20"/>
      <x:c r="O1571" s="31"/>
      <x:c r="P1571" s="20"/>
      <x:c r="Q1571" s="20"/>
      <x:c r="R1571" s="20" t="str">
        <x:v>待展开</x:v>
      </x:c>
      <x:c r="S1571" s="20"/>
      <x:c r="T1571" s="31"/>
      <x:c r="U1571" s="30" t="str">
        <x:f>IF(A1571="","缺记录编号",IF(COUNTIFS(PathRecords[记录编号],A1571)&lt;&gt;1,"记录编号重复",IF(OR(B1571="",E1571=""),"缺组合/功能",IF(COUNTIFS(Equipment[组合编号],B1571)&lt;&gt;1,"组合编号无效",IF(COUNTIFS(FunctionMatrix[编号],E1571)=0,"功能编号无效",IF(H1571="不适用",IF(J1571="已实测","适用性冲突",IF(I1571="","待补不适用依据","不适用（非实测）")),IF(J1571="阻塞",IF(I1571="","待补阻塞原因","阻塞（非实测）"),IF(J1571&lt;&gt;"已实测",IF(F1571="","待展开路径","未实测"),IF(H1571&lt;&gt;"适用","待确认适用性",IF(INDEX(Equipment[登记状态（自动）],MATCH(B1571,Equipment[组合编号],0))&lt;&gt;"已登记","待补设备组合",IF(AND(F1571&lt;&gt;"",G1571&lt;&gt;"",K1571&lt;&gt;"",L1571&lt;&gt;"",M1571&lt;&gt;"",N1571&lt;&gt;"",ISNUMBER(O1571),O1571&gt;0,P1571&lt;&gt;""),"记录齐全","待补实测记录")))))))))))</x:f>
        <x:v>待展开路径</x:v>
      </x:c>
    </x:row>
    <x:row r="1572" ht="43.5" customHeight="1">
      <x:c r="A1572" s="20" t="str">
        <x:v>REC-01563</x:v>
      </x:c>
      <x:c r="B1572" s="20" t="str">
        <x:v>P3-B5-01</x:v>
      </x:c>
      <x:c r="C1572" s="30" t="str">
        <x:f>IF(B1572="","",IF(COUNTIFS(Equipment[组合编号],B1572)&lt;&gt;1,"组合编号无效",INDEX(Equipment[PLC组],MATCH(B1572,Equipment[组合编号],0))))</x:f>
        <x:v>欧姆龙</x:v>
      </x:c>
      <x:c r="D1572" s="30" t="str">
        <x:f>IF(B1572="","",IF(COUNTIFS(Equipment[组合编号],B1572)&lt;&gt;1,"组合编号无效",INDEX(Equipment[驱动品牌],MATCH(B1572,Equipment[组合编号],0))))</x:f>
        <x:v>KEBA（可选）</x:v>
      </x:c>
      <x:c r="E1572" s="20" t="str">
        <x:v>A09</x:v>
      </x:c>
      <x:c r="F1572" s="20"/>
      <x:c r="G1572" s="20"/>
      <x:c r="H1572" s="20" t="str">
        <x:v>待判定</x:v>
      </x:c>
      <x:c r="I1572" s="20"/>
      <x:c r="J1572" s="20" t="str">
        <x:v>未测试</x:v>
      </x:c>
      <x:c r="K1572" s="20"/>
      <x:c r="L1572" s="20"/>
      <x:c r="M1572" s="20"/>
      <x:c r="N1572" s="20"/>
      <x:c r="O1572" s="31"/>
      <x:c r="P1572" s="20"/>
      <x:c r="Q1572" s="20"/>
      <x:c r="R1572" s="20" t="str">
        <x:v>待展开</x:v>
      </x:c>
      <x:c r="S1572" s="20"/>
      <x:c r="T1572" s="31"/>
      <x:c r="U1572" s="30" t="str">
        <x:f>IF(A1572="","缺记录编号",IF(COUNTIFS(PathRecords[记录编号],A1572)&lt;&gt;1,"记录编号重复",IF(OR(B1572="",E1572=""),"缺组合/功能",IF(COUNTIFS(Equipment[组合编号],B1572)&lt;&gt;1,"组合编号无效",IF(COUNTIFS(FunctionMatrix[编号],E1572)=0,"功能编号无效",IF(H1572="不适用",IF(J1572="已实测","适用性冲突",IF(I1572="","待补不适用依据","不适用（非实测）")),IF(J1572="阻塞",IF(I1572="","待补阻塞原因","阻塞（非实测）"),IF(J1572&lt;&gt;"已实测",IF(F1572="","待展开路径","未实测"),IF(H1572&lt;&gt;"适用","待确认适用性",IF(INDEX(Equipment[登记状态（自动）],MATCH(B1572,Equipment[组合编号],0))&lt;&gt;"已登记","待补设备组合",IF(AND(F1572&lt;&gt;"",G1572&lt;&gt;"",K1572&lt;&gt;"",L1572&lt;&gt;"",M1572&lt;&gt;"",N1572&lt;&gt;"",ISNUMBER(O1572),O1572&gt;0,P1572&lt;&gt;""),"记录齐全","待补实测记录")))))))))))</x:f>
        <x:v>待展开路径</x:v>
      </x:c>
    </x:row>
    <x:row r="1573" ht="43.5" customHeight="1">
      <x:c r="A1573" s="20" t="str">
        <x:v>REC-01564</x:v>
      </x:c>
      <x:c r="B1573" s="20" t="str">
        <x:v>P3-B5-01</x:v>
      </x:c>
      <x:c r="C1573" s="30" t="str">
        <x:f>IF(B1573="","",IF(COUNTIFS(Equipment[组合编号],B1573)&lt;&gt;1,"组合编号无效",INDEX(Equipment[PLC组],MATCH(B1573,Equipment[组合编号],0))))</x:f>
        <x:v>欧姆龙</x:v>
      </x:c>
      <x:c r="D1573" s="30" t="str">
        <x:f>IF(B1573="","",IF(COUNTIFS(Equipment[组合编号],B1573)&lt;&gt;1,"组合编号无效",INDEX(Equipment[驱动品牌],MATCH(B1573,Equipment[组合编号],0))))</x:f>
        <x:v>KEBA（可选）</x:v>
      </x:c>
      <x:c r="E1573" s="20" t="str">
        <x:v>C01</x:v>
      </x:c>
      <x:c r="F1573" s="20"/>
      <x:c r="G1573" s="20"/>
      <x:c r="H1573" s="20" t="str">
        <x:v>待判定</x:v>
      </x:c>
      <x:c r="I1573" s="20"/>
      <x:c r="J1573" s="20" t="str">
        <x:v>未测试</x:v>
      </x:c>
      <x:c r="K1573" s="20"/>
      <x:c r="L1573" s="20"/>
      <x:c r="M1573" s="20"/>
      <x:c r="N1573" s="20"/>
      <x:c r="O1573" s="31"/>
      <x:c r="P1573" s="20"/>
      <x:c r="Q1573" s="20"/>
      <x:c r="R1573" s="20" t="str">
        <x:v>待展开</x:v>
      </x:c>
      <x:c r="S1573" s="20"/>
      <x:c r="T1573" s="31"/>
      <x:c r="U1573" s="30" t="str">
        <x:f>IF(A1573="","缺记录编号",IF(COUNTIFS(PathRecords[记录编号],A1573)&lt;&gt;1,"记录编号重复",IF(OR(B1573="",E1573=""),"缺组合/功能",IF(COUNTIFS(Equipment[组合编号],B1573)&lt;&gt;1,"组合编号无效",IF(COUNTIFS(FunctionMatrix[编号],E1573)=0,"功能编号无效",IF(H1573="不适用",IF(J1573="已实测","适用性冲突",IF(I1573="","待补不适用依据","不适用（非实测）")),IF(J1573="阻塞",IF(I1573="","待补阻塞原因","阻塞（非实测）"),IF(J1573&lt;&gt;"已实测",IF(F1573="","待展开路径","未实测"),IF(H1573&lt;&gt;"适用","待确认适用性",IF(INDEX(Equipment[登记状态（自动）],MATCH(B1573,Equipment[组合编号],0))&lt;&gt;"已登记","待补设备组合",IF(AND(F1573&lt;&gt;"",G1573&lt;&gt;"",K1573&lt;&gt;"",L1573&lt;&gt;"",M1573&lt;&gt;"",N1573&lt;&gt;"",ISNUMBER(O1573),O1573&gt;0,P1573&lt;&gt;""),"记录齐全","待补实测记录")))))))))))</x:f>
        <x:v>待展开路径</x:v>
      </x:c>
    </x:row>
    <x:row r="1574" ht="43.5" customHeight="1">
      <x:c r="A1574" s="20" t="str">
        <x:v>REC-01565</x:v>
      </x:c>
      <x:c r="B1574" s="20" t="str">
        <x:v>P3-B5-01</x:v>
      </x:c>
      <x:c r="C1574" s="30" t="str">
        <x:f>IF(B1574="","",IF(COUNTIFS(Equipment[组合编号],B1574)&lt;&gt;1,"组合编号无效",INDEX(Equipment[PLC组],MATCH(B1574,Equipment[组合编号],0))))</x:f>
        <x:v>欧姆龙</x:v>
      </x:c>
      <x:c r="D1574" s="30" t="str">
        <x:f>IF(B1574="","",IF(COUNTIFS(Equipment[组合编号],B1574)&lt;&gt;1,"组合编号无效",INDEX(Equipment[驱动品牌],MATCH(B1574,Equipment[组合编号],0))))</x:f>
        <x:v>KEBA（可选）</x:v>
      </x:c>
      <x:c r="E1574" s="20" t="str">
        <x:v>C02</x:v>
      </x:c>
      <x:c r="F1574" s="20"/>
      <x:c r="G1574" s="20"/>
      <x:c r="H1574" s="20" t="str">
        <x:v>待判定</x:v>
      </x:c>
      <x:c r="I1574" s="20"/>
      <x:c r="J1574" s="20" t="str">
        <x:v>未测试</x:v>
      </x:c>
      <x:c r="K1574" s="20"/>
      <x:c r="L1574" s="20"/>
      <x:c r="M1574" s="20"/>
      <x:c r="N1574" s="20"/>
      <x:c r="O1574" s="31"/>
      <x:c r="P1574" s="20"/>
      <x:c r="Q1574" s="20"/>
      <x:c r="R1574" s="20" t="str">
        <x:v>待展开</x:v>
      </x:c>
      <x:c r="S1574" s="20"/>
      <x:c r="T1574" s="31"/>
      <x:c r="U1574" s="30" t="str">
        <x:f>IF(A1574="","缺记录编号",IF(COUNTIFS(PathRecords[记录编号],A1574)&lt;&gt;1,"记录编号重复",IF(OR(B1574="",E1574=""),"缺组合/功能",IF(COUNTIFS(Equipment[组合编号],B1574)&lt;&gt;1,"组合编号无效",IF(COUNTIFS(FunctionMatrix[编号],E1574)=0,"功能编号无效",IF(H1574="不适用",IF(J1574="已实测","适用性冲突",IF(I1574="","待补不适用依据","不适用（非实测）")),IF(J1574="阻塞",IF(I1574="","待补阻塞原因","阻塞（非实测）"),IF(J1574&lt;&gt;"已实测",IF(F1574="","待展开路径","未实测"),IF(H1574&lt;&gt;"适用","待确认适用性",IF(INDEX(Equipment[登记状态（自动）],MATCH(B1574,Equipment[组合编号],0))&lt;&gt;"已登记","待补设备组合",IF(AND(F1574&lt;&gt;"",G1574&lt;&gt;"",K1574&lt;&gt;"",L1574&lt;&gt;"",M1574&lt;&gt;"",N1574&lt;&gt;"",ISNUMBER(O1574),O1574&gt;0,P1574&lt;&gt;""),"记录齐全","待补实测记录")))))))))))</x:f>
        <x:v>待展开路径</x:v>
      </x:c>
    </x:row>
    <x:row r="1575" ht="43.5" customHeight="1">
      <x:c r="A1575" s="20" t="str">
        <x:v>REC-01566</x:v>
      </x:c>
      <x:c r="B1575" s="20" t="str">
        <x:v>P3-B5-01</x:v>
      </x:c>
      <x:c r="C1575" s="30" t="str">
        <x:f>IF(B1575="","",IF(COUNTIFS(Equipment[组合编号],B1575)&lt;&gt;1,"组合编号无效",INDEX(Equipment[PLC组],MATCH(B1575,Equipment[组合编号],0))))</x:f>
        <x:v>欧姆龙</x:v>
      </x:c>
      <x:c r="D1575" s="30" t="str">
        <x:f>IF(B1575="","",IF(COUNTIFS(Equipment[组合编号],B1575)&lt;&gt;1,"组合编号无效",INDEX(Equipment[驱动品牌],MATCH(B1575,Equipment[组合编号],0))))</x:f>
        <x:v>KEBA（可选）</x:v>
      </x:c>
      <x:c r="E1575" s="20" t="str">
        <x:v>C03</x:v>
      </x:c>
      <x:c r="F1575" s="20"/>
      <x:c r="G1575" s="20"/>
      <x:c r="H1575" s="20" t="str">
        <x:v>待判定</x:v>
      </x:c>
      <x:c r="I1575" s="20"/>
      <x:c r="J1575" s="20" t="str">
        <x:v>未测试</x:v>
      </x:c>
      <x:c r="K1575" s="20"/>
      <x:c r="L1575" s="20"/>
      <x:c r="M1575" s="20"/>
      <x:c r="N1575" s="20"/>
      <x:c r="O1575" s="31"/>
      <x:c r="P1575" s="20"/>
      <x:c r="Q1575" s="20"/>
      <x:c r="R1575" s="20" t="str">
        <x:v>待展开</x:v>
      </x:c>
      <x:c r="S1575" s="20"/>
      <x:c r="T1575" s="31"/>
      <x:c r="U1575" s="30" t="str">
        <x:f>IF(A1575="","缺记录编号",IF(COUNTIFS(PathRecords[记录编号],A1575)&lt;&gt;1,"记录编号重复",IF(OR(B1575="",E1575=""),"缺组合/功能",IF(COUNTIFS(Equipment[组合编号],B1575)&lt;&gt;1,"组合编号无效",IF(COUNTIFS(FunctionMatrix[编号],E1575)=0,"功能编号无效",IF(H1575="不适用",IF(J1575="已实测","适用性冲突",IF(I1575="","待补不适用依据","不适用（非实测）")),IF(J1575="阻塞",IF(I1575="","待补阻塞原因","阻塞（非实测）"),IF(J1575&lt;&gt;"已实测",IF(F1575="","待展开路径","未实测"),IF(H1575&lt;&gt;"适用","待确认适用性",IF(INDEX(Equipment[登记状态（自动）],MATCH(B1575,Equipment[组合编号],0))&lt;&gt;"已登记","待补设备组合",IF(AND(F1575&lt;&gt;"",G1575&lt;&gt;"",K1575&lt;&gt;"",L1575&lt;&gt;"",M1575&lt;&gt;"",N1575&lt;&gt;"",ISNUMBER(O1575),O1575&gt;0,P1575&lt;&gt;""),"记录齐全","待补实测记录")))))))))))</x:f>
        <x:v>待展开路径</x:v>
      </x:c>
    </x:row>
    <x:row r="1576" ht="43.5" customHeight="1">
      <x:c r="A1576" s="20" t="str">
        <x:v>REC-01567</x:v>
      </x:c>
      <x:c r="B1576" s="20" t="str">
        <x:v>P3-B5-01</x:v>
      </x:c>
      <x:c r="C1576" s="30" t="str">
        <x:f>IF(B1576="","",IF(COUNTIFS(Equipment[组合编号],B1576)&lt;&gt;1,"组合编号无效",INDEX(Equipment[PLC组],MATCH(B1576,Equipment[组合编号],0))))</x:f>
        <x:v>欧姆龙</x:v>
      </x:c>
      <x:c r="D1576" s="30" t="str">
        <x:f>IF(B1576="","",IF(COUNTIFS(Equipment[组合编号],B1576)&lt;&gt;1,"组合编号无效",INDEX(Equipment[驱动品牌],MATCH(B1576,Equipment[组合编号],0))))</x:f>
        <x:v>KEBA（可选）</x:v>
      </x:c>
      <x:c r="E1576" s="20" t="str">
        <x:v>C04</x:v>
      </x:c>
      <x:c r="F1576" s="20"/>
      <x:c r="G1576" s="20"/>
      <x:c r="H1576" s="20" t="str">
        <x:v>待判定</x:v>
      </x:c>
      <x:c r="I1576" s="20"/>
      <x:c r="J1576" s="20" t="str">
        <x:v>未测试</x:v>
      </x:c>
      <x:c r="K1576" s="20"/>
      <x:c r="L1576" s="20"/>
      <x:c r="M1576" s="20"/>
      <x:c r="N1576" s="20"/>
      <x:c r="O1576" s="31"/>
      <x:c r="P1576" s="20"/>
      <x:c r="Q1576" s="20"/>
      <x:c r="R1576" s="20" t="str">
        <x:v>待展开</x:v>
      </x:c>
      <x:c r="S1576" s="20"/>
      <x:c r="T1576" s="31"/>
      <x:c r="U1576" s="30" t="str">
        <x:f>IF(A1576="","缺记录编号",IF(COUNTIFS(PathRecords[记录编号],A1576)&lt;&gt;1,"记录编号重复",IF(OR(B1576="",E1576=""),"缺组合/功能",IF(COUNTIFS(Equipment[组合编号],B1576)&lt;&gt;1,"组合编号无效",IF(COUNTIFS(FunctionMatrix[编号],E1576)=0,"功能编号无效",IF(H1576="不适用",IF(J1576="已实测","适用性冲突",IF(I1576="","待补不适用依据","不适用（非实测）")),IF(J1576="阻塞",IF(I1576="","待补阻塞原因","阻塞（非实测）"),IF(J1576&lt;&gt;"已实测",IF(F1576="","待展开路径","未实测"),IF(H1576&lt;&gt;"适用","待确认适用性",IF(INDEX(Equipment[登记状态（自动）],MATCH(B1576,Equipment[组合编号],0))&lt;&gt;"已登记","待补设备组合",IF(AND(F1576&lt;&gt;"",G1576&lt;&gt;"",K1576&lt;&gt;"",L1576&lt;&gt;"",M1576&lt;&gt;"",N1576&lt;&gt;"",ISNUMBER(O1576),O1576&gt;0,P1576&lt;&gt;""),"记录齐全","待补实测记录")))))))))))</x:f>
        <x:v>待展开路径</x:v>
      </x:c>
    </x:row>
    <x:row r="1577" ht="43.5" customHeight="1">
      <x:c r="A1577" s="20" t="str">
        <x:v>REC-01568</x:v>
      </x:c>
      <x:c r="B1577" s="20" t="str">
        <x:v>P3-B5-01</x:v>
      </x:c>
      <x:c r="C1577" s="30" t="str">
        <x:f>IF(B1577="","",IF(COUNTIFS(Equipment[组合编号],B1577)&lt;&gt;1,"组合编号无效",INDEX(Equipment[PLC组],MATCH(B1577,Equipment[组合编号],0))))</x:f>
        <x:v>欧姆龙</x:v>
      </x:c>
      <x:c r="D1577" s="30" t="str">
        <x:f>IF(B1577="","",IF(COUNTIFS(Equipment[组合编号],B1577)&lt;&gt;1,"组合编号无效",INDEX(Equipment[驱动品牌],MATCH(B1577,Equipment[组合编号],0))))</x:f>
        <x:v>KEBA（可选）</x:v>
      </x:c>
      <x:c r="E1577" s="20" t="str">
        <x:v>C05</x:v>
      </x:c>
      <x:c r="F1577" s="20"/>
      <x:c r="G1577" s="20"/>
      <x:c r="H1577" s="20" t="str">
        <x:v>待判定</x:v>
      </x:c>
      <x:c r="I1577" s="20"/>
      <x:c r="J1577" s="20" t="str">
        <x:v>未测试</x:v>
      </x:c>
      <x:c r="K1577" s="20"/>
      <x:c r="L1577" s="20"/>
      <x:c r="M1577" s="20"/>
      <x:c r="N1577" s="20"/>
      <x:c r="O1577" s="31"/>
      <x:c r="P1577" s="20"/>
      <x:c r="Q1577" s="20"/>
      <x:c r="R1577" s="20" t="str">
        <x:v>待展开</x:v>
      </x:c>
      <x:c r="S1577" s="20"/>
      <x:c r="T1577" s="31"/>
      <x:c r="U1577" s="30" t="str">
        <x:f>IF(A1577="","缺记录编号",IF(COUNTIFS(PathRecords[记录编号],A1577)&lt;&gt;1,"记录编号重复",IF(OR(B1577="",E1577=""),"缺组合/功能",IF(COUNTIFS(Equipment[组合编号],B1577)&lt;&gt;1,"组合编号无效",IF(COUNTIFS(FunctionMatrix[编号],E1577)=0,"功能编号无效",IF(H1577="不适用",IF(J1577="已实测","适用性冲突",IF(I1577="","待补不适用依据","不适用（非实测）")),IF(J1577="阻塞",IF(I1577="","待补阻塞原因","阻塞（非实测）"),IF(J1577&lt;&gt;"已实测",IF(F1577="","待展开路径","未实测"),IF(H1577&lt;&gt;"适用","待确认适用性",IF(INDEX(Equipment[登记状态（自动）],MATCH(B1577,Equipment[组合编号],0))&lt;&gt;"已登记","待补设备组合",IF(AND(F1577&lt;&gt;"",G1577&lt;&gt;"",K1577&lt;&gt;"",L1577&lt;&gt;"",M1577&lt;&gt;"",N1577&lt;&gt;"",ISNUMBER(O1577),O1577&gt;0,P1577&lt;&gt;""),"记录齐全","待补实测记录")))))))))))</x:f>
        <x:v>待展开路径</x:v>
      </x:c>
    </x:row>
    <x:row r="1578" ht="43.5" customHeight="1">
      <x:c r="A1578" s="20" t="str">
        <x:v>REC-01569</x:v>
      </x:c>
      <x:c r="B1578" s="20" t="str">
        <x:v>P3-B5-01</x:v>
      </x:c>
      <x:c r="C1578" s="30" t="str">
        <x:f>IF(B1578="","",IF(COUNTIFS(Equipment[组合编号],B1578)&lt;&gt;1,"组合编号无效",INDEX(Equipment[PLC组],MATCH(B1578,Equipment[组合编号],0))))</x:f>
        <x:v>欧姆龙</x:v>
      </x:c>
      <x:c r="D1578" s="30" t="str">
        <x:f>IF(B1578="","",IF(COUNTIFS(Equipment[组合编号],B1578)&lt;&gt;1,"组合编号无效",INDEX(Equipment[驱动品牌],MATCH(B1578,Equipment[组合编号],0))))</x:f>
        <x:v>KEBA（可选）</x:v>
      </x:c>
      <x:c r="E1578" s="20" t="str">
        <x:v>C06</x:v>
      </x:c>
      <x:c r="F1578" s="20"/>
      <x:c r="G1578" s="20"/>
      <x:c r="H1578" s="20" t="str">
        <x:v>待判定</x:v>
      </x:c>
      <x:c r="I1578" s="20"/>
      <x:c r="J1578" s="20" t="str">
        <x:v>未测试</x:v>
      </x:c>
      <x:c r="K1578" s="20"/>
      <x:c r="L1578" s="20"/>
      <x:c r="M1578" s="20"/>
      <x:c r="N1578" s="20"/>
      <x:c r="O1578" s="31"/>
      <x:c r="P1578" s="20"/>
      <x:c r="Q1578" s="20"/>
      <x:c r="R1578" s="20" t="str">
        <x:v>待展开</x:v>
      </x:c>
      <x:c r="S1578" s="20"/>
      <x:c r="T1578" s="31"/>
      <x:c r="U1578" s="30" t="str">
        <x:f>IF(A1578="","缺记录编号",IF(COUNTIFS(PathRecords[记录编号],A1578)&lt;&gt;1,"记录编号重复",IF(OR(B1578="",E1578=""),"缺组合/功能",IF(COUNTIFS(Equipment[组合编号],B1578)&lt;&gt;1,"组合编号无效",IF(COUNTIFS(FunctionMatrix[编号],E1578)=0,"功能编号无效",IF(H1578="不适用",IF(J1578="已实测","适用性冲突",IF(I1578="","待补不适用依据","不适用（非实测）")),IF(J1578="阻塞",IF(I1578="","待补阻塞原因","阻塞（非实测）"),IF(J1578&lt;&gt;"已实测",IF(F1578="","待展开路径","未实测"),IF(H1578&lt;&gt;"适用","待确认适用性",IF(INDEX(Equipment[登记状态（自动）],MATCH(B1578,Equipment[组合编号],0))&lt;&gt;"已登记","待补设备组合",IF(AND(F1578&lt;&gt;"",G1578&lt;&gt;"",K1578&lt;&gt;"",L1578&lt;&gt;"",M1578&lt;&gt;"",N1578&lt;&gt;"",ISNUMBER(O1578),O1578&gt;0,P1578&lt;&gt;""),"记录齐全","待补实测记录")))))))))))</x:f>
        <x:v>待展开路径</x:v>
      </x:c>
    </x:row>
    <x:row r="1579" ht="43.5" customHeight="1">
      <x:c r="A1579" s="20" t="str">
        <x:v>REC-01570</x:v>
      </x:c>
      <x:c r="B1579" s="20" t="str">
        <x:v>P3-B5-01</x:v>
      </x:c>
      <x:c r="C1579" s="30" t="str">
        <x:f>IF(B1579="","",IF(COUNTIFS(Equipment[组合编号],B1579)&lt;&gt;1,"组合编号无效",INDEX(Equipment[PLC组],MATCH(B1579,Equipment[组合编号],0))))</x:f>
        <x:v>欧姆龙</x:v>
      </x:c>
      <x:c r="D1579" s="30" t="str">
        <x:f>IF(B1579="","",IF(COUNTIFS(Equipment[组合编号],B1579)&lt;&gt;1,"组合编号无效",INDEX(Equipment[驱动品牌],MATCH(B1579,Equipment[组合编号],0))))</x:f>
        <x:v>KEBA（可选）</x:v>
      </x:c>
      <x:c r="E1579" s="20" t="str">
        <x:v>C07</x:v>
      </x:c>
      <x:c r="F1579" s="20"/>
      <x:c r="G1579" s="20"/>
      <x:c r="H1579" s="20" t="str">
        <x:v>待判定</x:v>
      </x:c>
      <x:c r="I1579" s="20"/>
      <x:c r="J1579" s="20" t="str">
        <x:v>未测试</x:v>
      </x:c>
      <x:c r="K1579" s="20"/>
      <x:c r="L1579" s="20"/>
      <x:c r="M1579" s="20"/>
      <x:c r="N1579" s="20"/>
      <x:c r="O1579" s="31"/>
      <x:c r="P1579" s="20"/>
      <x:c r="Q1579" s="20"/>
      <x:c r="R1579" s="20" t="str">
        <x:v>待展开</x:v>
      </x:c>
      <x:c r="S1579" s="20"/>
      <x:c r="T1579" s="31"/>
      <x:c r="U1579" s="30" t="str">
        <x:f>IF(A1579="","缺记录编号",IF(COUNTIFS(PathRecords[记录编号],A1579)&lt;&gt;1,"记录编号重复",IF(OR(B1579="",E1579=""),"缺组合/功能",IF(COUNTIFS(Equipment[组合编号],B1579)&lt;&gt;1,"组合编号无效",IF(COUNTIFS(FunctionMatrix[编号],E1579)=0,"功能编号无效",IF(H1579="不适用",IF(J1579="已实测","适用性冲突",IF(I1579="","待补不适用依据","不适用（非实测）")),IF(J1579="阻塞",IF(I1579="","待补阻塞原因","阻塞（非实测）"),IF(J1579&lt;&gt;"已实测",IF(F1579="","待展开路径","未实测"),IF(H1579&lt;&gt;"适用","待确认适用性",IF(INDEX(Equipment[登记状态（自动）],MATCH(B1579,Equipment[组合编号],0))&lt;&gt;"已登记","待补设备组合",IF(AND(F1579&lt;&gt;"",G1579&lt;&gt;"",K1579&lt;&gt;"",L1579&lt;&gt;"",M1579&lt;&gt;"",N1579&lt;&gt;"",ISNUMBER(O1579),O1579&gt;0,P1579&lt;&gt;""),"记录齐全","待补实测记录")))))))))))</x:f>
        <x:v>待展开路径</x:v>
      </x:c>
    </x:row>
    <x:row r="1580" ht="43.5" customHeight="1">
      <x:c r="A1580" s="20" t="str">
        <x:v>REC-01571</x:v>
      </x:c>
      <x:c r="B1580" s="20" t="str">
        <x:v>P3-B5-01</x:v>
      </x:c>
      <x:c r="C1580" s="30" t="str">
        <x:f>IF(B1580="","",IF(COUNTIFS(Equipment[组合编号],B1580)&lt;&gt;1,"组合编号无效",INDEX(Equipment[PLC组],MATCH(B1580,Equipment[组合编号],0))))</x:f>
        <x:v>欧姆龙</x:v>
      </x:c>
      <x:c r="D1580" s="30" t="str">
        <x:f>IF(B1580="","",IF(COUNTIFS(Equipment[组合编号],B1580)&lt;&gt;1,"组合编号无效",INDEX(Equipment[驱动品牌],MATCH(B1580,Equipment[组合编号],0))))</x:f>
        <x:v>KEBA（可选）</x:v>
      </x:c>
      <x:c r="E1580" s="20" t="str">
        <x:v>C08</x:v>
      </x:c>
      <x:c r="F1580" s="20"/>
      <x:c r="G1580" s="20"/>
      <x:c r="H1580" s="20" t="str">
        <x:v>待判定</x:v>
      </x:c>
      <x:c r="I1580" s="20"/>
      <x:c r="J1580" s="20" t="str">
        <x:v>未测试</x:v>
      </x:c>
      <x:c r="K1580" s="20"/>
      <x:c r="L1580" s="20"/>
      <x:c r="M1580" s="20"/>
      <x:c r="N1580" s="20"/>
      <x:c r="O1580" s="31"/>
      <x:c r="P1580" s="20"/>
      <x:c r="Q1580" s="20"/>
      <x:c r="R1580" s="20" t="str">
        <x:v>待展开</x:v>
      </x:c>
      <x:c r="S1580" s="20"/>
      <x:c r="T1580" s="31"/>
      <x:c r="U1580" s="30" t="str">
        <x:f>IF(A1580="","缺记录编号",IF(COUNTIFS(PathRecords[记录编号],A1580)&lt;&gt;1,"记录编号重复",IF(OR(B1580="",E1580=""),"缺组合/功能",IF(COUNTIFS(Equipment[组合编号],B1580)&lt;&gt;1,"组合编号无效",IF(COUNTIFS(FunctionMatrix[编号],E1580)=0,"功能编号无效",IF(H1580="不适用",IF(J1580="已实测","适用性冲突",IF(I1580="","待补不适用依据","不适用（非实测）")),IF(J1580="阻塞",IF(I1580="","待补阻塞原因","阻塞（非实测）"),IF(J1580&lt;&gt;"已实测",IF(F1580="","待展开路径","未实测"),IF(H1580&lt;&gt;"适用","待确认适用性",IF(INDEX(Equipment[登记状态（自动）],MATCH(B1580,Equipment[组合编号],0))&lt;&gt;"已登记","待补设备组合",IF(AND(F1580&lt;&gt;"",G1580&lt;&gt;"",K1580&lt;&gt;"",L1580&lt;&gt;"",M1580&lt;&gt;"",N1580&lt;&gt;"",ISNUMBER(O1580),O1580&gt;0,P1580&lt;&gt;""),"记录齐全","待补实测记录")))))))))))</x:f>
        <x:v>待展开路径</x:v>
      </x:c>
    </x:row>
    <x:row r="1581" ht="43.5" customHeight="1">
      <x:c r="A1581" s="20" t="str">
        <x:v>REC-01572</x:v>
      </x:c>
      <x:c r="B1581" s="20" t="str">
        <x:v>P3-B5-01</x:v>
      </x:c>
      <x:c r="C1581" s="30" t="str">
        <x:f>IF(B1581="","",IF(COUNTIFS(Equipment[组合编号],B1581)&lt;&gt;1,"组合编号无效",INDEX(Equipment[PLC组],MATCH(B1581,Equipment[组合编号],0))))</x:f>
        <x:v>欧姆龙</x:v>
      </x:c>
      <x:c r="D1581" s="30" t="str">
        <x:f>IF(B1581="","",IF(COUNTIFS(Equipment[组合编号],B1581)&lt;&gt;1,"组合编号无效",INDEX(Equipment[驱动品牌],MATCH(B1581,Equipment[组合编号],0))))</x:f>
        <x:v>KEBA（可选）</x:v>
      </x:c>
      <x:c r="E1581" s="20" t="str">
        <x:v>C09</x:v>
      </x:c>
      <x:c r="F1581" s="20"/>
      <x:c r="G1581" s="20"/>
      <x:c r="H1581" s="20" t="str">
        <x:v>待判定</x:v>
      </x:c>
      <x:c r="I1581" s="20"/>
      <x:c r="J1581" s="20" t="str">
        <x:v>未测试</x:v>
      </x:c>
      <x:c r="K1581" s="20"/>
      <x:c r="L1581" s="20"/>
      <x:c r="M1581" s="20"/>
      <x:c r="N1581" s="20"/>
      <x:c r="O1581" s="31"/>
      <x:c r="P1581" s="20"/>
      <x:c r="Q1581" s="20"/>
      <x:c r="R1581" s="20" t="str">
        <x:v>待展开</x:v>
      </x:c>
      <x:c r="S1581" s="20"/>
      <x:c r="T1581" s="31"/>
      <x:c r="U1581" s="30" t="str">
        <x:f>IF(A1581="","缺记录编号",IF(COUNTIFS(PathRecords[记录编号],A1581)&lt;&gt;1,"记录编号重复",IF(OR(B1581="",E1581=""),"缺组合/功能",IF(COUNTIFS(Equipment[组合编号],B1581)&lt;&gt;1,"组合编号无效",IF(COUNTIFS(FunctionMatrix[编号],E1581)=0,"功能编号无效",IF(H1581="不适用",IF(J1581="已实测","适用性冲突",IF(I1581="","待补不适用依据","不适用（非实测）")),IF(J1581="阻塞",IF(I1581="","待补阻塞原因","阻塞（非实测）"),IF(J1581&lt;&gt;"已实测",IF(F1581="","待展开路径","未实测"),IF(H1581&lt;&gt;"适用","待确认适用性",IF(INDEX(Equipment[登记状态（自动）],MATCH(B1581,Equipment[组合编号],0))&lt;&gt;"已登记","待补设备组合",IF(AND(F1581&lt;&gt;"",G1581&lt;&gt;"",K1581&lt;&gt;"",L1581&lt;&gt;"",M1581&lt;&gt;"",N1581&lt;&gt;"",ISNUMBER(O1581),O1581&gt;0,P1581&lt;&gt;""),"记录齐全","待补实测记录")))))))))))</x:f>
        <x:v>待展开路径</x:v>
      </x:c>
    </x:row>
    <x:row r="1582" ht="43.5" customHeight="1">
      <x:c r="A1582" s="20" t="str">
        <x:v>REC-01573</x:v>
      </x:c>
      <x:c r="B1582" s="20" t="str">
        <x:v>P3-B5-01</x:v>
      </x:c>
      <x:c r="C1582" s="30" t="str">
        <x:f>IF(B1582="","",IF(COUNTIFS(Equipment[组合编号],B1582)&lt;&gt;1,"组合编号无效",INDEX(Equipment[PLC组],MATCH(B1582,Equipment[组合编号],0))))</x:f>
        <x:v>欧姆龙</x:v>
      </x:c>
      <x:c r="D1582" s="30" t="str">
        <x:f>IF(B1582="","",IF(COUNTIFS(Equipment[组合编号],B1582)&lt;&gt;1,"组合编号无效",INDEX(Equipment[驱动品牌],MATCH(B1582,Equipment[组合编号],0))))</x:f>
        <x:v>KEBA（可选）</x:v>
      </x:c>
      <x:c r="E1582" s="20" t="str">
        <x:v>C10</x:v>
      </x:c>
      <x:c r="F1582" s="20"/>
      <x:c r="G1582" s="20"/>
      <x:c r="H1582" s="20" t="str">
        <x:v>待判定</x:v>
      </x:c>
      <x:c r="I1582" s="20"/>
      <x:c r="J1582" s="20" t="str">
        <x:v>未测试</x:v>
      </x:c>
      <x:c r="K1582" s="20"/>
      <x:c r="L1582" s="20"/>
      <x:c r="M1582" s="20"/>
      <x:c r="N1582" s="20"/>
      <x:c r="O1582" s="31"/>
      <x:c r="P1582" s="20"/>
      <x:c r="Q1582" s="20"/>
      <x:c r="R1582" s="20" t="str">
        <x:v>待展开</x:v>
      </x:c>
      <x:c r="S1582" s="20"/>
      <x:c r="T1582" s="31"/>
      <x:c r="U1582" s="30" t="str">
        <x:f>IF(A1582="","缺记录编号",IF(COUNTIFS(PathRecords[记录编号],A1582)&lt;&gt;1,"记录编号重复",IF(OR(B1582="",E1582=""),"缺组合/功能",IF(COUNTIFS(Equipment[组合编号],B1582)&lt;&gt;1,"组合编号无效",IF(COUNTIFS(FunctionMatrix[编号],E1582)=0,"功能编号无效",IF(H1582="不适用",IF(J1582="已实测","适用性冲突",IF(I1582="","待补不适用依据","不适用（非实测）")),IF(J1582="阻塞",IF(I1582="","待补阻塞原因","阻塞（非实测）"),IF(J1582&lt;&gt;"已实测",IF(F1582="","待展开路径","未实测"),IF(H1582&lt;&gt;"适用","待确认适用性",IF(INDEX(Equipment[登记状态（自动）],MATCH(B1582,Equipment[组合编号],0))&lt;&gt;"已登记","待补设备组合",IF(AND(F1582&lt;&gt;"",G1582&lt;&gt;"",K1582&lt;&gt;"",L1582&lt;&gt;"",M1582&lt;&gt;"",N1582&lt;&gt;"",ISNUMBER(O1582),O1582&gt;0,P1582&lt;&gt;""),"记录齐全","待补实测记录")))))))))))</x:f>
        <x:v>待展开路径</x:v>
      </x:c>
    </x:row>
    <x:row r="1583" ht="43.5" customHeight="1">
      <x:c r="A1583" s="20" t="str">
        <x:v>REC-01574</x:v>
      </x:c>
      <x:c r="B1583" s="20" t="str">
        <x:v>P3-B5-01</x:v>
      </x:c>
      <x:c r="C1583" s="30" t="str">
        <x:f>IF(B1583="","",IF(COUNTIFS(Equipment[组合编号],B1583)&lt;&gt;1,"组合编号无效",INDEX(Equipment[PLC组],MATCH(B1583,Equipment[组合编号],0))))</x:f>
        <x:v>欧姆龙</x:v>
      </x:c>
      <x:c r="D1583" s="30" t="str">
        <x:f>IF(B1583="","",IF(COUNTIFS(Equipment[组合编号],B1583)&lt;&gt;1,"组合编号无效",INDEX(Equipment[驱动品牌],MATCH(B1583,Equipment[组合编号],0))))</x:f>
        <x:v>KEBA（可选）</x:v>
      </x:c>
      <x:c r="E1583" s="20" t="str">
        <x:v>T01</x:v>
      </x:c>
      <x:c r="F1583" s="20"/>
      <x:c r="G1583" s="20"/>
      <x:c r="H1583" s="20" t="str">
        <x:v>待判定</x:v>
      </x:c>
      <x:c r="I1583" s="20"/>
      <x:c r="J1583" s="20" t="str">
        <x:v>未测试</x:v>
      </x:c>
      <x:c r="K1583" s="20"/>
      <x:c r="L1583" s="20"/>
      <x:c r="M1583" s="20"/>
      <x:c r="N1583" s="20"/>
      <x:c r="O1583" s="31"/>
      <x:c r="P1583" s="20"/>
      <x:c r="Q1583" s="20"/>
      <x:c r="R1583" s="20" t="str">
        <x:v>待展开</x:v>
      </x:c>
      <x:c r="S1583" s="20"/>
      <x:c r="T1583" s="31"/>
      <x:c r="U1583" s="30" t="str">
        <x:f>IF(A1583="","缺记录编号",IF(COUNTIFS(PathRecords[记录编号],A1583)&lt;&gt;1,"记录编号重复",IF(OR(B1583="",E1583=""),"缺组合/功能",IF(COUNTIFS(Equipment[组合编号],B1583)&lt;&gt;1,"组合编号无效",IF(COUNTIFS(FunctionMatrix[编号],E1583)=0,"功能编号无效",IF(H1583="不适用",IF(J1583="已实测","适用性冲突",IF(I1583="","待补不适用依据","不适用（非实测）")),IF(J1583="阻塞",IF(I1583="","待补阻塞原因","阻塞（非实测）"),IF(J1583&lt;&gt;"已实测",IF(F1583="","待展开路径","未实测"),IF(H1583&lt;&gt;"适用","待确认适用性",IF(INDEX(Equipment[登记状态（自动）],MATCH(B1583,Equipment[组合编号],0))&lt;&gt;"已登记","待补设备组合",IF(AND(F1583&lt;&gt;"",G1583&lt;&gt;"",K1583&lt;&gt;"",L1583&lt;&gt;"",M1583&lt;&gt;"",N1583&lt;&gt;"",ISNUMBER(O1583),O1583&gt;0,P1583&lt;&gt;""),"记录齐全","待补实测记录")))))))))))</x:f>
        <x:v>待展开路径</x:v>
      </x:c>
    </x:row>
    <x:row r="1584" ht="43.5" customHeight="1">
      <x:c r="A1584" s="20" t="str">
        <x:v>REC-01575</x:v>
      </x:c>
      <x:c r="B1584" s="20" t="str">
        <x:v>P3-B5-01</x:v>
      </x:c>
      <x:c r="C1584" s="30" t="str">
        <x:f>IF(B1584="","",IF(COUNTIFS(Equipment[组合编号],B1584)&lt;&gt;1,"组合编号无效",INDEX(Equipment[PLC组],MATCH(B1584,Equipment[组合编号],0))))</x:f>
        <x:v>欧姆龙</x:v>
      </x:c>
      <x:c r="D1584" s="30" t="str">
        <x:f>IF(B1584="","",IF(COUNTIFS(Equipment[组合编号],B1584)&lt;&gt;1,"组合编号无效",INDEX(Equipment[驱动品牌],MATCH(B1584,Equipment[组合编号],0))))</x:f>
        <x:v>KEBA（可选）</x:v>
      </x:c>
      <x:c r="E1584" s="20" t="str">
        <x:v>T02</x:v>
      </x:c>
      <x:c r="F1584" s="20"/>
      <x:c r="G1584" s="20"/>
      <x:c r="H1584" s="20" t="str">
        <x:v>待判定</x:v>
      </x:c>
      <x:c r="I1584" s="20"/>
      <x:c r="J1584" s="20" t="str">
        <x:v>未测试</x:v>
      </x:c>
      <x:c r="K1584" s="20"/>
      <x:c r="L1584" s="20"/>
      <x:c r="M1584" s="20"/>
      <x:c r="N1584" s="20"/>
      <x:c r="O1584" s="31"/>
      <x:c r="P1584" s="20"/>
      <x:c r="Q1584" s="20"/>
      <x:c r="R1584" s="20" t="str">
        <x:v>待展开</x:v>
      </x:c>
      <x:c r="S1584" s="20"/>
      <x:c r="T1584" s="31"/>
      <x:c r="U1584" s="30" t="str">
        <x:f>IF(A1584="","缺记录编号",IF(COUNTIFS(PathRecords[记录编号],A1584)&lt;&gt;1,"记录编号重复",IF(OR(B1584="",E1584=""),"缺组合/功能",IF(COUNTIFS(Equipment[组合编号],B1584)&lt;&gt;1,"组合编号无效",IF(COUNTIFS(FunctionMatrix[编号],E1584)=0,"功能编号无效",IF(H1584="不适用",IF(J1584="已实测","适用性冲突",IF(I1584="","待补不适用依据","不适用（非实测）")),IF(J1584="阻塞",IF(I1584="","待补阻塞原因","阻塞（非实测）"),IF(J1584&lt;&gt;"已实测",IF(F1584="","待展开路径","未实测"),IF(H1584&lt;&gt;"适用","待确认适用性",IF(INDEX(Equipment[登记状态（自动）],MATCH(B1584,Equipment[组合编号],0))&lt;&gt;"已登记","待补设备组合",IF(AND(F1584&lt;&gt;"",G1584&lt;&gt;"",K1584&lt;&gt;"",L1584&lt;&gt;"",M1584&lt;&gt;"",N1584&lt;&gt;"",ISNUMBER(O1584),O1584&gt;0,P1584&lt;&gt;""),"记录齐全","待补实测记录")))))))))))</x:f>
        <x:v>待展开路径</x:v>
      </x:c>
    </x:row>
    <x:row r="1585" ht="43.5" customHeight="1">
      <x:c r="A1585" s="20" t="str">
        <x:v>REC-01576</x:v>
      </x:c>
      <x:c r="B1585" s="20" t="str">
        <x:v>P3-B5-01</x:v>
      </x:c>
      <x:c r="C1585" s="30" t="str">
        <x:f>IF(B1585="","",IF(COUNTIFS(Equipment[组合编号],B1585)&lt;&gt;1,"组合编号无效",INDEX(Equipment[PLC组],MATCH(B1585,Equipment[组合编号],0))))</x:f>
        <x:v>欧姆龙</x:v>
      </x:c>
      <x:c r="D1585" s="30" t="str">
        <x:f>IF(B1585="","",IF(COUNTIFS(Equipment[组合编号],B1585)&lt;&gt;1,"组合编号无效",INDEX(Equipment[驱动品牌],MATCH(B1585,Equipment[组合编号],0))))</x:f>
        <x:v>KEBA（可选）</x:v>
      </x:c>
      <x:c r="E1585" s="20" t="str">
        <x:v>T03</x:v>
      </x:c>
      <x:c r="F1585" s="20"/>
      <x:c r="G1585" s="20"/>
      <x:c r="H1585" s="20" t="str">
        <x:v>待判定</x:v>
      </x:c>
      <x:c r="I1585" s="20"/>
      <x:c r="J1585" s="20" t="str">
        <x:v>未测试</x:v>
      </x:c>
      <x:c r="K1585" s="20"/>
      <x:c r="L1585" s="20"/>
      <x:c r="M1585" s="20"/>
      <x:c r="N1585" s="20"/>
      <x:c r="O1585" s="31"/>
      <x:c r="P1585" s="20"/>
      <x:c r="Q1585" s="20"/>
      <x:c r="R1585" s="20" t="str">
        <x:v>待展开</x:v>
      </x:c>
      <x:c r="S1585" s="20"/>
      <x:c r="T1585" s="31"/>
      <x:c r="U1585" s="30" t="str">
        <x:f>IF(A1585="","缺记录编号",IF(COUNTIFS(PathRecords[记录编号],A1585)&lt;&gt;1,"记录编号重复",IF(OR(B1585="",E1585=""),"缺组合/功能",IF(COUNTIFS(Equipment[组合编号],B1585)&lt;&gt;1,"组合编号无效",IF(COUNTIFS(FunctionMatrix[编号],E1585)=0,"功能编号无效",IF(H1585="不适用",IF(J1585="已实测","适用性冲突",IF(I1585="","待补不适用依据","不适用（非实测）")),IF(J1585="阻塞",IF(I1585="","待补阻塞原因","阻塞（非实测）"),IF(J1585&lt;&gt;"已实测",IF(F1585="","待展开路径","未实测"),IF(H1585&lt;&gt;"适用","待确认适用性",IF(INDEX(Equipment[登记状态（自动）],MATCH(B1585,Equipment[组合编号],0))&lt;&gt;"已登记","待补设备组合",IF(AND(F1585&lt;&gt;"",G1585&lt;&gt;"",K1585&lt;&gt;"",L1585&lt;&gt;"",M1585&lt;&gt;"",N1585&lt;&gt;"",ISNUMBER(O1585),O1585&gt;0,P1585&lt;&gt;""),"记录齐全","待补实测记录")))))))))))</x:f>
        <x:v>待展开路径</x:v>
      </x:c>
    </x:row>
    <x:row r="1586" ht="43.5" customHeight="1">
      <x:c r="A1586" s="20" t="str">
        <x:v>REC-01577</x:v>
      </x:c>
      <x:c r="B1586" s="20" t="str">
        <x:v>P3-B5-01</x:v>
      </x:c>
      <x:c r="C1586" s="30" t="str">
        <x:f>IF(B1586="","",IF(COUNTIFS(Equipment[组合编号],B1586)&lt;&gt;1,"组合编号无效",INDEX(Equipment[PLC组],MATCH(B1586,Equipment[组合编号],0))))</x:f>
        <x:v>欧姆龙</x:v>
      </x:c>
      <x:c r="D1586" s="30" t="str">
        <x:f>IF(B1586="","",IF(COUNTIFS(Equipment[组合编号],B1586)&lt;&gt;1,"组合编号无效",INDEX(Equipment[驱动品牌],MATCH(B1586,Equipment[组合编号],0))))</x:f>
        <x:v>KEBA（可选）</x:v>
      </x:c>
      <x:c r="E1586" s="20" t="str">
        <x:v>T04</x:v>
      </x:c>
      <x:c r="F1586" s="20"/>
      <x:c r="G1586" s="20"/>
      <x:c r="H1586" s="20" t="str">
        <x:v>待判定</x:v>
      </x:c>
      <x:c r="I1586" s="20"/>
      <x:c r="J1586" s="20" t="str">
        <x:v>未测试</x:v>
      </x:c>
      <x:c r="K1586" s="20"/>
      <x:c r="L1586" s="20"/>
      <x:c r="M1586" s="20"/>
      <x:c r="N1586" s="20"/>
      <x:c r="O1586" s="31"/>
      <x:c r="P1586" s="20"/>
      <x:c r="Q1586" s="20"/>
      <x:c r="R1586" s="20" t="str">
        <x:v>待展开</x:v>
      </x:c>
      <x:c r="S1586" s="20"/>
      <x:c r="T1586" s="31"/>
      <x:c r="U1586" s="30" t="str">
        <x:f>IF(A1586="","缺记录编号",IF(COUNTIFS(PathRecords[记录编号],A1586)&lt;&gt;1,"记录编号重复",IF(OR(B1586="",E1586=""),"缺组合/功能",IF(COUNTIFS(Equipment[组合编号],B1586)&lt;&gt;1,"组合编号无效",IF(COUNTIFS(FunctionMatrix[编号],E1586)=0,"功能编号无效",IF(H1586="不适用",IF(J1586="已实测","适用性冲突",IF(I1586="","待补不适用依据","不适用（非实测）")),IF(J1586="阻塞",IF(I1586="","待补阻塞原因","阻塞（非实测）"),IF(J1586&lt;&gt;"已实测",IF(F1586="","待展开路径","未实测"),IF(H1586&lt;&gt;"适用","待确认适用性",IF(INDEX(Equipment[登记状态（自动）],MATCH(B1586,Equipment[组合编号],0))&lt;&gt;"已登记","待补设备组合",IF(AND(F1586&lt;&gt;"",G1586&lt;&gt;"",K1586&lt;&gt;"",L1586&lt;&gt;"",M1586&lt;&gt;"",N1586&lt;&gt;"",ISNUMBER(O1586),O1586&gt;0,P1586&lt;&gt;""),"记录齐全","待补实测记录")))))))))))</x:f>
        <x:v>待展开路径</x:v>
      </x:c>
    </x:row>
    <x:row r="1587" ht="43.5" customHeight="1">
      <x:c r="A1587" s="20" t="str">
        <x:v>REC-01578</x:v>
      </x:c>
      <x:c r="B1587" s="20" t="str">
        <x:v>P3-B5-01</x:v>
      </x:c>
      <x:c r="C1587" s="30" t="str">
        <x:f>IF(B1587="","",IF(COUNTIFS(Equipment[组合编号],B1587)&lt;&gt;1,"组合编号无效",INDEX(Equipment[PLC组],MATCH(B1587,Equipment[组合编号],0))))</x:f>
        <x:v>欧姆龙</x:v>
      </x:c>
      <x:c r="D1587" s="30" t="str">
        <x:f>IF(B1587="","",IF(COUNTIFS(Equipment[组合编号],B1587)&lt;&gt;1,"组合编号无效",INDEX(Equipment[驱动品牌],MATCH(B1587,Equipment[组合编号],0))))</x:f>
        <x:v>KEBA（可选）</x:v>
      </x:c>
      <x:c r="E1587" s="20" t="str">
        <x:v>T05</x:v>
      </x:c>
      <x:c r="F1587" s="20"/>
      <x:c r="G1587" s="20"/>
      <x:c r="H1587" s="20" t="str">
        <x:v>待判定</x:v>
      </x:c>
      <x:c r="I1587" s="20"/>
      <x:c r="J1587" s="20" t="str">
        <x:v>未测试</x:v>
      </x:c>
      <x:c r="K1587" s="20"/>
      <x:c r="L1587" s="20"/>
      <x:c r="M1587" s="20"/>
      <x:c r="N1587" s="20"/>
      <x:c r="O1587" s="31"/>
      <x:c r="P1587" s="20"/>
      <x:c r="Q1587" s="20"/>
      <x:c r="R1587" s="20" t="str">
        <x:v>待展开</x:v>
      </x:c>
      <x:c r="S1587" s="20"/>
      <x:c r="T1587" s="31"/>
      <x:c r="U1587" s="30" t="str">
        <x:f>IF(A1587="","缺记录编号",IF(COUNTIFS(PathRecords[记录编号],A1587)&lt;&gt;1,"记录编号重复",IF(OR(B1587="",E1587=""),"缺组合/功能",IF(COUNTIFS(Equipment[组合编号],B1587)&lt;&gt;1,"组合编号无效",IF(COUNTIFS(FunctionMatrix[编号],E1587)=0,"功能编号无效",IF(H1587="不适用",IF(J1587="已实测","适用性冲突",IF(I1587="","待补不适用依据","不适用（非实测）")),IF(J1587="阻塞",IF(I1587="","待补阻塞原因","阻塞（非实测）"),IF(J1587&lt;&gt;"已实测",IF(F1587="","待展开路径","未实测"),IF(H1587&lt;&gt;"适用","待确认适用性",IF(INDEX(Equipment[登记状态（自动）],MATCH(B1587,Equipment[组合编号],0))&lt;&gt;"已登记","待补设备组合",IF(AND(F1587&lt;&gt;"",G1587&lt;&gt;"",K1587&lt;&gt;"",L1587&lt;&gt;"",M1587&lt;&gt;"",N1587&lt;&gt;"",ISNUMBER(O1587),O1587&gt;0,P1587&lt;&gt;""),"记录齐全","待补实测记录")))))))))))</x:f>
        <x:v>待展开路径</x:v>
      </x:c>
    </x:row>
    <x:row r="1588" ht="43.5" customHeight="1">
      <x:c r="A1588" s="20" t="str">
        <x:v>REC-01579</x:v>
      </x:c>
      <x:c r="B1588" s="20" t="str">
        <x:v>P3-B5-01</x:v>
      </x:c>
      <x:c r="C1588" s="30" t="str">
        <x:f>IF(B1588="","",IF(COUNTIFS(Equipment[组合编号],B1588)&lt;&gt;1,"组合编号无效",INDEX(Equipment[PLC组],MATCH(B1588,Equipment[组合编号],0))))</x:f>
        <x:v>欧姆龙</x:v>
      </x:c>
      <x:c r="D1588" s="30" t="str">
        <x:f>IF(B1588="","",IF(COUNTIFS(Equipment[组合编号],B1588)&lt;&gt;1,"组合编号无效",INDEX(Equipment[驱动品牌],MATCH(B1588,Equipment[组合编号],0))))</x:f>
        <x:v>KEBA（可选）</x:v>
      </x:c>
      <x:c r="E1588" s="20" t="str">
        <x:v>T06</x:v>
      </x:c>
      <x:c r="F1588" s="20"/>
      <x:c r="G1588" s="20"/>
      <x:c r="H1588" s="20" t="str">
        <x:v>待判定</x:v>
      </x:c>
      <x:c r="I1588" s="20"/>
      <x:c r="J1588" s="20" t="str">
        <x:v>未测试</x:v>
      </x:c>
      <x:c r="K1588" s="20"/>
      <x:c r="L1588" s="20"/>
      <x:c r="M1588" s="20"/>
      <x:c r="N1588" s="20"/>
      <x:c r="O1588" s="31"/>
      <x:c r="P1588" s="20"/>
      <x:c r="Q1588" s="20"/>
      <x:c r="R1588" s="20" t="str">
        <x:v>待展开</x:v>
      </x:c>
      <x:c r="S1588" s="20"/>
      <x:c r="T1588" s="31"/>
      <x:c r="U1588" s="30" t="str">
        <x:f>IF(A1588="","缺记录编号",IF(COUNTIFS(PathRecords[记录编号],A1588)&lt;&gt;1,"记录编号重复",IF(OR(B1588="",E1588=""),"缺组合/功能",IF(COUNTIFS(Equipment[组合编号],B1588)&lt;&gt;1,"组合编号无效",IF(COUNTIFS(FunctionMatrix[编号],E1588)=0,"功能编号无效",IF(H1588="不适用",IF(J1588="已实测","适用性冲突",IF(I1588="","待补不适用依据","不适用（非实测）")),IF(J1588="阻塞",IF(I1588="","待补阻塞原因","阻塞（非实测）"),IF(J1588&lt;&gt;"已实测",IF(F1588="","待展开路径","未实测"),IF(H1588&lt;&gt;"适用","待确认适用性",IF(INDEX(Equipment[登记状态（自动）],MATCH(B1588,Equipment[组合编号],0))&lt;&gt;"已登记","待补设备组合",IF(AND(F1588&lt;&gt;"",G1588&lt;&gt;"",K1588&lt;&gt;"",L1588&lt;&gt;"",M1588&lt;&gt;"",N1588&lt;&gt;"",ISNUMBER(O1588),O1588&gt;0,P1588&lt;&gt;""),"记录齐全","待补实测记录")))))))))))</x:f>
        <x:v>待展开路径</x:v>
      </x:c>
    </x:row>
    <x:row r="1589" ht="43.5" customHeight="1">
      <x:c r="A1589" s="20" t="str">
        <x:v>REC-01580</x:v>
      </x:c>
      <x:c r="B1589" s="20" t="str">
        <x:v>P3-B5-01</x:v>
      </x:c>
      <x:c r="C1589" s="30" t="str">
        <x:f>IF(B1589="","",IF(COUNTIFS(Equipment[组合编号],B1589)&lt;&gt;1,"组合编号无效",INDEX(Equipment[PLC组],MATCH(B1589,Equipment[组合编号],0))))</x:f>
        <x:v>欧姆龙</x:v>
      </x:c>
      <x:c r="D1589" s="30" t="str">
        <x:f>IF(B1589="","",IF(COUNTIFS(Equipment[组合编号],B1589)&lt;&gt;1,"组合编号无效",INDEX(Equipment[驱动品牌],MATCH(B1589,Equipment[组合编号],0))))</x:f>
        <x:v>KEBA（可选）</x:v>
      </x:c>
      <x:c r="E1589" s="20" t="str">
        <x:v>T07</x:v>
      </x:c>
      <x:c r="F1589" s="20"/>
      <x:c r="G1589" s="20"/>
      <x:c r="H1589" s="20" t="str">
        <x:v>待判定</x:v>
      </x:c>
      <x:c r="I1589" s="20"/>
      <x:c r="J1589" s="20" t="str">
        <x:v>未测试</x:v>
      </x:c>
      <x:c r="K1589" s="20"/>
      <x:c r="L1589" s="20"/>
      <x:c r="M1589" s="20"/>
      <x:c r="N1589" s="20"/>
      <x:c r="O1589" s="31"/>
      <x:c r="P1589" s="20"/>
      <x:c r="Q1589" s="20"/>
      <x:c r="R1589" s="20" t="str">
        <x:v>待展开</x:v>
      </x:c>
      <x:c r="S1589" s="20"/>
      <x:c r="T1589" s="31"/>
      <x:c r="U1589" s="30" t="str">
        <x:f>IF(A1589="","缺记录编号",IF(COUNTIFS(PathRecords[记录编号],A1589)&lt;&gt;1,"记录编号重复",IF(OR(B1589="",E1589=""),"缺组合/功能",IF(COUNTIFS(Equipment[组合编号],B1589)&lt;&gt;1,"组合编号无效",IF(COUNTIFS(FunctionMatrix[编号],E1589)=0,"功能编号无效",IF(H1589="不适用",IF(J1589="已实测","适用性冲突",IF(I1589="","待补不适用依据","不适用（非实测）")),IF(J1589="阻塞",IF(I1589="","待补阻塞原因","阻塞（非实测）"),IF(J1589&lt;&gt;"已实测",IF(F1589="","待展开路径","未实测"),IF(H1589&lt;&gt;"适用","待确认适用性",IF(INDEX(Equipment[登记状态（自动）],MATCH(B1589,Equipment[组合编号],0))&lt;&gt;"已登记","待补设备组合",IF(AND(F1589&lt;&gt;"",G1589&lt;&gt;"",K1589&lt;&gt;"",L1589&lt;&gt;"",M1589&lt;&gt;"",N1589&lt;&gt;"",ISNUMBER(O1589),O1589&gt;0,P1589&lt;&gt;""),"记录齐全","待补实测记录")))))))))))</x:f>
        <x:v>待展开路径</x:v>
      </x:c>
    </x:row>
    <x:row r="1590" ht="43.5" customHeight="1">
      <x:c r="A1590" s="20" t="str">
        <x:v>REC-01581</x:v>
      </x:c>
      <x:c r="B1590" s="20" t="str">
        <x:v>P3-B5-01</x:v>
      </x:c>
      <x:c r="C1590" s="30" t="str">
        <x:f>IF(B1590="","",IF(COUNTIFS(Equipment[组合编号],B1590)&lt;&gt;1,"组合编号无效",INDEX(Equipment[PLC组],MATCH(B1590,Equipment[组合编号],0))))</x:f>
        <x:v>欧姆龙</x:v>
      </x:c>
      <x:c r="D1590" s="30" t="str">
        <x:f>IF(B1590="","",IF(COUNTIFS(Equipment[组合编号],B1590)&lt;&gt;1,"组合编号无效",INDEX(Equipment[驱动品牌],MATCH(B1590,Equipment[组合编号],0))))</x:f>
        <x:v>KEBA（可选）</x:v>
      </x:c>
      <x:c r="E1590" s="20" t="str">
        <x:v>T08</x:v>
      </x:c>
      <x:c r="F1590" s="20"/>
      <x:c r="G1590" s="20"/>
      <x:c r="H1590" s="20" t="str">
        <x:v>待判定</x:v>
      </x:c>
      <x:c r="I1590" s="20"/>
      <x:c r="J1590" s="20" t="str">
        <x:v>未测试</x:v>
      </x:c>
      <x:c r="K1590" s="20"/>
      <x:c r="L1590" s="20"/>
      <x:c r="M1590" s="20"/>
      <x:c r="N1590" s="20"/>
      <x:c r="O1590" s="31"/>
      <x:c r="P1590" s="20"/>
      <x:c r="Q1590" s="20"/>
      <x:c r="R1590" s="20" t="str">
        <x:v>待展开</x:v>
      </x:c>
      <x:c r="S1590" s="20"/>
      <x:c r="T1590" s="31"/>
      <x:c r="U1590" s="30" t="str">
        <x:f>IF(A1590="","缺记录编号",IF(COUNTIFS(PathRecords[记录编号],A1590)&lt;&gt;1,"记录编号重复",IF(OR(B1590="",E1590=""),"缺组合/功能",IF(COUNTIFS(Equipment[组合编号],B1590)&lt;&gt;1,"组合编号无效",IF(COUNTIFS(FunctionMatrix[编号],E1590)=0,"功能编号无效",IF(H1590="不适用",IF(J1590="已实测","适用性冲突",IF(I1590="","待补不适用依据","不适用（非实测）")),IF(J1590="阻塞",IF(I1590="","待补阻塞原因","阻塞（非实测）"),IF(J1590&lt;&gt;"已实测",IF(F1590="","待展开路径","未实测"),IF(H1590&lt;&gt;"适用","待确认适用性",IF(INDEX(Equipment[登记状态（自动）],MATCH(B1590,Equipment[组合编号],0))&lt;&gt;"已登记","待补设备组合",IF(AND(F1590&lt;&gt;"",G1590&lt;&gt;"",K1590&lt;&gt;"",L1590&lt;&gt;"",M1590&lt;&gt;"",N1590&lt;&gt;"",ISNUMBER(O1590),O1590&gt;0,P1590&lt;&gt;""),"记录齐全","待补实测记录")))))))))))</x:f>
        <x:v>待展开路径</x:v>
      </x:c>
    </x:row>
    <x:row r="1591" ht="43.5" customHeight="1">
      <x:c r="A1591" s="20" t="str">
        <x:v>REC-01582</x:v>
      </x:c>
      <x:c r="B1591" s="20" t="str">
        <x:v>P3-B5-01</x:v>
      </x:c>
      <x:c r="C1591" s="30" t="str">
        <x:f>IF(B1591="","",IF(COUNTIFS(Equipment[组合编号],B1591)&lt;&gt;1,"组合编号无效",INDEX(Equipment[PLC组],MATCH(B1591,Equipment[组合编号],0))))</x:f>
        <x:v>欧姆龙</x:v>
      </x:c>
      <x:c r="D1591" s="30" t="str">
        <x:f>IF(B1591="","",IF(COUNTIFS(Equipment[组合编号],B1591)&lt;&gt;1,"组合编号无效",INDEX(Equipment[驱动品牌],MATCH(B1591,Equipment[组合编号],0))))</x:f>
        <x:v>KEBA（可选）</x:v>
      </x:c>
      <x:c r="E1591" s="20" t="str">
        <x:v>T09</x:v>
      </x:c>
      <x:c r="F1591" s="20"/>
      <x:c r="G1591" s="20"/>
      <x:c r="H1591" s="20" t="str">
        <x:v>待判定</x:v>
      </x:c>
      <x:c r="I1591" s="20"/>
      <x:c r="J1591" s="20" t="str">
        <x:v>未测试</x:v>
      </x:c>
      <x:c r="K1591" s="20"/>
      <x:c r="L1591" s="20"/>
      <x:c r="M1591" s="20"/>
      <x:c r="N1591" s="20"/>
      <x:c r="O1591" s="31"/>
      <x:c r="P1591" s="20"/>
      <x:c r="Q1591" s="20"/>
      <x:c r="R1591" s="20" t="str">
        <x:v>待展开</x:v>
      </x:c>
      <x:c r="S1591" s="20"/>
      <x:c r="T1591" s="31"/>
      <x:c r="U1591" s="30" t="str">
        <x:f>IF(A1591="","缺记录编号",IF(COUNTIFS(PathRecords[记录编号],A1591)&lt;&gt;1,"记录编号重复",IF(OR(B1591="",E1591=""),"缺组合/功能",IF(COUNTIFS(Equipment[组合编号],B1591)&lt;&gt;1,"组合编号无效",IF(COUNTIFS(FunctionMatrix[编号],E1591)=0,"功能编号无效",IF(H1591="不适用",IF(J1591="已实测","适用性冲突",IF(I1591="","待补不适用依据","不适用（非实测）")),IF(J1591="阻塞",IF(I1591="","待补阻塞原因","阻塞（非实测）"),IF(J1591&lt;&gt;"已实测",IF(F1591="","待展开路径","未实测"),IF(H1591&lt;&gt;"适用","待确认适用性",IF(INDEX(Equipment[登记状态（自动）],MATCH(B1591,Equipment[组合编号],0))&lt;&gt;"已登记","待补设备组合",IF(AND(F1591&lt;&gt;"",G1591&lt;&gt;"",K1591&lt;&gt;"",L1591&lt;&gt;"",M1591&lt;&gt;"",N1591&lt;&gt;"",ISNUMBER(O1591),O1591&gt;0,P1591&lt;&gt;""),"记录齐全","待补实测记录")))))))))))</x:f>
        <x:v>待展开路径</x:v>
      </x:c>
    </x:row>
    <x:row r="1592" ht="43.5" customHeight="1">
      <x:c r="A1592" s="20" t="str">
        <x:v>REC-01583</x:v>
      </x:c>
      <x:c r="B1592" s="20" t="str">
        <x:v>P3-B5-01</x:v>
      </x:c>
      <x:c r="C1592" s="30" t="str">
        <x:f>IF(B1592="","",IF(COUNTIFS(Equipment[组合编号],B1592)&lt;&gt;1,"组合编号无效",INDEX(Equipment[PLC组],MATCH(B1592,Equipment[组合编号],0))))</x:f>
        <x:v>欧姆龙</x:v>
      </x:c>
      <x:c r="D1592" s="30" t="str">
        <x:f>IF(B1592="","",IF(COUNTIFS(Equipment[组合编号],B1592)&lt;&gt;1,"组合编号无效",INDEX(Equipment[驱动品牌],MATCH(B1592,Equipment[组合编号],0))))</x:f>
        <x:v>KEBA（可选）</x:v>
      </x:c>
      <x:c r="E1592" s="20" t="str">
        <x:v>R01</x:v>
      </x:c>
      <x:c r="F1592" s="20"/>
      <x:c r="G1592" s="20"/>
      <x:c r="H1592" s="20" t="str">
        <x:v>待判定</x:v>
      </x:c>
      <x:c r="I1592" s="20"/>
      <x:c r="J1592" s="20" t="str">
        <x:v>未测试</x:v>
      </x:c>
      <x:c r="K1592" s="20"/>
      <x:c r="L1592" s="20"/>
      <x:c r="M1592" s="20"/>
      <x:c r="N1592" s="20"/>
      <x:c r="O1592" s="31"/>
      <x:c r="P1592" s="20"/>
      <x:c r="Q1592" s="20"/>
      <x:c r="R1592" s="20" t="str">
        <x:v>待展开</x:v>
      </x:c>
      <x:c r="S1592" s="20"/>
      <x:c r="T1592" s="31"/>
      <x:c r="U1592" s="30" t="str">
        <x:f>IF(A1592="","缺记录编号",IF(COUNTIFS(PathRecords[记录编号],A1592)&lt;&gt;1,"记录编号重复",IF(OR(B1592="",E1592=""),"缺组合/功能",IF(COUNTIFS(Equipment[组合编号],B1592)&lt;&gt;1,"组合编号无效",IF(COUNTIFS(FunctionMatrix[编号],E1592)=0,"功能编号无效",IF(H1592="不适用",IF(J1592="已实测","适用性冲突",IF(I1592="","待补不适用依据","不适用（非实测）")),IF(J1592="阻塞",IF(I1592="","待补阻塞原因","阻塞（非实测）"),IF(J1592&lt;&gt;"已实测",IF(F1592="","待展开路径","未实测"),IF(H1592&lt;&gt;"适用","待确认适用性",IF(INDEX(Equipment[登记状态（自动）],MATCH(B1592,Equipment[组合编号],0))&lt;&gt;"已登记","待补设备组合",IF(AND(F1592&lt;&gt;"",G1592&lt;&gt;"",K1592&lt;&gt;"",L1592&lt;&gt;"",M1592&lt;&gt;"",N1592&lt;&gt;"",ISNUMBER(O1592),O1592&gt;0,P1592&lt;&gt;""),"记录齐全","待补实测记录")))))))))))</x:f>
        <x:v>待展开路径</x:v>
      </x:c>
    </x:row>
    <x:row r="1593" ht="43.5" customHeight="1">
      <x:c r="A1593" s="20" t="str">
        <x:v>REC-01584</x:v>
      </x:c>
      <x:c r="B1593" s="20" t="str">
        <x:v>P3-B5-01</x:v>
      </x:c>
      <x:c r="C1593" s="30" t="str">
        <x:f>IF(B1593="","",IF(COUNTIFS(Equipment[组合编号],B1593)&lt;&gt;1,"组合编号无效",INDEX(Equipment[PLC组],MATCH(B1593,Equipment[组合编号],0))))</x:f>
        <x:v>欧姆龙</x:v>
      </x:c>
      <x:c r="D1593" s="30" t="str">
        <x:f>IF(B1593="","",IF(COUNTIFS(Equipment[组合编号],B1593)&lt;&gt;1,"组合编号无效",INDEX(Equipment[驱动品牌],MATCH(B1593,Equipment[组合编号],0))))</x:f>
        <x:v>KEBA（可选）</x:v>
      </x:c>
      <x:c r="E1593" s="20" t="str">
        <x:v>R02</x:v>
      </x:c>
      <x:c r="F1593" s="20"/>
      <x:c r="G1593" s="20"/>
      <x:c r="H1593" s="20" t="str">
        <x:v>待判定</x:v>
      </x:c>
      <x:c r="I1593" s="20"/>
      <x:c r="J1593" s="20" t="str">
        <x:v>未测试</x:v>
      </x:c>
      <x:c r="K1593" s="20"/>
      <x:c r="L1593" s="20"/>
      <x:c r="M1593" s="20"/>
      <x:c r="N1593" s="20"/>
      <x:c r="O1593" s="31"/>
      <x:c r="P1593" s="20"/>
      <x:c r="Q1593" s="20"/>
      <x:c r="R1593" s="20" t="str">
        <x:v>待展开</x:v>
      </x:c>
      <x:c r="S1593" s="20"/>
      <x:c r="T1593" s="31"/>
      <x:c r="U1593" s="30" t="str">
        <x:f>IF(A1593="","缺记录编号",IF(COUNTIFS(PathRecords[记录编号],A1593)&lt;&gt;1,"记录编号重复",IF(OR(B1593="",E1593=""),"缺组合/功能",IF(COUNTIFS(Equipment[组合编号],B1593)&lt;&gt;1,"组合编号无效",IF(COUNTIFS(FunctionMatrix[编号],E1593)=0,"功能编号无效",IF(H1593="不适用",IF(J1593="已实测","适用性冲突",IF(I1593="","待补不适用依据","不适用（非实测）")),IF(J1593="阻塞",IF(I1593="","待补阻塞原因","阻塞（非实测）"),IF(J1593&lt;&gt;"已实测",IF(F1593="","待展开路径","未实测"),IF(H1593&lt;&gt;"适用","待确认适用性",IF(INDEX(Equipment[登记状态（自动）],MATCH(B1593,Equipment[组合编号],0))&lt;&gt;"已登记","待补设备组合",IF(AND(F1593&lt;&gt;"",G1593&lt;&gt;"",K1593&lt;&gt;"",L1593&lt;&gt;"",M1593&lt;&gt;"",N1593&lt;&gt;"",ISNUMBER(O1593),O1593&gt;0,P1593&lt;&gt;""),"记录齐全","待补实测记录")))))))))))</x:f>
        <x:v>待展开路径</x:v>
      </x:c>
    </x:row>
    <x:row r="1594" ht="43.5" customHeight="1">
      <x:c r="A1594" s="20" t="str">
        <x:v>REC-01585</x:v>
      </x:c>
      <x:c r="B1594" s="20" t="str">
        <x:v>P3-B5-01</x:v>
      </x:c>
      <x:c r="C1594" s="30" t="str">
        <x:f>IF(B1594="","",IF(COUNTIFS(Equipment[组合编号],B1594)&lt;&gt;1,"组合编号无效",INDEX(Equipment[PLC组],MATCH(B1594,Equipment[组合编号],0))))</x:f>
        <x:v>欧姆龙</x:v>
      </x:c>
      <x:c r="D1594" s="30" t="str">
        <x:f>IF(B1594="","",IF(COUNTIFS(Equipment[组合编号],B1594)&lt;&gt;1,"组合编号无效",INDEX(Equipment[驱动品牌],MATCH(B1594,Equipment[组合编号],0))))</x:f>
        <x:v>KEBA（可选）</x:v>
      </x:c>
      <x:c r="E1594" s="20" t="str">
        <x:v>R03</x:v>
      </x:c>
      <x:c r="F1594" s="20"/>
      <x:c r="G1594" s="20"/>
      <x:c r="H1594" s="20" t="str">
        <x:v>待判定</x:v>
      </x:c>
      <x:c r="I1594" s="20"/>
      <x:c r="J1594" s="20" t="str">
        <x:v>未测试</x:v>
      </x:c>
      <x:c r="K1594" s="20"/>
      <x:c r="L1594" s="20"/>
      <x:c r="M1594" s="20"/>
      <x:c r="N1594" s="20"/>
      <x:c r="O1594" s="31"/>
      <x:c r="P1594" s="20"/>
      <x:c r="Q1594" s="20"/>
      <x:c r="R1594" s="20" t="str">
        <x:v>待展开</x:v>
      </x:c>
      <x:c r="S1594" s="20"/>
      <x:c r="T1594" s="31"/>
      <x:c r="U1594" s="30" t="str">
        <x:f>IF(A1594="","缺记录编号",IF(COUNTIFS(PathRecords[记录编号],A1594)&lt;&gt;1,"记录编号重复",IF(OR(B1594="",E1594=""),"缺组合/功能",IF(COUNTIFS(Equipment[组合编号],B1594)&lt;&gt;1,"组合编号无效",IF(COUNTIFS(FunctionMatrix[编号],E1594)=0,"功能编号无效",IF(H1594="不适用",IF(J1594="已实测","适用性冲突",IF(I1594="","待补不适用依据","不适用（非实测）")),IF(J1594="阻塞",IF(I1594="","待补阻塞原因","阻塞（非实测）"),IF(J1594&lt;&gt;"已实测",IF(F1594="","待展开路径","未实测"),IF(H1594&lt;&gt;"适用","待确认适用性",IF(INDEX(Equipment[登记状态（自动）],MATCH(B1594,Equipment[组合编号],0))&lt;&gt;"已登记","待补设备组合",IF(AND(F1594&lt;&gt;"",G1594&lt;&gt;"",K1594&lt;&gt;"",L1594&lt;&gt;"",M1594&lt;&gt;"",N1594&lt;&gt;"",ISNUMBER(O1594),O1594&gt;0,P1594&lt;&gt;""),"记录齐全","待补实测记录")))))))))))</x:f>
        <x:v>待展开路径</x:v>
      </x:c>
    </x:row>
    <x:row r="1595" ht="43.5" customHeight="1">
      <x:c r="A1595" s="20" t="str">
        <x:v>REC-01586</x:v>
      </x:c>
      <x:c r="B1595" s="20" t="str">
        <x:v>P3-B5-01</x:v>
      </x:c>
      <x:c r="C1595" s="30" t="str">
        <x:f>IF(B1595="","",IF(COUNTIFS(Equipment[组合编号],B1595)&lt;&gt;1,"组合编号无效",INDEX(Equipment[PLC组],MATCH(B1595,Equipment[组合编号],0))))</x:f>
        <x:v>欧姆龙</x:v>
      </x:c>
      <x:c r="D1595" s="30" t="str">
        <x:f>IF(B1595="","",IF(COUNTIFS(Equipment[组合编号],B1595)&lt;&gt;1,"组合编号无效",INDEX(Equipment[驱动品牌],MATCH(B1595,Equipment[组合编号],0))))</x:f>
        <x:v>KEBA（可选）</x:v>
      </x:c>
      <x:c r="E1595" s="20" t="str">
        <x:v>R04</x:v>
      </x:c>
      <x:c r="F1595" s="20"/>
      <x:c r="G1595" s="20"/>
      <x:c r="H1595" s="20" t="str">
        <x:v>待判定</x:v>
      </x:c>
      <x:c r="I1595" s="20"/>
      <x:c r="J1595" s="20" t="str">
        <x:v>未测试</x:v>
      </x:c>
      <x:c r="K1595" s="20"/>
      <x:c r="L1595" s="20"/>
      <x:c r="M1595" s="20"/>
      <x:c r="N1595" s="20"/>
      <x:c r="O1595" s="31"/>
      <x:c r="P1595" s="20"/>
      <x:c r="Q1595" s="20"/>
      <x:c r="R1595" s="20" t="str">
        <x:v>待展开</x:v>
      </x:c>
      <x:c r="S1595" s="20"/>
      <x:c r="T1595" s="31"/>
      <x:c r="U1595" s="30" t="str">
        <x:f>IF(A1595="","缺记录编号",IF(COUNTIFS(PathRecords[记录编号],A1595)&lt;&gt;1,"记录编号重复",IF(OR(B1595="",E1595=""),"缺组合/功能",IF(COUNTIFS(Equipment[组合编号],B1595)&lt;&gt;1,"组合编号无效",IF(COUNTIFS(FunctionMatrix[编号],E1595)=0,"功能编号无效",IF(H1595="不适用",IF(J1595="已实测","适用性冲突",IF(I1595="","待补不适用依据","不适用（非实测）")),IF(J1595="阻塞",IF(I1595="","待补阻塞原因","阻塞（非实测）"),IF(J1595&lt;&gt;"已实测",IF(F1595="","待展开路径","未实测"),IF(H1595&lt;&gt;"适用","待确认适用性",IF(INDEX(Equipment[登记状态（自动）],MATCH(B1595,Equipment[组合编号],0))&lt;&gt;"已登记","待补设备组合",IF(AND(F1595&lt;&gt;"",G1595&lt;&gt;"",K1595&lt;&gt;"",L1595&lt;&gt;"",M1595&lt;&gt;"",N1595&lt;&gt;"",ISNUMBER(O1595),O1595&gt;0,P1595&lt;&gt;""),"记录齐全","待补实测记录")))))))))))</x:f>
        <x:v>待展开路径</x:v>
      </x:c>
    </x:row>
    <x:row r="1596" ht="43.5" customHeight="1">
      <x:c r="A1596" s="20" t="str">
        <x:v>REC-01587</x:v>
      </x:c>
      <x:c r="B1596" s="20" t="str">
        <x:v>P3-B5-01</x:v>
      </x:c>
      <x:c r="C1596" s="30" t="str">
        <x:f>IF(B1596="","",IF(COUNTIFS(Equipment[组合编号],B1596)&lt;&gt;1,"组合编号无效",INDEX(Equipment[PLC组],MATCH(B1596,Equipment[组合编号],0))))</x:f>
        <x:v>欧姆龙</x:v>
      </x:c>
      <x:c r="D1596" s="30" t="str">
        <x:f>IF(B1596="","",IF(COUNTIFS(Equipment[组合编号],B1596)&lt;&gt;1,"组合编号无效",INDEX(Equipment[驱动品牌],MATCH(B1596,Equipment[组合编号],0))))</x:f>
        <x:v>KEBA（可选）</x:v>
      </x:c>
      <x:c r="E1596" s="20" t="str">
        <x:v>R05</x:v>
      </x:c>
      <x:c r="F1596" s="20"/>
      <x:c r="G1596" s="20"/>
      <x:c r="H1596" s="20" t="str">
        <x:v>待判定</x:v>
      </x:c>
      <x:c r="I1596" s="20"/>
      <x:c r="J1596" s="20" t="str">
        <x:v>未测试</x:v>
      </x:c>
      <x:c r="K1596" s="20"/>
      <x:c r="L1596" s="20"/>
      <x:c r="M1596" s="20"/>
      <x:c r="N1596" s="20"/>
      <x:c r="O1596" s="31"/>
      <x:c r="P1596" s="20"/>
      <x:c r="Q1596" s="20"/>
      <x:c r="R1596" s="20" t="str">
        <x:v>待展开</x:v>
      </x:c>
      <x:c r="S1596" s="20"/>
      <x:c r="T1596" s="31"/>
      <x:c r="U1596" s="30" t="str">
        <x:f>IF(A1596="","缺记录编号",IF(COUNTIFS(PathRecords[记录编号],A1596)&lt;&gt;1,"记录编号重复",IF(OR(B1596="",E1596=""),"缺组合/功能",IF(COUNTIFS(Equipment[组合编号],B1596)&lt;&gt;1,"组合编号无效",IF(COUNTIFS(FunctionMatrix[编号],E1596)=0,"功能编号无效",IF(H1596="不适用",IF(J1596="已实测","适用性冲突",IF(I1596="","待补不适用依据","不适用（非实测）")),IF(J1596="阻塞",IF(I1596="","待补阻塞原因","阻塞（非实测）"),IF(J1596&lt;&gt;"已实测",IF(F1596="","待展开路径","未实测"),IF(H1596&lt;&gt;"适用","待确认适用性",IF(INDEX(Equipment[登记状态（自动）],MATCH(B1596,Equipment[组合编号],0))&lt;&gt;"已登记","待补设备组合",IF(AND(F1596&lt;&gt;"",G1596&lt;&gt;"",K1596&lt;&gt;"",L1596&lt;&gt;"",M1596&lt;&gt;"",N1596&lt;&gt;"",ISNUMBER(O1596),O1596&gt;0,P1596&lt;&gt;""),"记录齐全","待补实测记录")))))))))))</x:f>
        <x:v>待展开路径</x:v>
      </x:c>
    </x:row>
    <x:row r="1597" ht="43.5" customHeight="1">
      <x:c r="A1597" s="20" t="str">
        <x:v>REC-01588</x:v>
      </x:c>
      <x:c r="B1597" s="20" t="str">
        <x:v>P3-B5-01</x:v>
      </x:c>
      <x:c r="C1597" s="30" t="str">
        <x:f>IF(B1597="","",IF(COUNTIFS(Equipment[组合编号],B1597)&lt;&gt;1,"组合编号无效",INDEX(Equipment[PLC组],MATCH(B1597,Equipment[组合编号],0))))</x:f>
        <x:v>欧姆龙</x:v>
      </x:c>
      <x:c r="D1597" s="30" t="str">
        <x:f>IF(B1597="","",IF(COUNTIFS(Equipment[组合编号],B1597)&lt;&gt;1,"组合编号无效",INDEX(Equipment[驱动品牌],MATCH(B1597,Equipment[组合编号],0))))</x:f>
        <x:v>KEBA（可选）</x:v>
      </x:c>
      <x:c r="E1597" s="20" t="str">
        <x:v>R06</x:v>
      </x:c>
      <x:c r="F1597" s="20"/>
      <x:c r="G1597" s="20"/>
      <x:c r="H1597" s="20" t="str">
        <x:v>待判定</x:v>
      </x:c>
      <x:c r="I1597" s="20"/>
      <x:c r="J1597" s="20" t="str">
        <x:v>未测试</x:v>
      </x:c>
      <x:c r="K1597" s="20"/>
      <x:c r="L1597" s="20"/>
      <x:c r="M1597" s="20"/>
      <x:c r="N1597" s="20"/>
      <x:c r="O1597" s="31"/>
      <x:c r="P1597" s="20"/>
      <x:c r="Q1597" s="20"/>
      <x:c r="R1597" s="20" t="str">
        <x:v>待展开</x:v>
      </x:c>
      <x:c r="S1597" s="20"/>
      <x:c r="T1597" s="31"/>
      <x:c r="U1597" s="30" t="str">
        <x:f>IF(A1597="","缺记录编号",IF(COUNTIFS(PathRecords[记录编号],A1597)&lt;&gt;1,"记录编号重复",IF(OR(B1597="",E1597=""),"缺组合/功能",IF(COUNTIFS(Equipment[组合编号],B1597)&lt;&gt;1,"组合编号无效",IF(COUNTIFS(FunctionMatrix[编号],E1597)=0,"功能编号无效",IF(H1597="不适用",IF(J1597="已实测","适用性冲突",IF(I1597="","待补不适用依据","不适用（非实测）")),IF(J1597="阻塞",IF(I1597="","待补阻塞原因","阻塞（非实测）"),IF(J1597&lt;&gt;"已实测",IF(F1597="","待展开路径","未实测"),IF(H1597&lt;&gt;"适用","待确认适用性",IF(INDEX(Equipment[登记状态（自动）],MATCH(B1597,Equipment[组合编号],0))&lt;&gt;"已登记","待补设备组合",IF(AND(F1597&lt;&gt;"",G1597&lt;&gt;"",K1597&lt;&gt;"",L1597&lt;&gt;"",M1597&lt;&gt;"",N1597&lt;&gt;"",ISNUMBER(O1597),O1597&gt;0,P1597&lt;&gt;""),"记录齐全","待补实测记录")))))))))))</x:f>
        <x:v>待展开路径</x:v>
      </x:c>
    </x:row>
    <x:row r="1598" ht="43.5" customHeight="1">
      <x:c r="A1598" s="20" t="str">
        <x:v>REC-01589</x:v>
      </x:c>
      <x:c r="B1598" s="20" t="str">
        <x:v>P3-B5-01</x:v>
      </x:c>
      <x:c r="C1598" s="30" t="str">
        <x:f>IF(B1598="","",IF(COUNTIFS(Equipment[组合编号],B1598)&lt;&gt;1,"组合编号无效",INDEX(Equipment[PLC组],MATCH(B1598,Equipment[组合编号],0))))</x:f>
        <x:v>欧姆龙</x:v>
      </x:c>
      <x:c r="D1598" s="30" t="str">
        <x:f>IF(B1598="","",IF(COUNTIFS(Equipment[组合编号],B1598)&lt;&gt;1,"组合编号无效",INDEX(Equipment[驱动品牌],MATCH(B1598,Equipment[组合编号],0))))</x:f>
        <x:v>KEBA（可选）</x:v>
      </x:c>
      <x:c r="E1598" s="20" t="str">
        <x:v>R07</x:v>
      </x:c>
      <x:c r="F1598" s="20"/>
      <x:c r="G1598" s="20"/>
      <x:c r="H1598" s="20" t="str">
        <x:v>待判定</x:v>
      </x:c>
      <x:c r="I1598" s="20"/>
      <x:c r="J1598" s="20" t="str">
        <x:v>未测试</x:v>
      </x:c>
      <x:c r="K1598" s="20"/>
      <x:c r="L1598" s="20"/>
      <x:c r="M1598" s="20"/>
      <x:c r="N1598" s="20"/>
      <x:c r="O1598" s="31"/>
      <x:c r="P1598" s="20"/>
      <x:c r="Q1598" s="20"/>
      <x:c r="R1598" s="20" t="str">
        <x:v>待展开</x:v>
      </x:c>
      <x:c r="S1598" s="20"/>
      <x:c r="T1598" s="31"/>
      <x:c r="U1598" s="30" t="str">
        <x:f>IF(A1598="","缺记录编号",IF(COUNTIFS(PathRecords[记录编号],A1598)&lt;&gt;1,"记录编号重复",IF(OR(B1598="",E1598=""),"缺组合/功能",IF(COUNTIFS(Equipment[组合编号],B1598)&lt;&gt;1,"组合编号无效",IF(COUNTIFS(FunctionMatrix[编号],E1598)=0,"功能编号无效",IF(H1598="不适用",IF(J1598="已实测","适用性冲突",IF(I1598="","待补不适用依据","不适用（非实测）")),IF(J1598="阻塞",IF(I1598="","待补阻塞原因","阻塞（非实测）"),IF(J1598&lt;&gt;"已实测",IF(F1598="","待展开路径","未实测"),IF(H1598&lt;&gt;"适用","待确认适用性",IF(INDEX(Equipment[登记状态（自动）],MATCH(B1598,Equipment[组合编号],0))&lt;&gt;"已登记","待补设备组合",IF(AND(F1598&lt;&gt;"",G1598&lt;&gt;"",K1598&lt;&gt;"",L1598&lt;&gt;"",M1598&lt;&gt;"",N1598&lt;&gt;"",ISNUMBER(O1598),O1598&gt;0,P1598&lt;&gt;""),"记录齐全","待补实测记录")))))))))))</x:f>
        <x:v>待展开路径</x:v>
      </x:c>
    </x:row>
    <x:row r="1599" ht="43.5" customHeight="1">
      <x:c r="A1599" s="20" t="str">
        <x:v>REC-01590</x:v>
      </x:c>
      <x:c r="B1599" s="20" t="str">
        <x:v>P3-B5-01</x:v>
      </x:c>
      <x:c r="C1599" s="30" t="str">
        <x:f>IF(B1599="","",IF(COUNTIFS(Equipment[组合编号],B1599)&lt;&gt;1,"组合编号无效",INDEX(Equipment[PLC组],MATCH(B1599,Equipment[组合编号],0))))</x:f>
        <x:v>欧姆龙</x:v>
      </x:c>
      <x:c r="D1599" s="30" t="str">
        <x:f>IF(B1599="","",IF(COUNTIFS(Equipment[组合编号],B1599)&lt;&gt;1,"组合编号无效",INDEX(Equipment[驱动品牌],MATCH(B1599,Equipment[组合编号],0))))</x:f>
        <x:v>KEBA（可选）</x:v>
      </x:c>
      <x:c r="E1599" s="20" t="str">
        <x:v>R08</x:v>
      </x:c>
      <x:c r="F1599" s="20"/>
      <x:c r="G1599" s="20"/>
      <x:c r="H1599" s="20" t="str">
        <x:v>待判定</x:v>
      </x:c>
      <x:c r="I1599" s="20"/>
      <x:c r="J1599" s="20" t="str">
        <x:v>未测试</x:v>
      </x:c>
      <x:c r="K1599" s="20"/>
      <x:c r="L1599" s="20"/>
      <x:c r="M1599" s="20"/>
      <x:c r="N1599" s="20"/>
      <x:c r="O1599" s="31"/>
      <x:c r="P1599" s="20"/>
      <x:c r="Q1599" s="20"/>
      <x:c r="R1599" s="20" t="str">
        <x:v>待展开</x:v>
      </x:c>
      <x:c r="S1599" s="20"/>
      <x:c r="T1599" s="31"/>
      <x:c r="U1599" s="30" t="str">
        <x:f>IF(A1599="","缺记录编号",IF(COUNTIFS(PathRecords[记录编号],A1599)&lt;&gt;1,"记录编号重复",IF(OR(B1599="",E1599=""),"缺组合/功能",IF(COUNTIFS(Equipment[组合编号],B1599)&lt;&gt;1,"组合编号无效",IF(COUNTIFS(FunctionMatrix[编号],E1599)=0,"功能编号无效",IF(H1599="不适用",IF(J1599="已实测","适用性冲突",IF(I1599="","待补不适用依据","不适用（非实测）")),IF(J1599="阻塞",IF(I1599="","待补阻塞原因","阻塞（非实测）"),IF(J1599&lt;&gt;"已实测",IF(F1599="","待展开路径","未实测"),IF(H1599&lt;&gt;"适用","待确认适用性",IF(INDEX(Equipment[登记状态（自动）],MATCH(B1599,Equipment[组合编号],0))&lt;&gt;"已登记","待补设备组合",IF(AND(F1599&lt;&gt;"",G1599&lt;&gt;"",K1599&lt;&gt;"",L1599&lt;&gt;"",M1599&lt;&gt;"",N1599&lt;&gt;"",ISNUMBER(O1599),O1599&gt;0,P1599&lt;&gt;""),"记录齐全","待补实测记录")))))))))))</x:f>
        <x:v>待展开路径</x:v>
      </x:c>
    </x:row>
    <x:row r="1600">
      <x:c r="A1600"/>
      <x:c r="B1600"/>
      <x:c r="C1600" t="str">
        <x:f>IF(B1600="","",IF(COUNTIFS(Equipment[组合编号],B1600)&lt;&gt;1,"组合编号无效",INDEX(Equipment[PLC组],MATCH(B1600,Equipment[组合编号],0))))</x:f>
      </x:c>
      <x:c r="D1600" t="str">
        <x:f>IF(B1600="","",IF(COUNTIFS(Equipment[组合编号],B1600)&lt;&gt;1,"组合编号无效",INDEX(Equipment[驱动品牌],MATCH(B1600,Equipment[组合编号],0))))</x:f>
      </x:c>
      <x:c r="E1600"/>
      <x:c r="F1600"/>
      <x:c r="G1600"/>
      <x:c r="H1600"/>
      <x:c r="I1600"/>
      <x:c r="J1600"/>
      <x:c r="K1600"/>
      <x:c r="L1600"/>
      <x:c r="M1600"/>
      <x:c r="N1600"/>
      <x:c r="O1600"/>
      <x:c r="P1600"/>
      <x:c r="Q1600"/>
      <x:c r="R1600"/>
      <x:c r="S1600"/>
      <x:c r="T1600"/>
      <x:c r="U1600" t="str">
        <x:f>IF(COUNTA(A1600:B1600,E1600:T1600)=0,"",IF(A1600="","缺记录编号",IF(COUNTIFS(PathRecords[记录编号],A1600)&lt;&gt;1,"记录编号重复",IF(OR(B1600="",E1600=""),"缺组合/功能",IF(COUNTIFS(Equipment[组合编号],B1600)&lt;&gt;1,"组合编号无效",IF(COUNTIFS(FunctionMatrix[编号],E1600)=0,"功能编号无效",IF(H1600="不适用",IF(J1600="已实测","适用性冲突",IF(I1600="","待补不适用依据","不适用（非实测）")),IF(J1600="阻塞",IF(I1600="","待补阻塞原因","阻塞（非实测）"),IF(J1600&lt;&gt;"已实测",IF(F1600="","待展开路径","未实测"),IF(H1600&lt;&gt;"适用","待确认适用性",IF(INDEX(Equipment[登记状态（自动）],MATCH(B1600,Equipment[组合编号],0))&lt;&gt;"已登记","待补设备组合",IF(AND(F1600&lt;&gt;"",G1600&lt;&gt;"",K1600&lt;&gt;"",L1600&lt;&gt;"",M1600&lt;&gt;"",N1600&lt;&gt;"",ISNUMBER(O1600),O1600&gt;0,P1600&lt;&gt;""),"记录齐全","待补实测记录"))))))))))))</x:f>
      </x:c>
    </x:row>
  </x:sheetData>
  <x:conditionalFormatting sqref="U10:U1599">
    <x:cfRule type="containsText" dxfId="6" priority="1" operator="containsText" text="待补"/>
    <x:cfRule type="containsText" dxfId="7" priority="2" operator="containsText" text="重复"/>
    <x:cfRule type="containsText" dxfId="8" priority="3" operator="containsText" text="无效"/>
    <x:cfRule type="containsText" dxfId="9" priority="4" operator="containsText" text="冲突"/>
  </x:conditionalFormatting>
  <x:conditionalFormatting sqref="R10:T1599">
    <x:cfRule type="expression" dxfId="10" priority="5">
      <x:formula>AND($R10="已列全",OR($S10="",NOT(ISNUMBER($T10)),$T10&lt;=0))</x:formula>
    </x:cfRule>
  </x:conditionalFormatting>
  <x:dataValidations count="6">
    <x:dataValidation type="list" sqref="B10:B1599">
      <x:formula1>INDIRECT("Equipment[组合编号]")</x:formula1>
    </x:dataValidation>
    <x:dataValidation type="list" sqref="H10:H1599">
      <x:formula1>"待判定,适用,不适用"</x:formula1>
    </x:dataValidation>
    <x:dataValidation type="list" sqref="J10:J1599">
      <x:formula1>"未测试,已实测,阻塞"</x:formula1>
    </x:dataValidation>
    <x:dataValidation type="list" sqref="K10:K1599">
      <x:formula1>"支持,受限,不支持,未确定"</x:formula1>
    </x:dataValidation>
    <x:dataValidation type="list" sqref="N10:N1599">
      <x:formula1>"开发工程师,测试工程师,应用工程师,其他"</x:formula1>
    </x:dataValidation>
    <x:dataValidation type="list" sqref="R10:R1599">
      <x:formula1>"待展开,已列全,见主记录"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75c3dc48dd4935"/>
  </x:tableParts>
</x:worksheet>
</file>

<file path=xl/worksheets/sheet3.xml><?xml version="1.0" encoding="utf-8"?>
<x:worksheet xmlns:x="http://schemas.openxmlformats.org/spreadsheetml/2006/main">
  <x:sheetPr>
    <x:tabColor rgb="FF71899D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9.3799991607666" hidden="0" customWidth="1"/>
    <x:col min="4" max="4" width="41.25" hidden="0" customWidth="1"/>
    <x:col min="5" max="5" width="22.5" hidden="0" customWidth="1"/>
    <x:col min="6" max="6" width="29.3799991607666" hidden="0" customWidth="1"/>
    <x:col min="7" max="7" width="27.5" hidden="0" customWidth="1"/>
    <x:col min="8" max="8" width="20" hidden="0" customWidth="1"/>
    <x:col min="9" max="9" width="29.3799991607666" hidden="0" customWidth="1"/>
    <x:col min="10" max="10" width="25" hidden="0" customWidth="1"/>
    <x:col min="11" max="11" width="39.380001068115234" hidden="0" customWidth="1"/>
    <x:col min="12" max="12" width="19.379999160766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.5" customHeight="1">
      <x:c r="A2" s="3" t="str">
        <x:v>设备组合与测试条件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1" customHeight="1">
      <x:c r="A4" s="5" t="str">
        <x:v>每个组合编号对应固定驱动、PLC和软件版本。新型号/版本追加独立组合；预留编号仅用于登记。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5" t="str">
        <x:v>基线归档需包含硬件、序列号、电机/编码器、接线、台架和工程。没有资料或实机，不预填能力结论。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1" customHeight="1">
      <x:c r="A6" s="5" t="str">
        <x:v>新增记录时扩展Excel表格并复制上一行的公式和下拉。设备表新增组合请插入整行；组合编号和记录编号须唯一。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1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1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3" customHeight="1">
      <x:c r="A9" s="16" t="str">
        <x:v>组合编号</x:v>
      </x:c>
      <x:c r="B9" s="17" t="str">
        <x:v>PLC组</x:v>
      </x:c>
      <x:c r="C9" s="17" t="str">
        <x:v>驱动品牌</x:v>
      </x:c>
      <x:c r="D9" s="17" t="str">
        <x:v>驱动型号</x:v>
      </x:c>
      <x:c r="E9" s="17" t="str">
        <x:v>驱动固件</x:v>
      </x:c>
      <x:c r="F9" s="17" t="str">
        <x:v>ESI版本/校验标识</x:v>
      </x:c>
      <x:c r="G9" s="17" t="str">
        <x:v>PLC CPU/主站型号</x:v>
      </x:c>
      <x:c r="H9" s="17" t="str">
        <x:v>PLC固件</x:v>
      </x:c>
      <x:c r="I9" s="17" t="str">
        <x:v>工程软件版本</x:v>
      </x:c>
      <x:c r="J9" s="17" t="str">
        <x:v>运行时/运动库版本</x:v>
      </x:c>
      <x:c r="K9" s="17" t="str">
        <x:v>基线归档/资料位置</x:v>
      </x:c>
      <x:c r="L9" s="18" t="str">
        <x:v>登记状态（自动）</x:v>
      </x:c>
    </x:row>
    <x:row r="10" ht="43.5" customHeight="1">
      <x:c r="A10" s="20" t="str">
        <x:v>P1-B1-01</x:v>
      </x:c>
      <x:c r="B10" s="20" t="str">
        <x:v>汇川小型</x:v>
      </x:c>
      <x:c r="C10" s="20" t="str">
        <x:v>CDHD</x:v>
      </x:c>
      <x:c r="D10" s="20"/>
      <x:c r="E10" s="20"/>
      <x:c r="F10" s="20"/>
      <x:c r="G10" s="20"/>
      <x:c r="H10" s="20"/>
      <x:c r="I10" s="20"/>
      <x:c r="J10" s="20"/>
      <x:c r="K10" s="20"/>
      <x:c r="L10" s="19" t="str">
        <x:f>IF(A10="","",IF(COUNTIFS(Equipment[组合编号],A10)&lt;&gt;1,"编号重复",IF(AND(B10&lt;&gt;"",C10&lt;&gt;"",COUNTA(D10:K10)=8),"已登记","待补型号/版本")))</x:f>
        <x:v>待补型号/版本</x:v>
      </x:c>
    </x:row>
    <x:row r="11" ht="43.5" customHeight="1">
      <x:c r="A11" s="20" t="str">
        <x:v>P1-B2-01</x:v>
      </x:c>
      <x:c r="B11" s="20" t="str">
        <x:v>汇川小型</x:v>
      </x:c>
      <x:c r="C11" s="20" t="str">
        <x:v>台达</x:v>
      </x:c>
      <x:c r="D11" s="20"/>
      <x:c r="E11" s="20"/>
      <x:c r="F11" s="20"/>
      <x:c r="G11" s="20"/>
      <x:c r="H11" s="20"/>
      <x:c r="I11" s="20"/>
      <x:c r="J11" s="20"/>
      <x:c r="K11" s="20"/>
      <x:c r="L11" s="19" t="str">
        <x:f>IF(A11="","",IF(COUNTIFS(Equipment[组合编号],A11)&lt;&gt;1,"编号重复",IF(AND(B11&lt;&gt;"",C11&lt;&gt;"",COUNTA(D11:K11)=8),"已登记","待补型号/版本")))</x:f>
        <x:v>待补型号/版本</x:v>
      </x:c>
    </x:row>
    <x:row r="12" ht="43.5" customHeight="1">
      <x:c r="A12" s="20" t="str">
        <x:v>P1-B3-01</x:v>
      </x:c>
      <x:c r="B12" s="20" t="str">
        <x:v>汇川小型</x:v>
      </x:c>
      <x:c r="C12" s="20" t="str">
        <x:v>繁易</x:v>
      </x:c>
      <x:c r="D12" s="20"/>
      <x:c r="E12" s="20"/>
      <x:c r="F12" s="20"/>
      <x:c r="G12" s="20"/>
      <x:c r="H12" s="20"/>
      <x:c r="I12" s="20"/>
      <x:c r="J12" s="20"/>
      <x:c r="K12" s="20"/>
      <x:c r="L12" s="19" t="str">
        <x:f>IF(A12="","",IF(COUNTIFS(Equipment[组合编号],A12)&lt;&gt;1,"编号重复",IF(AND(B12&lt;&gt;"",C12&lt;&gt;"",COUNTA(D12:K12)=8),"已登记","待补型号/版本")))</x:f>
        <x:v>待补型号/版本</x:v>
      </x:c>
    </x:row>
    <x:row r="13" ht="43.5" customHeight="1">
      <x:c r="A13" s="20" t="str">
        <x:v>P1-B4-01</x:v>
      </x:c>
      <x:c r="B13" s="20" t="str">
        <x:v>汇川小型</x:v>
      </x:c>
      <x:c r="C13" s="20" t="str">
        <x:v>Elmo</x:v>
      </x:c>
      <x:c r="D13" s="20"/>
      <x:c r="E13" s="20"/>
      <x:c r="F13" s="20"/>
      <x:c r="G13" s="20"/>
      <x:c r="H13" s="20"/>
      <x:c r="I13" s="20"/>
      <x:c r="J13" s="20"/>
      <x:c r="K13" s="20"/>
      <x:c r="L13" s="19" t="str">
        <x:f>IF(A13="","",IF(COUNTIFS(Equipment[组合编号],A13)&lt;&gt;1,"编号重复",IF(AND(B13&lt;&gt;"",C13&lt;&gt;"",COUNTA(D13:K13)=8),"已登记","待补型号/版本")))</x:f>
        <x:v>待补型号/版本</x:v>
      </x:c>
    </x:row>
    <x:row r="14" ht="43.5" customHeight="1">
      <x:c r="A14" s="20" t="str">
        <x:v>P1-B5-01</x:v>
      </x:c>
      <x:c r="B14" s="20" t="str">
        <x:v>汇川小型</x:v>
      </x:c>
      <x:c r="C14" s="20" t="str">
        <x:v>KEBA（可选）</x:v>
      </x:c>
      <x:c r="D14" s="20"/>
      <x:c r="E14" s="20"/>
      <x:c r="F14" s="20"/>
      <x:c r="G14" s="20"/>
      <x:c r="H14" s="20"/>
      <x:c r="I14" s="20"/>
      <x:c r="J14" s="20"/>
      <x:c r="K14" s="20"/>
      <x:c r="L14" s="19" t="str">
        <x:f>IF(A14="","",IF(COUNTIFS(Equipment[组合编号],A14)&lt;&gt;1,"编号重复",IF(AND(B14&lt;&gt;"",C14&lt;&gt;"",COUNTA(D14:K14)=8),"已登记","待补型号/版本")))</x:f>
        <x:v>待补型号/版本</x:v>
      </x:c>
    </x:row>
    <x:row r="15" ht="43.5" customHeight="1">
      <x:c r="A15" s="20" t="str">
        <x:v>P2-B1-01</x:v>
      </x:c>
      <x:c r="B15" s="20" t="str">
        <x:v>汇川中大型</x:v>
      </x:c>
      <x:c r="C15" s="20" t="str">
        <x:v>CDHD</x:v>
      </x:c>
      <x:c r="D15" s="20"/>
      <x:c r="E15" s="20"/>
      <x:c r="F15" s="20"/>
      <x:c r="G15" s="20"/>
      <x:c r="H15" s="20"/>
      <x:c r="I15" s="20"/>
      <x:c r="J15" s="20"/>
      <x:c r="K15" s="20"/>
      <x:c r="L15" s="19" t="str">
        <x:f>IF(A15="","",IF(COUNTIFS(Equipment[组合编号],A15)&lt;&gt;1,"编号重复",IF(AND(B15&lt;&gt;"",C15&lt;&gt;"",COUNTA(D15:K15)=8),"已登记","待补型号/版本")))</x:f>
        <x:v>待补型号/版本</x:v>
      </x:c>
    </x:row>
    <x:row r="16" ht="43.5" customHeight="1">
      <x:c r="A16" s="20" t="str">
        <x:v>P2-B2-01</x:v>
      </x:c>
      <x:c r="B16" s="20" t="str">
        <x:v>汇川中大型</x:v>
      </x:c>
      <x:c r="C16" s="20" t="str">
        <x:v>台达</x:v>
      </x:c>
      <x:c r="D16" s="20"/>
      <x:c r="E16" s="20"/>
      <x:c r="F16" s="20"/>
      <x:c r="G16" s="20"/>
      <x:c r="H16" s="20"/>
      <x:c r="I16" s="20"/>
      <x:c r="J16" s="20"/>
      <x:c r="K16" s="20"/>
      <x:c r="L16" s="19" t="str">
        <x:f>IF(A16="","",IF(COUNTIFS(Equipment[组合编号],A16)&lt;&gt;1,"编号重复",IF(AND(B16&lt;&gt;"",C16&lt;&gt;"",COUNTA(D16:K16)=8),"已登记","待补型号/版本")))</x:f>
        <x:v>待补型号/版本</x:v>
      </x:c>
    </x:row>
    <x:row r="17" ht="43.5" customHeight="1">
      <x:c r="A17" s="20" t="str">
        <x:v>P2-B3-01</x:v>
      </x:c>
      <x:c r="B17" s="20" t="str">
        <x:v>汇川中大型</x:v>
      </x:c>
      <x:c r="C17" s="20" t="str">
        <x:v>繁易</x:v>
      </x:c>
      <x:c r="D17" s="20"/>
      <x:c r="E17" s="20"/>
      <x:c r="F17" s="20"/>
      <x:c r="G17" s="20"/>
      <x:c r="H17" s="20"/>
      <x:c r="I17" s="20"/>
      <x:c r="J17" s="20"/>
      <x:c r="K17" s="20"/>
      <x:c r="L17" s="19" t="str">
        <x:f>IF(A17="","",IF(COUNTIFS(Equipment[组合编号],A17)&lt;&gt;1,"编号重复",IF(AND(B17&lt;&gt;"",C17&lt;&gt;"",COUNTA(D17:K17)=8),"已登记","待补型号/版本")))</x:f>
        <x:v>待补型号/版本</x:v>
      </x:c>
    </x:row>
    <x:row r="18" ht="43.5" customHeight="1">
      <x:c r="A18" s="20" t="str">
        <x:v>P2-B4-01</x:v>
      </x:c>
      <x:c r="B18" s="20" t="str">
        <x:v>汇川中大型</x:v>
      </x:c>
      <x:c r="C18" s="20" t="str">
        <x:v>Elmo</x:v>
      </x:c>
      <x:c r="D18" s="20"/>
      <x:c r="E18" s="20"/>
      <x:c r="F18" s="20"/>
      <x:c r="G18" s="20"/>
      <x:c r="H18" s="20"/>
      <x:c r="I18" s="20"/>
      <x:c r="J18" s="20"/>
      <x:c r="K18" s="20"/>
      <x:c r="L18" s="19" t="str">
        <x:f>IF(A18="","",IF(COUNTIFS(Equipment[组合编号],A18)&lt;&gt;1,"编号重复",IF(AND(B18&lt;&gt;"",C18&lt;&gt;"",COUNTA(D18:K18)=8),"已登记","待补型号/版本")))</x:f>
        <x:v>待补型号/版本</x:v>
      </x:c>
    </x:row>
    <x:row r="19" ht="43.5" customHeight="1">
      <x:c r="A19" s="20" t="str">
        <x:v>P2-B5-01</x:v>
      </x:c>
      <x:c r="B19" s="20" t="str">
        <x:v>汇川中大型</x:v>
      </x:c>
      <x:c r="C19" s="20" t="str">
        <x:v>KEBA（可选）</x:v>
      </x:c>
      <x:c r="D19" s="20"/>
      <x:c r="E19" s="20"/>
      <x:c r="F19" s="20"/>
      <x:c r="G19" s="20"/>
      <x:c r="H19" s="20"/>
      <x:c r="I19" s="20"/>
      <x:c r="J19" s="20"/>
      <x:c r="K19" s="20"/>
      <x:c r="L19" s="19" t="str">
        <x:f>IF(A19="","",IF(COUNTIFS(Equipment[组合编号],A19)&lt;&gt;1,"编号重复",IF(AND(B19&lt;&gt;"",C19&lt;&gt;"",COUNTA(D19:K19)=8),"已登记","待补型号/版本")))</x:f>
        <x:v>待补型号/版本</x:v>
      </x:c>
    </x:row>
    <x:row r="20" ht="43.5" customHeight="1">
      <x:c r="A20" s="20" t="str">
        <x:v>P3-B1-01</x:v>
      </x:c>
      <x:c r="B20" s="20" t="str">
        <x:v>欧姆龙</x:v>
      </x:c>
      <x:c r="C20" s="20" t="str">
        <x:v>CDHD</x:v>
      </x:c>
      <x:c r="D20" s="20"/>
      <x:c r="E20" s="20"/>
      <x:c r="F20" s="20"/>
      <x:c r="G20" s="20"/>
      <x:c r="H20" s="20"/>
      <x:c r="I20" s="20"/>
      <x:c r="J20" s="20"/>
      <x:c r="K20" s="20"/>
      <x:c r="L20" s="19" t="str">
        <x:f>IF(A20="","",IF(COUNTIFS(Equipment[组合编号],A20)&lt;&gt;1,"编号重复",IF(AND(B20&lt;&gt;"",C20&lt;&gt;"",COUNTA(D20:K20)=8),"已登记","待补型号/版本")))</x:f>
        <x:v>待补型号/版本</x:v>
      </x:c>
    </x:row>
    <x:row r="21" ht="43.5" customHeight="1">
      <x:c r="A21" s="20" t="str">
        <x:v>P3-B2-01</x:v>
      </x:c>
      <x:c r="B21" s="20" t="str">
        <x:v>欧姆龙</x:v>
      </x:c>
      <x:c r="C21" s="20" t="str">
        <x:v>台达</x:v>
      </x:c>
      <x:c r="D21" s="20"/>
      <x:c r="E21" s="20"/>
      <x:c r="F21" s="20"/>
      <x:c r="G21" s="20"/>
      <x:c r="H21" s="20"/>
      <x:c r="I21" s="20"/>
      <x:c r="J21" s="20"/>
      <x:c r="K21" s="20"/>
      <x:c r="L21" s="19" t="str">
        <x:f>IF(A21="","",IF(COUNTIFS(Equipment[组合编号],A21)&lt;&gt;1,"编号重复",IF(AND(B21&lt;&gt;"",C21&lt;&gt;"",COUNTA(D21:K21)=8),"已登记","待补型号/版本")))</x:f>
        <x:v>待补型号/版本</x:v>
      </x:c>
    </x:row>
    <x:row r="22" ht="43.5" customHeight="1">
      <x:c r="A22" s="20" t="str">
        <x:v>P3-B3-01</x:v>
      </x:c>
      <x:c r="B22" s="20" t="str">
        <x:v>欧姆龙</x:v>
      </x:c>
      <x:c r="C22" s="20" t="str">
        <x:v>繁易</x:v>
      </x:c>
      <x:c r="D22" s="20"/>
      <x:c r="E22" s="20"/>
      <x:c r="F22" s="20"/>
      <x:c r="G22" s="20"/>
      <x:c r="H22" s="20"/>
      <x:c r="I22" s="20"/>
      <x:c r="J22" s="20"/>
      <x:c r="K22" s="20"/>
      <x:c r="L22" s="19" t="str">
        <x:f>IF(A22="","",IF(COUNTIFS(Equipment[组合编号],A22)&lt;&gt;1,"编号重复",IF(AND(B22&lt;&gt;"",C22&lt;&gt;"",COUNTA(D22:K22)=8),"已登记","待补型号/版本")))</x:f>
        <x:v>待补型号/版本</x:v>
      </x:c>
    </x:row>
    <x:row r="23" ht="43.5" customHeight="1">
      <x:c r="A23" s="20" t="str">
        <x:v>P3-B4-01</x:v>
      </x:c>
      <x:c r="B23" s="20" t="str">
        <x:v>欧姆龙</x:v>
      </x:c>
      <x:c r="C23" s="20" t="str">
        <x:v>Elmo</x:v>
      </x:c>
      <x:c r="D23" s="20"/>
      <x:c r="E23" s="20"/>
      <x:c r="F23" s="20"/>
      <x:c r="G23" s="20"/>
      <x:c r="H23" s="20"/>
      <x:c r="I23" s="20"/>
      <x:c r="J23" s="20"/>
      <x:c r="K23" s="20"/>
      <x:c r="L23" s="19" t="str">
        <x:f>IF(A23="","",IF(COUNTIFS(Equipment[组合编号],A23)&lt;&gt;1,"编号重复",IF(AND(B23&lt;&gt;"",C23&lt;&gt;"",COUNTA(D23:K23)=8),"已登记","待补型号/版本")))</x:f>
        <x:v>待补型号/版本</x:v>
      </x:c>
    </x:row>
    <x:row r="24" ht="43.5" customHeight="1">
      <x:c r="A24" s="20" t="str">
        <x:v>P3-B5-01</x:v>
      </x:c>
      <x:c r="B24" s="20" t="str">
        <x:v>欧姆龙</x:v>
      </x:c>
      <x:c r="C24" s="20" t="str">
        <x:v>KEBA（可选）</x:v>
      </x:c>
      <x:c r="D24" s="20"/>
      <x:c r="E24" s="20"/>
      <x:c r="F24" s="20"/>
      <x:c r="G24" s="20"/>
      <x:c r="H24" s="20"/>
      <x:c r="I24" s="20"/>
      <x:c r="J24" s="20"/>
      <x:c r="K24" s="20"/>
      <x:c r="L24" s="19" t="str">
        <x:f>IF(A24="","",IF(COUNTIFS(Equipment[组合编号],A24)&lt;&gt;1,"编号重复",IF(AND(B24&lt;&gt;"",C24&lt;&gt;"",COUNTA(D24:K24)=8),"已登记","待补型号/版本")))</x:f>
        <x:v>待补型号/版本</x:v>
      </x:c>
    </x:row>
    <x:row r="25" ht="21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33" customHeight="1">
      <x:c r="A28" s="16" t="str">
        <x:v>组合编号</x:v>
      </x:c>
      <x:c r="B28" s="17" t="str">
        <x:v>测试条件编号</x:v>
      </x:c>
      <x:c r="C28" s="17" t="str">
        <x:v>总线周期（ms）</x:v>
      </x:c>
      <x:c r="D28" s="17" t="str">
        <x:v>模式/PDO/轴数/拓扑/负载/接线</x:v>
      </x:c>
      <x:c r="E28" s="17" t="str">
        <x:v>持续运行（h）</x:v>
      </x:c>
      <x:c r="F28" s="17" t="str">
        <x:v>重复次数</x:v>
      </x:c>
      <x:c r="G28" s="17" t="str">
        <x:v>判据文件/版本</x:v>
      </x:c>
      <x:c r="H28" s="18" t="str">
        <x:v>测量设备/采样条件</x:v>
      </x:c>
      <x:c r="I28" s="2"/>
      <x:c r="J28" s="2"/>
      <x:c r="K28" s="2"/>
      <x:c r="L28" s="2"/>
    </x:row>
    <x:row r="29" ht="48" customHeight="1">
      <x:c r="A29" s="20" t="str">
        <x:v>P1-B1-01</x:v>
      </x:c>
      <x:c r="B29" s="20"/>
      <x:c r="C29" s="27"/>
      <x:c r="D29" s="20"/>
      <x:c r="E29" s="28"/>
      <x:c r="F29" s="29"/>
      <x:c r="G29" s="20"/>
      <x:c r="H29" s="20"/>
      <x:c r="I29" s="2"/>
      <x:c r="J29" s="2"/>
      <x:c r="K29" s="2"/>
      <x:c r="L29" s="2"/>
    </x:row>
    <x:row r="30" ht="48" customHeight="1">
      <x:c r="A30" s="20" t="str">
        <x:v>P1-B2-01</x:v>
      </x:c>
      <x:c r="B30" s="20"/>
      <x:c r="C30" s="27"/>
      <x:c r="D30" s="20"/>
      <x:c r="E30" s="28"/>
      <x:c r="F30" s="29"/>
      <x:c r="G30" s="20"/>
      <x:c r="H30" s="20"/>
      <x:c r="I30" s="2"/>
      <x:c r="J30" s="2"/>
      <x:c r="K30" s="2"/>
      <x:c r="L30" s="2"/>
    </x:row>
    <x:row r="31" ht="48" customHeight="1">
      <x:c r="A31" s="20" t="str">
        <x:v>P1-B3-01</x:v>
      </x:c>
      <x:c r="B31" s="20"/>
      <x:c r="C31" s="27"/>
      <x:c r="D31" s="20"/>
      <x:c r="E31" s="28"/>
      <x:c r="F31" s="29"/>
      <x:c r="G31" s="20"/>
      <x:c r="H31" s="20"/>
      <x:c r="I31" s="2"/>
      <x:c r="J31" s="2"/>
      <x:c r="K31" s="2"/>
      <x:c r="L31" s="2"/>
    </x:row>
    <x:row r="32" ht="48" customHeight="1">
      <x:c r="A32" s="20" t="str">
        <x:v>P1-B4-01</x:v>
      </x:c>
      <x:c r="B32" s="20"/>
      <x:c r="C32" s="27"/>
      <x:c r="D32" s="20"/>
      <x:c r="E32" s="28"/>
      <x:c r="F32" s="29"/>
      <x:c r="G32" s="20"/>
      <x:c r="H32" s="20"/>
      <x:c r="I32" s="2"/>
      <x:c r="J32" s="2"/>
      <x:c r="K32" s="2"/>
      <x:c r="L32" s="2"/>
    </x:row>
    <x:row r="33" ht="48" customHeight="1">
      <x:c r="A33" s="20" t="str">
        <x:v>P1-B5-01</x:v>
      </x:c>
      <x:c r="B33" s="20"/>
      <x:c r="C33" s="27"/>
      <x:c r="D33" s="20"/>
      <x:c r="E33" s="28"/>
      <x:c r="F33" s="29"/>
      <x:c r="G33" s="20"/>
      <x:c r="H33" s="20"/>
      <x:c r="I33" s="2"/>
      <x:c r="J33" s="2"/>
      <x:c r="K33" s="2"/>
      <x:c r="L33" s="2"/>
    </x:row>
    <x:row r="34" ht="48" customHeight="1">
      <x:c r="A34" s="20" t="str">
        <x:v>P2-B1-01</x:v>
      </x:c>
      <x:c r="B34" s="20"/>
      <x:c r="C34" s="27"/>
      <x:c r="D34" s="20"/>
      <x:c r="E34" s="28"/>
      <x:c r="F34" s="29"/>
      <x:c r="G34" s="20"/>
      <x:c r="H34" s="20"/>
      <x:c r="I34" s="2"/>
      <x:c r="J34" s="2"/>
      <x:c r="K34" s="2"/>
      <x:c r="L34" s="2"/>
    </x:row>
    <x:row r="35" ht="48" customHeight="1">
      <x:c r="A35" s="20" t="str">
        <x:v>P2-B2-01</x:v>
      </x:c>
      <x:c r="B35" s="20"/>
      <x:c r="C35" s="27"/>
      <x:c r="D35" s="20"/>
      <x:c r="E35" s="28"/>
      <x:c r="F35" s="29"/>
      <x:c r="G35" s="20"/>
      <x:c r="H35" s="20"/>
      <x:c r="I35" s="2"/>
      <x:c r="J35" s="2"/>
      <x:c r="K35" s="2"/>
      <x:c r="L35" s="2"/>
    </x:row>
    <x:row r="36" ht="48" customHeight="1">
      <x:c r="A36" s="20" t="str">
        <x:v>P2-B3-01</x:v>
      </x:c>
      <x:c r="B36" s="20"/>
      <x:c r="C36" s="27"/>
      <x:c r="D36" s="20"/>
      <x:c r="E36" s="28"/>
      <x:c r="F36" s="29"/>
      <x:c r="G36" s="20"/>
      <x:c r="H36" s="20"/>
      <x:c r="I36" s="2"/>
      <x:c r="J36" s="2"/>
      <x:c r="K36" s="2"/>
      <x:c r="L36" s="2"/>
    </x:row>
    <x:row r="37" ht="48" customHeight="1">
      <x:c r="A37" s="20" t="str">
        <x:v>P2-B4-01</x:v>
      </x:c>
      <x:c r="B37" s="20"/>
      <x:c r="C37" s="27"/>
      <x:c r="D37" s="20"/>
      <x:c r="E37" s="28"/>
      <x:c r="F37" s="29"/>
      <x:c r="G37" s="20"/>
      <x:c r="H37" s="20"/>
      <x:c r="I37" s="2"/>
      <x:c r="J37" s="2"/>
      <x:c r="K37" s="2"/>
      <x:c r="L37" s="2"/>
    </x:row>
    <x:row r="38" ht="48" customHeight="1">
      <x:c r="A38" s="20" t="str">
        <x:v>P2-B5-01</x:v>
      </x:c>
      <x:c r="B38" s="20"/>
      <x:c r="C38" s="27"/>
      <x:c r="D38" s="20"/>
      <x:c r="E38" s="28"/>
      <x:c r="F38" s="29"/>
      <x:c r="G38" s="20"/>
      <x:c r="H38" s="20"/>
      <x:c r="I38" s="2"/>
      <x:c r="J38" s="2"/>
      <x:c r="K38" s="2"/>
      <x:c r="L38" s="2"/>
    </x:row>
    <x:row r="39" ht="48" customHeight="1">
      <x:c r="A39" s="20" t="str">
        <x:v>P3-B1-01</x:v>
      </x:c>
      <x:c r="B39" s="20"/>
      <x:c r="C39" s="27"/>
      <x:c r="D39" s="20"/>
      <x:c r="E39" s="28"/>
      <x:c r="F39" s="29"/>
      <x:c r="G39" s="20"/>
      <x:c r="H39" s="20"/>
      <x:c r="I39" s="2"/>
      <x:c r="J39" s="2"/>
      <x:c r="K39" s="2"/>
      <x:c r="L39" s="2"/>
    </x:row>
    <x:row r="40" ht="48" customHeight="1">
      <x:c r="A40" s="20" t="str">
        <x:v>P3-B2-01</x:v>
      </x:c>
      <x:c r="B40" s="20"/>
      <x:c r="C40" s="27"/>
      <x:c r="D40" s="20"/>
      <x:c r="E40" s="28"/>
      <x:c r="F40" s="29"/>
      <x:c r="G40" s="20"/>
      <x:c r="H40" s="20"/>
      <x:c r="I40" s="2"/>
      <x:c r="J40" s="2"/>
      <x:c r="K40" s="2"/>
      <x:c r="L40" s="2"/>
    </x:row>
    <x:row r="41" ht="48" customHeight="1">
      <x:c r="A41" s="20" t="str">
        <x:v>P3-B3-01</x:v>
      </x:c>
      <x:c r="B41" s="20"/>
      <x:c r="C41" s="27"/>
      <x:c r="D41" s="20"/>
      <x:c r="E41" s="28"/>
      <x:c r="F41" s="29"/>
      <x:c r="G41" s="20"/>
      <x:c r="H41" s="20"/>
      <x:c r="I41" s="2"/>
      <x:c r="J41" s="2"/>
      <x:c r="K41" s="2"/>
      <x:c r="L41" s="2"/>
    </x:row>
    <x:row r="42" ht="48" customHeight="1">
      <x:c r="A42" s="20" t="str">
        <x:v>P3-B4-01</x:v>
      </x:c>
      <x:c r="B42" s="20"/>
      <x:c r="C42" s="27"/>
      <x:c r="D42" s="20"/>
      <x:c r="E42" s="28"/>
      <x:c r="F42" s="29"/>
      <x:c r="G42" s="20"/>
      <x:c r="H42" s="20"/>
      <x:c r="I42" s="2"/>
      <x:c r="J42" s="2"/>
      <x:c r="K42" s="2"/>
      <x:c r="L42" s="2"/>
    </x:row>
    <x:row r="43" ht="48" customHeight="1">
      <x:c r="A43" s="20" t="str">
        <x:v>P3-B5-01</x:v>
      </x:c>
      <x:c r="B43" s="20"/>
      <x:c r="C43" s="27"/>
      <x:c r="D43" s="20"/>
      <x:c r="E43" s="28"/>
      <x:c r="F43" s="29"/>
      <x:c r="G43" s="20"/>
      <x:c r="H43" s="20"/>
      <x:c r="I43" s="2"/>
      <x:c r="J43" s="2"/>
      <x:c r="K43" s="2"/>
      <x:c r="L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1" customHeight="1">
      <x:c r="A45" s="5" t="str">
        <x:v>一组设备可有多组测试条件。每条实测记录在“覆盖分支/条件编号”关联实际条件；数值留空表示尚未确定。</x:v>
      </x:c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33" customHeight="1">
      <x:c r="A48" s="16" t="str">
        <x:v>路径编号</x:v>
      </x:c>
      <x:c r="B48" s="17" t="str">
        <x:v>使用路径</x:v>
      </x:c>
      <x:c r="C48" s="17" t="str">
        <x:v>路径维度</x:v>
      </x:c>
      <x:c r="D48" s="18" t="str">
        <x:v>覆盖分支</x:v>
      </x:c>
      <x:c r="E48" s="2"/>
      <x:c r="F48" s="2"/>
      <x:c r="G48" s="2"/>
      <x:c r="H48" s="2"/>
      <x:c r="I48" s="2"/>
      <x:c r="J48" s="2"/>
      <x:c r="K48" s="2"/>
      <x:c r="L48" s="2"/>
    </x:row>
    <x:row r="49" ht="58.5" customHeight="1">
      <x:c r="A49" s="19" t="str">
        <x:v>E01</x:v>
      </x:c>
      <x:c r="B49" s="19" t="str">
        <x:v>XML / ESI导入与更新</x:v>
      </x:c>
      <x:c r="C49" s="19" t="str">
        <x:v>配置入口</x:v>
      </x:c>
      <x:c r="D49" s="19" t="str">
        <x:v>正式文件能否导入、正确显示型号/版本/PDO/同步等信息；旧新版本并存、替换和工程重新打开后的选择及解析结果</x:v>
      </x:c>
      <x:c r="E49" s="2"/>
      <x:c r="F49" s="2"/>
      <x:c r="G49" s="2"/>
      <x:c r="H49" s="2"/>
      <x:c r="I49" s="2"/>
      <x:c r="J49" s="2"/>
      <x:c r="K49" s="2"/>
      <x:c r="L49" s="2"/>
    </x:row>
    <x:row r="50" ht="58.5" customHeight="1">
      <x:c r="A50" s="19" t="str">
        <x:v>E02</x:v>
      </x:c>
      <x:c r="B50" s="19" t="str">
        <x:v>离线建站与在线扫描</x:v>
      </x:c>
      <x:c r="C50" s="19" t="str">
        <x:v>配置入口</x:v>
      </x:c>
      <x:c r="D50" s="19" t="str">
        <x:v>离线选型建站、在线扫描识别、扫描结果与已有工程匹配；缺少正式ESI时平台实际提供的识别/回退能力及限制</x:v>
      </x:c>
      <x:c r="E50" s="2"/>
      <x:c r="F50" s="2"/>
      <x:c r="G50" s="2"/>
      <x:c r="H50" s="2"/>
      <x:c r="I50" s="2"/>
      <x:c r="J50" s="2"/>
      <x:c r="K50" s="2"/>
      <x:c r="L50" s="2"/>
    </x:row>
    <x:row r="51" ht="58.5" customHeight="1">
      <x:c r="A51" s="19" t="str">
        <x:v>E03</x:v>
      </x:c>
      <x:c r="B51" s="19" t="str">
        <x:v>PLC轴创建与驱动绑定</x:v>
      </x:c>
      <x:c r="C51" s="19" t="str">
        <x:v>轴适配</x:v>
      </x:c>
      <x:c r="D51" s="19" t="str">
        <x:v>平台原生驱动适配、通用CiA402轴、厂家模板等实际入口，轴与设备/PDO绑定、默认配置及反馈是否正确</x:v>
      </x:c>
      <x:c r="E51" s="2"/>
      <x:c r="F51" s="2"/>
      <x:c r="G51" s="2"/>
      <x:c r="H51" s="2"/>
      <x:c r="I51" s="2"/>
      <x:c r="J51" s="2"/>
      <x:c r="K51" s="2"/>
      <x:c r="L51" s="2"/>
    </x:row>
    <x:row r="52" ht="58.5" customHeight="1">
      <x:c r="A52" s="19" t="str">
        <x:v>E04</x:v>
      </x:c>
      <x:c r="B52" s="19" t="str">
        <x:v>运动库与厂家功能块</x:v>
      </x:c>
      <x:c r="C52" s="19" t="str">
        <x:v>控制方式</x:v>
      </x:c>
      <x:c r="D52" s="19" t="str">
        <x:v>PLC标准运动库、厂家专用库及示例工程实际可调用哪些运动/参数/诊断功能，命令接受、执行、完成、中断和错误反馈是否可用</x:v>
      </x:c>
      <x:c r="E52" s="2"/>
      <x:c r="F52" s="2"/>
      <x:c r="G52" s="2"/>
      <x:c r="H52" s="2"/>
      <x:c r="I52" s="2"/>
      <x:c r="J52" s="2"/>
      <x:c r="K52" s="2"/>
      <x:c r="L52" s="2"/>
    </x:row>
    <x:row r="53" ht="58.5" customHeight="1">
      <x:c r="A53" s="19" t="str">
        <x:v>E05</x:v>
      </x:c>
      <x:c r="B53" s="19" t="str">
        <x:v>直接PDO / 对象控制</x:v>
      </x:c>
      <x:c r="C53" s="19" t="str">
        <x:v>控制方式</x:v>
      </x:c>
      <x:c r="D53" s="19" t="str">
        <x:v>不经运动库时，通过程序直接处理控制字、状态字、模式和目标/反馈，能否完成适用功能并处理异常；明确与轴库并存限制</x:v>
      </x:c>
      <x:c r="E53" s="2"/>
      <x:c r="F53" s="2"/>
      <x:c r="G53" s="2"/>
      <x:c r="H53" s="2"/>
      <x:c r="I53" s="2"/>
      <x:c r="J53" s="2"/>
      <x:c r="K53" s="2"/>
      <x:c r="L53" s="2"/>
    </x:row>
    <x:row r="54" ht="58.5" customHeight="1">
      <x:c r="A54" s="19" t="str">
        <x:v>E06</x:v>
      </x:c>
      <x:c r="B54" s="19" t="str">
        <x:v>ST程序</x:v>
      </x:c>
      <x:c r="C54" s="19" t="str">
        <x:v>程序语言</x:v>
      </x:c>
      <x:c r="D54" s="19" t="str">
        <x:v>经ST实际调用运动、参数访问与诊断功能；触发、连续更新、中断及复位的实际表现，不能沿用其他语言的测试结果</x:v>
      </x:c>
      <x:c r="E54" s="2"/>
      <x:c r="F54" s="2"/>
      <x:c r="G54" s="2"/>
      <x:c r="H54" s="2"/>
      <x:c r="I54" s="2"/>
      <x:c r="J54" s="2"/>
      <x:c r="K54" s="2"/>
      <x:c r="L54" s="2"/>
    </x:row>
    <x:row r="55" ht="58.5" customHeight="1">
      <x:c r="A55" s="19" t="str">
        <x:v>E07</x:v>
      </x:c>
      <x:c r="B55" s="19" t="str">
        <x:v>梯形图程序</x:v>
      </x:c>
      <x:c r="C55" s="19" t="str">
        <x:v>程序语言</x:v>
      </x:c>
      <x:c r="D55" s="19" t="str">
        <x:v>经梯形图实际调用对应功能；触点保持、单次触发、重复触发及多功能块调用时的执行/反馈表现，独立留证</x:v>
      </x:c>
      <x:c r="E55" s="2"/>
      <x:c r="F55" s="2"/>
      <x:c r="G55" s="2"/>
      <x:c r="H55" s="2"/>
      <x:c r="I55" s="2"/>
      <x:c r="J55" s="2"/>
      <x:c r="K55" s="2"/>
      <x:c r="L55" s="2"/>
    </x:row>
    <x:row r="56" ht="58.5" customHeight="1">
      <x:c r="A56" s="19" t="str">
        <x:v>E08</x:v>
      </x:c>
      <x:c r="B56" s="19" t="str">
        <x:v>其他可用编程入口</x:v>
      </x:c>
      <x:c r="C56" s="19" t="str">
        <x:v>程序语言/顺序</x:v>
      </x:c>
      <x:c r="D56" s="19" t="str">
        <x:v>平台实际提供的FBD/CFC、SFC等图形或顺序编程入口，适用功能的调用及动作衔接；与所调用的ST/梯形图等程序组合记录</x:v>
      </x:c>
      <x:c r="E56" s="2"/>
      <x:c r="F56" s="2"/>
      <x:c r="G56" s="2"/>
      <x:c r="H56" s="2"/>
      <x:c r="I56" s="2"/>
      <x:c r="J56" s="2"/>
      <x:c r="K56" s="2"/>
      <x:c r="L56" s="2"/>
    </x:row>
    <x:row r="57" ht="58.5" customHeight="1">
      <x:c r="A57" s="19" t="str">
        <x:v>E09</x:v>
      </x:c>
      <x:c r="B57" s="19" t="str">
        <x:v>PLC调试与在线监视界面</x:v>
      </x:c>
      <x:c r="C57" s="19" t="str">
        <x:v>操作入口</x:v>
      </x:c>
      <x:c r="D57" s="19" t="str">
        <x:v>轴调试、点动/定位、使能/复位、在线变量监视/写入等实际入口可完成哪些功能，显示是否正确及与程序控制的交接</x:v>
      </x:c>
      <x:c r="E57" s="2"/>
      <x:c r="F57" s="2"/>
      <x:c r="G57" s="2"/>
      <x:c r="H57" s="2"/>
      <x:c r="I57" s="2"/>
      <x:c r="J57" s="2"/>
      <x:c r="K57" s="2"/>
      <x:c r="L57" s="2"/>
    </x:row>
    <x:row r="58" ht="58.5" customHeight="1">
      <x:c r="A58" s="19" t="str">
        <x:v>E10</x:v>
      </x:c>
      <x:c r="B58" s="19" t="str">
        <x:v>参数访问入口</x:v>
      </x:c>
      <x:c r="C58" s="19" t="str">
        <x:v>参数入口</x:v>
      </x:c>
      <x:c r="D58" s="19" t="str">
        <x:v>启动参数列表、ST/梯形图中的SDO功能块、在线对象浏览器等分别验证读写/反馈；入口并存和覆盖结果关联D组、P组</x:v>
      </x:c>
      <x:c r="E58" s="2"/>
      <x:c r="F58" s="2"/>
      <x:c r="G58" s="2"/>
      <x:c r="H58" s="2"/>
      <x:c r="I58" s="2"/>
      <x:c r="J58" s="2"/>
      <x:c r="K58" s="2"/>
      <x:c r="L58" s="2"/>
    </x:row>
    <x:row r="59" ht="58.5" customHeight="1">
      <x:c r="A59" s="19" t="str">
        <x:v>E11</x:v>
      </x:c>
      <x:c r="B59" s="19" t="str">
        <x:v>厂家调试软件接入</x:v>
      </x:c>
      <x:c r="C59" s="19" t="str">
        <x:v>工具/传输接口</x:v>
      </x:c>
      <x:c r="D59" s="19" t="str">
        <x:v>软件直连、经主站转接、EoE等实际可用路径的连接、配置、监视及与PLC并存能力；记录实际接口和主站依赖</x:v>
      </x:c>
      <x:c r="E59" s="2"/>
      <x:c r="F59" s="2"/>
      <x:c r="G59" s="2"/>
      <x:c r="H59" s="2"/>
      <x:c r="I59" s="2"/>
      <x:c r="J59" s="2"/>
      <x:c r="K59" s="2"/>
      <x:c r="L59" s="2"/>
    </x:row>
    <x:row r="60" ht="58.5" customHeight="1">
      <x:c r="A60" s="19" t="str">
        <x:v>E12</x:v>
      </x:c>
      <x:c r="B60" s="19" t="str">
        <x:v>HMI与自动运行入口</x:v>
      </x:c>
      <x:c r="C60" s="19" t="str">
        <x:v>应用触发</x:v>
      </x:c>
      <x:c r="D60" s="19" t="str">
        <x:v>HMI按钮/配方、自动程序触发适用运动及参数功能，状态/错误能否传回，手动与自动切换及入口冲突如何处理</x:v>
      </x:c>
      <x:c r="E60" s="2"/>
      <x:c r="F60" s="2"/>
      <x:c r="G60" s="2"/>
      <x:c r="H60" s="2"/>
      <x:c r="I60" s="2"/>
      <x:c r="J60" s="2"/>
      <x:c r="K60" s="2"/>
      <x:c r="L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1" customHeight="1">
      <x:c r="A62" s="5" t="str">
        <x:v>组合示例：E01＋E03＋E04＋E06；梯形图组合另留记录。E11必须说明实际接口，USB成功不等于EtherCAT成功。</x:v>
      </x:c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33" customHeight="1">
      <x:c r="A65" s="16" t="str">
        <x:v>类别</x:v>
      </x:c>
      <x:c r="B65" s="17" t="str">
        <x:v>关联范围</x:v>
      </x:c>
      <x:c r="C65" s="17" t="str">
        <x:v>说明</x:v>
      </x:c>
      <x:c r="D65" s="18" t="str">
        <x:v>内容</x:v>
      </x:c>
      <x:c r="E65" s="2"/>
      <x:c r="F65" s="2"/>
      <x:c r="G65" s="2"/>
      <x:c r="H65" s="2"/>
      <x:c r="I65" s="2"/>
      <x:c r="J65" s="2"/>
      <x:c r="K65" s="2"/>
      <x:c r="L65" s="2"/>
    </x:row>
    <x:row r="66" ht="52.5" customHeight="1">
      <x:c r="A66" s="19" t="str">
        <x:v>路径展开</x:v>
      </x:c>
      <x:c r="B66" s="19" t="str">
        <x:v>全部适用组合</x:v>
      </x:c>
      <x:c r="C66" s="19" t="str">
        <x:v>待展开不算覆盖</x:v>
      </x:c>
      <x:c r="D66" s="19" t="str">
        <x:v>每个组合/功能先留一条占位。按适用入口组合及模式、异常等分支分别记录；只完成一种入口时，整项仍未测完。</x:v>
      </x:c>
      <x:c r="E66" s="2"/>
      <x:c r="F66" s="2"/>
      <x:c r="G66" s="2"/>
      <x:c r="H66" s="2"/>
      <x:c r="I66" s="2"/>
      <x:c r="J66" s="2"/>
      <x:c r="K66" s="2"/>
      <x:c r="L66" s="2"/>
    </x:row>
    <x:row r="67" ht="52.5" customHeight="1">
      <x:c r="A67" s="19" t="str">
        <x:v>路径清单确认</x:v>
      </x:c>
      <x:c r="B67" s="19" t="str">
        <x:v>每个组合/功能</x:v>
      </x:c>
      <x:c r="C67" s="19" t="str">
        <x:v>人工确认</x:v>
      </x:c>
      <x:c r="D67" s="19" t="str">
        <x:v>全部路径/分支列全后，在该组合/功能的一条主记录填写“已列全”、确认人和日期。此标记只确认计划完整，不代表测试完成。</x:v>
      </x:c>
      <x:c r="E67" s="2"/>
      <x:c r="F67" s="2"/>
      <x:c r="G67" s="2"/>
      <x:c r="H67" s="2"/>
      <x:c r="I67" s="2"/>
      <x:c r="J67" s="2"/>
      <x:c r="K67" s="2"/>
      <x:c r="L67" s="2"/>
    </x:row>
    <x:row r="68" ht="52.5" customHeight="1">
      <x:c r="A68" s="19" t="str">
        <x:v>品牌勾选</x:v>
      </x:c>
      <x:c r="B68" s="19" t="str">
        <x:v>每个PLC/品牌/功能</x:v>
      </x:c>
      <x:c r="C68" s="19" t="str">
        <x:v>人工确认</x:v>
      </x:c>
      <x:c r="D68" s="19" t="str">
        <x:v>检查全部登记设备组合、路径清单及每条结果和证据后，再选择主表状态。不适用需依据，阻塞需原因，资料确认不算实测。</x:v>
      </x:c>
      <x:c r="E68" s="2"/>
      <x:c r="F68" s="2"/>
      <x:c r="G68" s="2"/>
      <x:c r="H68" s="2"/>
      <x:c r="I68" s="2"/>
      <x:c r="J68" s="2"/>
      <x:c r="K68" s="2"/>
      <x:c r="L68" s="2"/>
    </x:row>
    <x:row r="69" ht="48.75" customHeight="1">
      <x:c r="A69" s="19" t="str">
        <x:v>实测结论</x:v>
      </x:c>
      <x:c r="B69" s="19" t="str">
        <x:v>与执行状态分开</x:v>
      </x:c>
      <x:c r="C69" s="19" t="str">
        <x:v>支持/受限/不支持</x:v>
      </x:c>
      <x:c r="D69" s="19" t="str">
        <x:v>上机确认不支持也属于实测。查手册得出的不支持写依据，执行状态保持未测试，不作为实测证据。</x:v>
      </x:c>
      <x:c r="E69" s="2"/>
      <x:c r="F69" s="2"/>
      <x:c r="G69" s="2"/>
      <x:c r="H69" s="2"/>
      <x:c r="I69" s="2"/>
      <x:c r="J69" s="2"/>
      <x:c r="K69" s="2"/>
      <x:c r="L69" s="2"/>
    </x:row>
    <x:row r="70" ht="52.5" customHeight="1">
      <x:c r="A70" s="19" t="str">
        <x:v>记录检查</x:v>
      </x:c>
      <x:c r="B70" s="19" t="str">
        <x:v>自动字段</x:v>
      </x:c>
      <x:c r="C70" s="19" t="str">
        <x:v>完整性提示</x:v>
      </x:c>
      <x:c r="D70" s="19" t="str">
        <x:v>检查设备登记、记录编号、路径/条件、人员/岗位、Excel日期、实际表现和证据。记录齐全只说明字段齐全，不能验证证据真假或穷尽覆盖。</x:v>
      </x:c>
      <x:c r="E70" s="2"/>
      <x:c r="F70" s="2"/>
      <x:c r="G70" s="2"/>
      <x:c r="H70" s="2"/>
      <x:c r="I70" s="2"/>
      <x:c r="J70" s="2"/>
      <x:c r="K70" s="2"/>
      <x:c r="L70" s="2"/>
    </x:row>
    <x:row r="71" ht="48.75" customHeight="1">
      <x:c r="A71" s="19" t="str">
        <x:v>判据</x:v>
      </x:c>
      <x:c r="B71" s="19" t="str">
        <x:v>按条件编号</x:v>
      </x:c>
      <x:c r="C71" s="19" t="str">
        <x:v>待填写</x:v>
      </x:c>
      <x:c r="D71" s="19" t="str">
        <x:v>时间/距离/误差等均注明单位、起止点和测量方法。未定判据可记录真实表现，不能宣称验收达标。</x:v>
      </x:c>
      <x:c r="E71" s="2"/>
      <x:c r="F71" s="2"/>
      <x:c r="G71" s="2"/>
      <x:c r="H71" s="2"/>
      <x:c r="I71" s="2"/>
      <x:c r="J71" s="2"/>
      <x:c r="K71" s="2"/>
      <x:c r="L71" s="2"/>
    </x:row>
    <x:row r="72" ht="52.5" customHeight="1">
      <x:c r="A72" s="19" t="str">
        <x:v>扩展记录</x:v>
      </x:c>
      <x:c r="B72" s="19" t="str">
        <x:v>追加Excel表格行</x:v>
      </x:c>
      <x:c r="C72" s="19" t="str">
        <x:v>保留历史</x:v>
      </x:c>
      <x:c r="D72" s="19" t="str">
        <x:v>同一功能多路径、不同设备版本或复测均追加新记录和唯一编号。复制完整行保留公式/下拉，修改组合、编号、路径等，清空旧实测内容。</x:v>
      </x:c>
      <x:c r="E72" s="2"/>
      <x:c r="F72" s="2"/>
      <x:c r="G72" s="2"/>
      <x:c r="H72" s="2"/>
      <x:c r="I72" s="2"/>
      <x:c r="J72" s="2"/>
      <x:c r="K72" s="2"/>
      <x:c r="L72" s="2"/>
    </x:row>
    <x:row r="73" ht="52.5" customHeight="1">
      <x:c r="A73" s="19" t="str">
        <x:v>初始状态</x:v>
      </x:c>
      <x:c r="B73" s="19" t="str">
        <x:v>空白模板</x:v>
      </x:c>
      <x:c r="C73" s="19" t="str">
        <x:v>未测试</x:v>
      </x:c>
      <x:c r="D73" s="19" t="str">
        <x:v>三组PLC × 五品牌预留15个组合、1590条待展开记录。KEBA可选；具体型号未确定，所有品牌格均未测试。</x:v>
      </x:c>
      <x:c r="E73" s="2"/>
      <x:c r="F73" s="2"/>
      <x:c r="G73" s="2"/>
      <x:c r="H73" s="2"/>
      <x:c r="I73" s="2"/>
      <x:c r="J73" s="2"/>
      <x:c r="K73" s="2"/>
      <x:c r="L73" s="2"/>
    </x:row>
    <x:row r="74" ht="52.5" customHeight="1">
      <x:c r="A74" s="19" t="str">
        <x:v>资料来源</x:v>
      </x:c>
      <x:c r="B74" s="19" t="str">
        <x:v>本项目范围审定</x:v>
      </x:c>
      <x:c r="C74" s="19" t="str">
        <x:v>106项/12类</x:v>
      </x:c>
      <x:c r="D74" s="19" t="str">
        <x:v>功能范围审定稿：M08已删除；PLC为汇川小型、汇川中大型、欧姆龙；品牌为CDHD、台达、繁易、Elmo、KEBA（可选）。</x:v>
      </x:c>
      <x:c r="E74" s="2"/>
      <x:c r="F74" s="2"/>
      <x:c r="G74" s="2"/>
      <x:c r="H74" s="2"/>
      <x:c r="I74" s="2"/>
      <x:c r="J74" s="2"/>
      <x:c r="K74" s="2"/>
      <x:c r="L74" s="2"/>
    </x:row>
    <x:row r="75" ht="66" customHeight="1">
      <x:c r="A75" s="19" t="str">
        <x:v>3</x:v>
      </x:c>
      <x:c r="B75" s="19" t="str">
        <x:v>使能、停止与复位</x:v>
      </x:c>
      <x:c r="C75" s="19" t="str">
        <x:v>适用边界</x:v>
      </x:c>
      <x:c r="D75" s="19" t="str">
        <x:v>S04记录PLC功能块这一层的能力，S05/S06记录驱动控制这一层的能力，实测时明确实际映射关系，不按名字合并为同一测试。S03关注安全/硬件条件与EtherCAT控制的联动，不以此代替独立安全功能验证。</x:v>
      </x:c>
      <x:c r="E75" s="2"/>
      <x:c r="F75" s="2"/>
      <x:c r="G75" s="2"/>
      <x:c r="H75" s="2"/>
      <x:c r="I75" s="2"/>
      <x:c r="J75" s="2"/>
      <x:c r="K75" s="2"/>
      <x:c r="L75" s="2"/>
    </x:row>
    <x:row r="76" ht="79.5" customHeight="1">
      <x:c r="A76" s="19" t="str">
        <x:v>4</x:v>
      </x:c>
      <x:c r="B76" s="19" t="str">
        <x:v>单位、坐标与位置反馈</x:v>
      </x:c>
      <x:c r="C76" s="19" t="str">
        <x:v>适用边界</x:v>
      </x:c>
      <x:c r="D76" s="19" t="str">
        <x:v>同一参数既可在PLC设置又可在驱动设置时，记录两端各自作用及组合后的换算，避免将重复缩放或PLC实现能力误记为驱动能力。U08/U10按实际硬件与平台能力确定适用范围，不要求所有驱动具备多圈、模数规划或双编码器。</x:v>
      </x:c>
      <x:c r="E76" s="2"/>
      <x:c r="F76" s="2"/>
      <x:c r="G76" s="2"/>
      <x:c r="H76" s="2"/>
      <x:c r="I76" s="2"/>
      <x:c r="J76" s="2"/>
      <x:c r="K76" s="2"/>
      <x:c r="L76" s="2"/>
    </x:row>
    <x:row r="77" ht="79.5" customHeight="1">
      <x:c r="A77" s="19" t="str">
        <x:v>5</x:v>
      </x:c>
      <x:c r="B77" s="19" t="str">
        <x:v>回零、限位与位置锁存</x:v>
      </x:c>
      <x:c r="C77" s="19" t="str">
        <x:v>适用边界</x:v>
      </x:c>
      <x:c r="D77" s="19" t="str">
        <x:v>H01/H02分别记录驱动内部和PLC主导的回零能力，不把同名回零功能块的实现视为相同。H11明确区分驱动提供的锁存数据与PLC实现的应用功能。没有时间戳、多通道或某回零方法时记录实际能力边界，不假定每台驱动都提供。</x:v>
      </x:c>
      <x:c r="E77" s="2"/>
      <x:c r="F77" s="2"/>
      <x:c r="G77" s="2"/>
      <x:c r="H77" s="2"/>
      <x:c r="I77" s="2"/>
      <x:c r="J77" s="2"/>
      <x:c r="K77" s="2"/>
      <x:c r="L77" s="2"/>
    </x:row>
    <x:row r="78" ht="79.5" customHeight="1">
      <x:c r="A78" s="19" t="str">
        <x:v>6</x:v>
      </x:c>
      <x:c r="B78" s="19" t="str">
        <x:v>同步、通信异常与恢复</x:v>
      </x:c>
      <x:c r="C78" s="19" t="str">
        <x:v>适用边界</x:v>
      </x:c>
      <x:c r="D78" s="19" t="str">
        <x:v>N12不强制驱动实现某一种应用层检测机制，要求摸清主站/应用/驱动各方的实际能力和责任边界。N09及其他运动故障注入遵循已有受控台架要求。断线后PLC缓存的旧反馈不能作为实际机械已停止的证据，应使用仍有效的本地记录或外部测量。</x:v>
      </x:c>
      <x:c r="E78" s="2"/>
      <x:c r="F78" s="2"/>
      <x:c r="G78" s="2"/>
      <x:c r="H78" s="2"/>
      <x:c r="I78" s="2"/>
      <x:c r="J78" s="2"/>
      <x:c r="K78" s="2"/>
      <x:c r="L78" s="2"/>
    </x:row>
    <x:row r="79" ht="106.5" customHeight="1">
      <x:c r="A79" s="19" t="str">
        <x:v>7</x:v>
      </x:c>
      <x:c r="B79" s="19" t="str">
        <x:v>参数保存、启动配置与设备更换</x:v>
      </x:c>
      <x:c r="C79" s="19" t="str">
        <x:v>适用边界</x:v>
      </x:c>
      <x:c r="D79" s="19" t="str">
        <x:v>P01不要求所有整定功能都能通过EtherCAT完成，只要求明确交付时客户能走的真实路径。P08的版本匹配与后续XML/ESI入口覆盖关联。P09不默认跨型号或任意版本可迁移；不可复制的设备校准值及机器专用参数需明确边界。P10按实际升级能力确定适用性，独立USB等接口升级不能记为EtherCAT升级成功；仅提供FoE传输也不能证明支持固件升级。</x:v>
      </x:c>
      <x:c r="E79" s="2"/>
      <x:c r="F79" s="2"/>
      <x:c r="G79" s="2"/>
      <x:c r="H79" s="2"/>
      <x:c r="I79" s="2"/>
      <x:c r="J79" s="2"/>
      <x:c r="K79" s="2"/>
      <x:c r="L79" s="2"/>
    </x:row>
    <x:row r="80" ht="120" customHeight="1">
      <x:c r="A80" s="19" t="str">
        <x:v>8</x:v>
      </x:c>
      <x:c r="B80" s="19" t="str">
        <x:v>报警、诊断与现场排障</x:v>
      </x:c>
      <x:c r="C80" s="19" t="str">
        <x:v>适用边界</x:v>
      </x:c>
      <x:c r="D80" s="19" t="str">
        <x:v>A03不预设设备支持某种主动上报机制，实际只有轮询时也需记录可捕获范围。A06各场景按实际报警行为归类，不假定所有驱动均不报警。A07/A08不要求所有监测量或内部记录功能必备，PLC周期采样与驱动内部高速采样分别记录，不能混作相同性能。厂家工具通过独立接口获得的信息不代表PLC可通过EtherCAT获得；故障时的旧缓存数据需标明有效性。A09可关联多份导出资料，不强制设备提供一键诊断包。</x:v>
      </x:c>
      <x:c r="E80" s="2"/>
      <x:c r="F80" s="2"/>
      <x:c r="G80" s="2"/>
      <x:c r="H80" s="2"/>
      <x:c r="I80" s="2"/>
      <x:c r="J80" s="2"/>
      <x:c r="K80" s="2"/>
      <x:c r="L80" s="2"/>
    </x:row>
    <x:row r="81" ht="120" customHeight="1">
      <x:c r="A81" s="19" t="str">
        <x:v>10</x:v>
      </x:c>
      <x:c r="B81" s="19" t="str">
        <x:v>运动指令衔接与多轴配合</x:v>
      </x:c>
      <x:c r="C81" s="19" t="str">
        <x:v>适用边界</x:v>
      </x:c>
      <x:c r="D81" s="19" t="str">
        <x:v>C06的电子齿轮跟随关系与U01的单位/传动比换算分别记录。C05不能以同一扫描周期发出多条命令代替实际同步运动测量。C06—C08按平台实际能力测试，PLC生成同步目标不等于驱动内部具备齿轮、凸轮或插补功能，也不恢复已删除的M08厂商扩展模式范围。C10仅适用于单EtherCAT从站多轴产品，多台单轴驱动不能代替此项；没有相应产品时记录不适用及依据。</x:v>
      </x:c>
      <x:c r="E81" s="2"/>
      <x:c r="F81" s="2"/>
      <x:c r="G81" s="2"/>
      <x:c r="H81" s="2"/>
      <x:c r="I81" s="2"/>
      <x:c r="J81" s="2"/>
      <x:c r="K81" s="2"/>
      <x:c r="L81" s="2"/>
    </x:row>
    <x:row r="82" ht="160.5" customHeight="1">
      <x:c r="A82" s="19" t="str">
        <x:v>11</x:v>
      </x:c>
      <x:c r="B82" s="19" t="str">
        <x:v>网络组合、容量与长期运行</x:v>
      </x:c>
      <x:c r="C82" s="19" t="str">
        <x:v>适用边界</x:v>
      </x:c>
      <x:c r="D82" s="19" t="str">
        <x:v>T03按平台允许方式选择或改变参考时钟，不假定每台驱动都有该能力。T04仅报告已验证组合，不将主站/库容量限制归为驱动固有限制。T05记录各服务允许运行的状态；要求退出运动状态的传输记录其限制，不强行并行，也不将FoE传输等同于固件升级。T06/T07分别记录测试条件、总时长/次数、失败次数及最差表现，不能仅写“稳定”。T08的热连接与N06普通断线重连分别记录；T09明确为电缆冗余，不暗指主站冗余。T08/T09按实际系统能力确定适用性，缺相应台架记为阻塞/未测试，确认不支持才记录能力边界。</x:v>
      </x:c>
      <x:c r="E82" s="2"/>
      <x:c r="F82" s="2"/>
      <x:c r="G82" s="2"/>
      <x:c r="H82" s="2"/>
      <x:c r="I82" s="2"/>
      <x:c r="J82" s="2"/>
      <x:c r="K82" s="2"/>
      <x:c r="L82" s="2"/>
    </x:row>
    <x:row r="83" ht="133.5" customHeight="1">
      <x:c r="A83" s="19" t="str">
        <x:v>12</x:v>
      </x:c>
      <x:c r="B83" s="19" t="str">
        <x:v>运动监控、限幅与辅助I/O</x:v>
      </x:c>
      <x:c r="C83" s="19" t="str">
        <x:v>适用边界</x:v>
      </x:c>
      <x:c r="D83" s="19" t="str">
        <x:v>R01不能将PLC逻辑完成或驱动状态位单独作为机械已到位的证据。R03区分目标限幅与实际超速监控；R04区分可写限值、实际采用限值和真实转矩，条件允许时关联独立测量。R05—R07按实际硬件和对象开放范围确定适用性，驱动有端子不代表PLC可自由访问。R08沿用已有受控台架及负载约束，仅覆盖控制联动，不代替抱闸或安全功能认证；没有实测反馈时应明确记录。通用输出与抱闸专用输出分别记录，避免将输出位改变当作机械抱闸动作成功。</x:v>
      </x:c>
      <x:c r="E83" s="2"/>
      <x:c r="F83" s="2"/>
      <x:c r="G83" s="2"/>
      <x:c r="H83" s="2"/>
      <x:c r="I83" s="2"/>
      <x:c r="J83" s="2"/>
      <x:c r="K83" s="2"/>
      <x:c r="L83" s="2"/>
    </x:row>
    <x:row r="84" ht="21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33" customHeight="1">
      <x:c r="A87" s="16" t="str">
        <x:v>关联项</x:v>
      </x:c>
      <x:c r="B87" s="17" t="str">
        <x:v>资料主题</x:v>
      </x:c>
      <x:c r="C87" s="17" t="str">
        <x:v>来源</x:v>
      </x:c>
      <x:c r="D87" s="18" t="str">
        <x:v>原始链接</x:v>
      </x:c>
      <x:c r="E87" s="2"/>
      <x:c r="F87" s="2"/>
      <x:c r="G87" s="2"/>
      <x:c r="H87" s="2"/>
      <x:c r="I87" s="2"/>
      <x:c r="J87" s="2"/>
      <x:c r="K87" s="2"/>
      <x:c r="L87" s="2"/>
    </x:row>
    <x:row r="88" ht="45" customHeight="1">
      <x:c r="A88" s="19" t="str">
        <x:v>D06</x:v>
      </x:c>
      <x:c r="B88" s="19" t="str">
        <x:v>Complete Access</x:v>
      </x:c>
      <x:c r="C88" s="19" t="str">
        <x:v>Beckhoff</x:v>
      </x:c>
      <x:c r="D88" s="19" t="str">
        <x:v>https://infosys.beckhoff.com/content/1033/tc3_io_intro/1357984011.html</x:v>
      </x:c>
      <x:c r="E88" s="2"/>
      <x:c r="F88" s="2"/>
      <x:c r="G88" s="2"/>
      <x:c r="H88" s="2"/>
      <x:c r="I88" s="2"/>
      <x:c r="J88" s="2"/>
      <x:c r="K88" s="2"/>
      <x:c r="L88" s="2"/>
    </x:row>
    <x:row r="89" ht="52.5" customHeight="1">
      <x:c r="A89" s="19" t="str">
        <x:v>D06</x:v>
      </x:c>
      <x:c r="B89" s="19" t="str">
        <x:v>启动参数整组访问</x:v>
      </x:c>
      <x:c r="C89" s="19" t="str">
        <x:v>CODESYS</x:v>
      </x:c>
      <x:c r="D89" s="19" t="str">
        <x:v>https://content.helpme-codesys.com/en/CODESYS%20EtherCAT/_ecat_edt_module_start_parameter.html</x:v>
      </x:c>
      <x:c r="E89" s="2"/>
      <x:c r="F89" s="2"/>
      <x:c r="G89" s="2"/>
      <x:c r="H89" s="2"/>
      <x:c r="I89" s="2"/>
      <x:c r="J89" s="2"/>
      <x:c r="K89" s="2"/>
      <x:c r="L89" s="2"/>
    </x:row>
    <x:row r="90" ht="45" customHeight="1">
      <x:c r="A90" s="19" t="str">
        <x:v>D07</x:v>
      </x:c>
      <x:c r="B90" s="19" t="str">
        <x:v>分段SDO</x:v>
      </x:c>
      <x:c r="C90" s="19" t="str">
        <x:v>ETG.1500 §5.7.2/3</x:v>
      </x:c>
      <x:c r="D90" s="19" t="str">
        <x:v>https://www.ethercat.org/download/documents/ETG1500_V1i0i2_D_R_MasterClasses.pdf</x:v>
      </x:c>
      <x:c r="E90" s="2"/>
      <x:c r="F90" s="2"/>
      <x:c r="G90" s="2"/>
      <x:c r="H90" s="2"/>
      <x:c r="I90" s="2"/>
      <x:c r="J90" s="2"/>
      <x:c r="K90" s="2"/>
      <x:c r="L90" s="2"/>
    </x:row>
    <x:row r="91" ht="45" customHeight="1">
      <x:c r="A91" s="19" t="str">
        <x:v>D08</x:v>
      </x:c>
      <x:c r="B91" s="19" t="str">
        <x:v>在线对象访问</x:v>
      </x:c>
      <x:c r="C91" s="19" t="str">
        <x:v>Beckhoff</x:v>
      </x:c>
      <x:c r="D91" s="19" t="str">
        <x:v>https://infosys.beckhoff.com/content/1033/tc3_io_intro/1446522251.html</x:v>
      </x:c>
      <x:c r="E91" s="2"/>
      <x:c r="F91" s="2"/>
      <x:c r="G91" s="2"/>
      <x:c r="H91" s="2"/>
      <x:c r="I91" s="2"/>
      <x:c r="J91" s="2"/>
      <x:c r="K91" s="2"/>
      <x:c r="L91" s="2"/>
    </x:row>
    <x:row r="92" ht="52.5" customHeight="1">
      <x:c r="A92" s="19" t="str">
        <x:v>D09</x:v>
      </x:c>
      <x:c r="B92" s="19" t="str">
        <x:v>缩放差异示例</x:v>
      </x:c>
      <x:c r="C92" s="19" t="str">
        <x:v>Kollmorgen</x:v>
      </x:c>
      <x:c r="D92" s="19" t="str">
        <x:v>https://www.kollmorgen.com/en-us/developer-network/position-scaling-akd-drive-ethercat-communication</x:v>
      </x:c>
      <x:c r="E92" s="2"/>
      <x:c r="F92" s="2"/>
      <x:c r="G92" s="2"/>
      <x:c r="H92" s="2"/>
      <x:c r="I92" s="2"/>
      <x:c r="J92" s="2"/>
      <x:c r="K92" s="2"/>
      <x:c r="L92" s="2"/>
    </x:row>
    <x:row r="93" ht="21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1" customHeight="1">
      <x:c r="A94" s="5" t="str">
        <x:v>来源沿用已有调研；D07依据已获取的官方索引段落，原PDF直接抓取曾返回403。品牌具体能力仍待型号资料与实测确认。</x:v>
      </x:c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1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1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33" customHeight="1">
      <x:c r="A97" s="16" t="str">
        <x:v>判据类别</x:v>
      </x:c>
      <x:c r="B97" s="17" t="str">
        <x:v>单位要求</x:v>
      </x:c>
      <x:c r="C97" s="17" t="str">
        <x:v>条件要求</x:v>
      </x:c>
      <x:c r="D97" s="18" t="str">
        <x:v>需要明确的量</x:v>
      </x:c>
      <x:c r="E97" s="2"/>
      <x:c r="F97" s="2"/>
      <x:c r="G97" s="2"/>
      <x:c r="H97" s="2"/>
      <x:c r="I97" s="2"/>
      <x:c r="J97" s="2"/>
      <x:c r="K97" s="2"/>
      <x:c r="L97" s="2"/>
    </x:row>
    <x:row r="98" ht="48" customHeight="1">
      <x:c r="A98" s="19" t="str">
        <x:v>时序</x:v>
      </x:c>
      <x:c r="B98" s="19" t="str">
        <x:v>ms/s</x:v>
      </x:c>
      <x:c r="C98" s="19" t="str">
        <x:v>计时起止点</x:v>
      </x:c>
      <x:c r="D98" s="19" t="str">
        <x:v>上线、使能、模式切换、复位、看门狗、停机及恢复时间；记录最大值与条件。</x:v>
      </x:c>
      <x:c r="E98" s="2"/>
      <x:c r="F98" s="2"/>
      <x:c r="G98" s="2"/>
      <x:c r="H98" s="2"/>
      <x:c r="I98" s="2"/>
      <x:c r="J98" s="2"/>
      <x:c r="K98" s="2"/>
      <x:c r="L98" s="2"/>
    </x:row>
    <x:row r="99" ht="48" customHeight="1">
      <x:c r="A99" s="19" t="str">
        <x:v>位置与同步</x:v>
      </x:c>
      <x:c r="B99" s="19" t="str">
        <x:v>位置/时间单位</x:v>
      </x:c>
      <x:c r="C99" s="19" t="str">
        <x:v>独立测量条件</x:v>
      </x:c>
      <x:c r="D99" s="19" t="str">
        <x:v>定位误差、跟随误差、回零重复性、多轴同步误差、跨界/恢复瞬态。</x:v>
      </x:c>
      <x:c r="E99" s="2"/>
      <x:c r="F99" s="2"/>
      <x:c r="G99" s="2"/>
      <x:c r="H99" s="2"/>
      <x:c r="I99" s="2"/>
      <x:c r="J99" s="2"/>
      <x:c r="K99" s="2"/>
      <x:c r="L99" s="2"/>
    </x:row>
    <x:row r="100" ht="48" customHeight="1">
      <x:c r="A100" s="19" t="str">
        <x:v>运动限制</x:v>
      </x:c>
      <x:c r="B100" s="19" t="str">
        <x:v>速度/加速度/转矩单位</x:v>
      </x:c>
      <x:c r="C100" s="19" t="str">
        <x:v>正负方向/负载</x:v>
      </x:c>
      <x:c r="D100" s="19" t="str">
        <x:v>位置窗口及驻留、限速、限矩、停止距离，PLC与驱动各自的设置和反馈。</x:v>
      </x:c>
      <x:c r="E100" s="2"/>
      <x:c r="F100" s="2"/>
      <x:c r="G100" s="2"/>
      <x:c r="H100" s="2"/>
      <x:c r="I100" s="2"/>
      <x:c r="J100" s="2"/>
      <x:c r="K100" s="2"/>
      <x:c r="L100" s="2"/>
    </x:row>
    <x:row r="101" ht="48" customHeight="1">
      <x:c r="A101" s="19" t="str">
        <x:v>网络负载</x:v>
      </x:c>
      <x:c r="B101" s="19" t="str">
        <x:v>周期/轴数/字节/频率</x:v>
      </x:c>
      <x:c r="C101" s="19" t="str">
        <x:v>实际网络组合</x:v>
      </x:c>
      <x:c r="D101" s="19" t="str">
        <x:v>PDO长度、同步方式、邮箱访问负载、混合I/O、任务抖动和诊断统计窗口。</x:v>
      </x:c>
      <x:c r="E101" s="2"/>
      <x:c r="F101" s="2"/>
      <x:c r="G101" s="2"/>
      <x:c r="H101" s="2"/>
      <x:c r="I101" s="2"/>
      <x:c r="J101" s="2"/>
      <x:c r="K101" s="2"/>
      <x:c r="L101" s="2"/>
    </x:row>
    <x:row r="102" ht="48" customHeight="1">
      <x:c r="A102" s="19" t="str">
        <x:v>持续与重复</x:v>
      </x:c>
      <x:c r="B102" s="19" t="str">
        <x:v>h/次数</x:v>
      </x:c>
      <x:c r="C102" s="19" t="str">
        <x:v>最差值/失败次数</x:v>
      </x:c>
      <x:c r="D102" s="19" t="str">
        <x:v>运行时长、循环次数、运动负载、故障/恢复次数、实际失败数及最长恢复时间。</x:v>
      </x:c>
      <x:c r="E102" s="2"/>
      <x:c r="F102" s="2"/>
      <x:c r="G102" s="2"/>
      <x:c r="H102" s="2"/>
      <x:c r="I102" s="2"/>
      <x:c r="J102" s="2"/>
      <x:c r="K102" s="2"/>
      <x:c r="L102" s="2"/>
    </x:row>
    <x:row r="103" ht="21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1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1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1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1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1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1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1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1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1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1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21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21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21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1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1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1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1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21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 ht="21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ht="21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 ht="21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ht="21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 ht="21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7" ht="21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</x:row>
    <x:row r="128" ht="21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 ht="21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</x:row>
    <x:row r="130" ht="21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</x:row>
    <x:row r="131" ht="21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</x:row>
    <x:row r="132" ht="21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</x:row>
    <x:row r="133" ht="21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ht="21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</x:row>
    <x:row r="135" ht="21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</x:sheetData>
  <x:conditionalFormatting sqref="L10:L24">
    <x:cfRule type="containsText" dxfId="4" priority="1" operator="containsText" text="待补"/>
    <x:cfRule type="containsText" dxfId="5" priority="2" operator="containsText" text="重复"/>
  </x:conditionalFormatting>
  <x:dataValidations count="2">
    <x:dataValidation type="list" sqref="B10:B24">
      <x:formula1>"汇川小型,汇川中大型,欧姆龙"</x:formula1>
    </x:dataValidation>
    <x:dataValidation type="list" sqref="C10:C24">
      <x:formula1>"CDHD,台达,繁易,Elmo,KEBA（可选）"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22f4d5aa6fc4b13"/>
    <x:tablePart xmlns:r="http://schemas.openxmlformats.org/officeDocument/2006/relationships" r:id="R39ba9ed30c774092"/>
  </x:tableParts>
</x:worksheet>
</file>