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c2e77f29b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勾选" sheetId="1" r:id="R59fc11756e984451"/>
    <x:sheet xmlns:r="http://schemas.openxmlformats.org/officeDocument/2006/relationships" name="实测记录" sheetId="2" r:id="R9f2227c450114a61"/>
    <x:sheet xmlns:r="http://schemas.openxmlformats.org/officeDocument/2006/relationships" name="设备与判据" sheetId="3" r:id="Rebe1c40c74e2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6"/>
      <x:color rgb="FF234661"/>
      <x:name val="Arial"/>
    </x:font>
    <x:font>
      <x:sz val="10"/>
      <x:color rgb="FF617386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4661"/>
      </x:patternFill>
    </x:fill>
    <x:fill>
      <x:patternFill patternType="solid">
        <x:fgColor rgb="FFFFF5D6"/>
      </x:patternFill>
    </x:fill>
    <x:fill>
      <x:patternFill patternType="solid">
        <x:fgColor rgb="FFF7F9FB"/>
      </x:patternFill>
    </x:fill>
    <x:fill>
      <x:patternFill patternType="solid">
        <x:fgColor rgb="FFF0F4F7"/>
      </x:patternFill>
    </x:fill>
  </x:fills>
  <x:borders count="6">
    <x:border/>
    <x:border>
      <x:bottom style="thin">
        <x:color rgb="FFCBD5D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medium">
        <x:color rgb="FFCBD5DF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9C2929"/>
      </x:font>
      <x:fill>
        <x:patternFill patternType="solid">
          <x:bgColor rgb="FFFCE7E7"/>
        </x:patternFill>
      </x:fill>
    </x:dxf>
    <x:dxf>
      <x:font>
        <x:color rgb="FF697586"/>
      </x:font>
      <x:fill>
        <x:patternFill patternType="solid">
          <x:bgColor rgb="FFEEF1F4"/>
        </x:patternFill>
      </x:fill>
    </x:dxf>
    <x:dxf>
      <x:font>
        <x:color rgb="FF243447"/>
      </x:font>
      <x:fill>
        <x:patternFill patternType="solid">
          <x:bgColor rgb="FFEDF2F7"/>
        </x:patternFill>
      </x:fill>
    </x:dxf>
    <x:dxf>
      <x:font>
        <x:color rgb="FF9C2929"/>
      </x:font>
      <x:fill>
        <x:patternFill patternType="solid">
          <x:bgColor rgb="FFFCE7E7"/>
        </x:patternFill>
      </x:fill>
    </x:dxf>
    <x:dxf>
      <x:font>
        <x:color rgb="FF794613"/>
      </x:font>
      <x:fill>
        <x:patternFill patternType="solid">
          <x:bgColor rgb="FFFFE8B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956ce759a48a5" /><Relationship Type="http://schemas.openxmlformats.org/officeDocument/2006/relationships/theme" Target="/xl/theme/theme1.xml" Id="Rb6f2ee01db74432e" /><Relationship Type="http://schemas.openxmlformats.org/officeDocument/2006/relationships/sharedStrings" Target="/xl/sharedStrings.xml" Id="R6c62be12de5447c4" /><Relationship Type="http://schemas.openxmlformats.org/officeDocument/2006/relationships/worksheet" Target="/xl/worksheets/sheet1.xml" Id="R59fc11756e984451" /><Relationship Type="http://schemas.openxmlformats.org/officeDocument/2006/relationships/worksheet" Target="/xl/worksheets/sheet2.xml" Id="R9f2227c450114a61" /><Relationship Type="http://schemas.openxmlformats.org/officeDocument/2006/relationships/worksheet" Target="/xl/worksheets/sheet3.xml" Id="Rebe1c40c74e249bd" /></Relationships>
</file>

<file path=xl/tables/table1.xml><?xml version="1.0" encoding="utf-8"?>
<x:table xmlns:x="http://schemas.openxmlformats.org/spreadsheetml/2006/main" id="1" name="BrandChecklist" displayName="BrandChecklist" ref="A9:K118" headerRowCount="1" totalsRowCount="0" totalsRowShown="0">
  <x:autoFilter ref="A9:K118"/>
  <x:tableColumns count="11">
    <x:tableColumn id="1" name="编号"/>
    <x:tableColumn id="2" name="阶段"/>
    <x:tableColumn id="3" name="级别 / 适用"/>
    <x:tableColumn id="4" name="客户动作与测试步骤"/>
    <x:tableColumn id="5" name="原验收判据（对照）"/>
    <x:tableColumn id="6" name="所需证据"/>
    <x:tableColumn id="7" name="CDHD"/>
    <x:tableColumn id="8" name="台达"/>
    <x:tableColumn id="9" name="繁易"/>
    <x:tableColumn id="10" name="Elmo"/>
    <x:tableColumn id="11" name="KEBA（可选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Records" displayName="TestRecords" ref="A9:L554" headerRowCount="1" totalsRowCount="0" totalsRowShown="0">
  <x:autoFilter ref="A9:L554"/>
  <x:tableColumns count="12">
    <x:tableColumn id="1" name="记录键"/>
    <x:tableColumn id="2" name="品牌"/>
    <x:tableColumn id="3" name="检查项编号"/>
    <x:tableColumn id="4" name="基线编号"/>
    <x:tableColumn id="5" name="测试人"/>
    <x:tableColumn id="6" name="岗位"/>
    <x:tableColumn id="7" name="测试日期"/>
    <x:tableColumn id="8" name="实测结论"/>
    <x:tableColumn id="9" name="实际表现 / 数值 / 使用差异"/>
    <x:tableColumn id="10" name="证据链接 / 文件编号"/>
    <x:tableColumn id="11" name="备注 / 不适用原因 / 复测"/>
    <x:tableColumn id="12" name="记录状态（自动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c4340008343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513a03485a44f3" /></Relationships>
</file>

<file path=xl/worksheets/sheet1.xml><?xml version="1.0" encoding="utf-8"?>
<x:worksheet xmlns:x="http://schemas.openxmlformats.org/spreadsheetml/2006/main">
  <x:sheetPr>
    <x:tabColor rgb="FF234661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1.5" hidden="0" customWidth="1"/>
    <x:col min="2" max="2" width="20" hidden="0" customWidth="1"/>
    <x:col min="3" max="3" width="19.75" hidden="0" customWidth="1"/>
    <x:col min="4" max="4" width="47.5" hidden="0" customWidth="1"/>
    <x:col min="5" max="5" width="47.5" hidden="0" customWidth="1"/>
    <x:col min="6" max="6" width="12.5" hidden="0" customWidth="1"/>
    <x:col min="7" max="7" width="13.25" hidden="0" customWidth="1"/>
    <x:col min="8" max="8" width="13.25" hidden="0" customWidth="1"/>
    <x:col min="9" max="9" width="13.25" hidden="0" customWidth="1"/>
    <x:col min="10" max="10" width="13.25" hidden="0" customWidth="1"/>
    <x:col min="11" max="11" width="16.5" hidden="0" customWidth="1"/>
  </x:cols>
  <x:sheetData>
    <x:row r="1" ht="20.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EtherCAT 伺服驱动器品牌实测 checklist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.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0.25" customHeight="1">
      <x:c r="A4" s="5" t="str">
        <x:v>先在“设备与判据”登记组合。逐格下拉勾选，在“实测记录”填写测试人、日期、实际表现和证据。</x:v>
      </x:c>
      <x:c r="B4" s="5"/>
      <x:c r="C4" s="5"/>
      <x:c r="D4" s="5"/>
      <x:c r="E4" s="5"/>
      <x:c r="F4" s="5"/>
      <x:c r="G4" s="2"/>
      <x:c r="H4" s="2"/>
      <x:c r="I4" s="2"/>
      <x:c r="J4" s="2"/>
      <x:c r="K4" s="2"/>
    </x:row>
    <x:row r="5" ht="20.25" customHeight="1">
      <x:c r="A5" s="5" t="str">
        <x:v>勾选表示已上机实测，不等于达标。实测不支持也可勾选。仅查手册不勾选。每项的适用分支应测全。</x:v>
      </x:c>
      <x:c r="B5" s="5"/>
      <x:c r="C5" s="5"/>
      <x:c r="D5" s="5"/>
      <x:c r="E5" s="5"/>
      <x:c r="F5" s="5"/>
      <x:c r="G5" s="2"/>
      <x:c r="H5" s="2"/>
      <x:c r="I5" s="2"/>
      <x:c r="J5" s="2"/>
      <x:c r="K5" s="2"/>
    </x:row>
    <x:row r="6" ht="27" customHeight="1">
      <x:c r="A6" s="2"/>
      <x:c r="B6" s="2"/>
      <x:c r="C6" s="2"/>
      <x:c r="D6" s="2"/>
      <x:c r="E6" s="2"/>
      <x:c r="F6" s="6" t="str">
        <x:v>已勾选项数</x:v>
      </x:c>
      <x:c r="G6" s="8" t="n">
        <x:f>COUNTIFS(G10:G118,"☑ 已实测")</x:f>
        <x:v>0</x:v>
      </x:c>
      <x:c r="H6" s="8" t="n">
        <x:f>COUNTIFS(H10:H118,"☑ 已实测")</x:f>
        <x:v>0</x:v>
      </x:c>
      <x:c r="I6" s="8" t="n">
        <x:f>COUNTIFS(I10:I118,"☑ 已实测")</x:f>
        <x:v>0</x:v>
      </x:c>
      <x:c r="J6" s="8" t="n">
        <x:f>COUNTIFS(J10:J118,"☑ 已实测")</x:f>
        <x:v>0</x:v>
      </x:c>
      <x:c r="K6" s="8" t="n">
        <x:f>COUNTIFS(K10:K118,"☑ 已实测")</x:f>
        <x:v>0</x:v>
      </x:c>
    </x:row>
    <x:row r="7" ht="27" customHeight="1">
      <x:c r="A7" s="5" t="str">
        <x:v>未测试、阻塞、不适用分开记录。不适用/阻塞请写原因。KEBA为可选。两项统计按ID逐项核证。</x:v>
      </x:c>
      <x:c r="B7" s="5"/>
      <x:c r="C7" s="5"/>
      <x:c r="D7" s="5"/>
      <x:c r="E7" s="5"/>
      <x:c r="F7" s="6" t="str">
        <x:v>实测记录齐全数</x:v>
      </x:c>
      <x:c r="G7" s="8" t="n">
        <x:f>COUNTIFS('实测记录'!$B$10:$B$554,G$9,'实测记录'!$L$10:$L$554,"记录齐全")</x:f>
        <x:v>0</x:v>
      </x:c>
      <x:c r="H7" s="8" t="n">
        <x:f>COUNTIFS('实测记录'!$B$10:$B$554,H$9,'实测记录'!$L$10:$L$554,"记录齐全")</x:f>
        <x:v>0</x:v>
      </x:c>
      <x:c r="I7" s="8" t="n">
        <x:f>COUNTIFS('实测记录'!$B$10:$B$554,I$9,'实测记录'!$L$10:$L$554,"记录齐全")</x:f>
        <x:v>0</x:v>
      </x:c>
      <x:c r="J7" s="8" t="n">
        <x:f>COUNTIFS('实测记录'!$B$10:$B$554,J$9,'实测记录'!$L$10:$L$554,"记录齐全")</x:f>
        <x:v>0</x:v>
      </x:c>
      <x:c r="K7" s="8" t="n">
        <x:f>COUNTIFS('实测记录'!$B$10:$B$554,K$9,'实测记录'!$L$10:$L$554,"记录齐全")</x:f>
        <x:v>0</x:v>
      </x:c>
    </x:row>
    <x:row r="8" ht="20.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1.5" customHeight="1">
      <x:c r="A9" s="17" t="str">
        <x:v>编号</x:v>
      </x:c>
      <x:c r="B9" s="18" t="str">
        <x:v>阶段</x:v>
      </x:c>
      <x:c r="C9" s="18" t="str">
        <x:v>级别 / 适用</x:v>
      </x:c>
      <x:c r="D9" s="18" t="str">
        <x:v>客户动作与测试步骤</x:v>
      </x:c>
      <x:c r="E9" s="18" t="str">
        <x:v>原验收判据（对照）</x:v>
      </x:c>
      <x:c r="F9" s="18" t="str">
        <x:v>所需证据</x:v>
      </x:c>
      <x:c r="G9" s="18" t="str">
        <x:v>CDHD</x:v>
      </x:c>
      <x:c r="H9" s="18" t="str">
        <x:v>台达</x:v>
      </x:c>
      <x:c r="I9" s="18" t="str">
        <x:v>繁易</x:v>
      </x:c>
      <x:c r="J9" s="18" t="str">
        <x:v>Elmo</x:v>
      </x:c>
      <x:c r="K9" s="19" t="str">
        <x:v>KEBA（可选）</x:v>
      </x:c>
    </x:row>
    <x:row r="10" ht="48" customHeight="1">
      <x:c r="A10" s="27" t="str">
        <x:v>BAS-01</x:v>
      </x:c>
      <x:c r="B10" s="28" t="str">
        <x:v>A. 客户选型与交付基线</x:v>
      </x:c>
      <x:c r="C10" s="25" t="str">
        <x:v>P0 / 全部</x:v>
      </x:c>
      <x:c r="D10" s="25" t="str">
        <x:v>按客户采购清单核对 CPU、主站/运动模块、固件、工程软件、运动库和许可；确认所需轴功能入口</x:v>
      </x:c>
      <x:c r="E10" s="25" t="str">
        <x:v>精确组合可建立实际 EtherCAT 运动轴；若只支持过程 I/O 直控，单独声明该路径与限制</x:v>
      </x:c>
      <x:c r="F10" s="24" t="str">
        <x:v>E0、E1</x:v>
      </x:c>
      <x:c r="G10" s="26" t="str">
        <x:v>☐ 未测试</x:v>
      </x:c>
      <x:c r="H10" s="26" t="str">
        <x:v>☐ 未测试</x:v>
      </x:c>
      <x:c r="I10" s="26" t="str">
        <x:v>☐ 未测试</x:v>
      </x:c>
      <x:c r="J10" s="26" t="str">
        <x:v>☐ 未测试</x:v>
      </x:c>
      <x:c r="K10" s="26" t="str">
        <x:v>☐ 未测试</x:v>
      </x:c>
    </x:row>
    <x:row r="11" ht="48" customHeight="1">
      <x:c r="A11" s="29" t="str">
        <x:v>BAS-02</x:v>
      </x:c>
      <x:c r="B11" s="30" t="str">
        <x:v>A. 客户选型与交付基线</x:v>
      </x:c>
      <x:c r="C11" s="30" t="str">
        <x:v>P0 / 全部</x:v>
      </x:c>
      <x:c r="D11" s="30" t="str">
        <x:v>核对设备铭牌、身份对象/扫描身份、固件、ESI与发布包校验值</x:v>
      </x:c>
      <x:c r="E11" s="30" t="str">
        <x:v>唯一对应支持矩阵；没有同名异版文件或错误型号被默许替换</x:v>
      </x:c>
      <x:c r="F11" s="29" t="str">
        <x:v>E0、E1</x:v>
      </x:c>
      <x:c r="G11" s="23" t="str">
        <x:v>☐ 未测试</x:v>
      </x:c>
      <x:c r="H11" s="23" t="str">
        <x:v>☐ 未测试</x:v>
      </x:c>
      <x:c r="I11" s="23" t="str">
        <x:v>☐ 未测试</x:v>
      </x:c>
      <x:c r="J11" s="23" t="str">
        <x:v>☐ 未测试</x:v>
      </x:c>
      <x:c r="K11" s="23" t="str">
        <x:v>☐ 未测试</x:v>
      </x:c>
    </x:row>
    <x:row r="12" ht="48" customHeight="1">
      <x:c r="A12" s="6" t="str">
        <x:v>BAS-03</x:v>
      </x:c>
      <x:c r="B12" s="20" t="str">
        <x:v>A. 客户选型与交付基线</x:v>
      </x:c>
      <x:c r="C12" s="20" t="str">
        <x:v>P0 / 全部</x:v>
      </x:c>
      <x:c r="D12" s="20" t="str">
        <x:v>将客户的点动、定位、回零、速度/转矩、多轴需求逐项映射到 PLC 指令、驱动模式与所需对象</x:v>
      </x:c>
      <x:c r="E12" s="20" t="str">
        <x:v>每项均有完整实现路径和限制；未确认能力标出，不以“CiA402兼容”概括全部功能</x:v>
      </x:c>
      <x:c r="F12" s="6" t="str">
        <x:v>E0</x:v>
      </x:c>
      <x:c r="G12" s="23" t="str">
        <x:v>☐ 未测试</x:v>
      </x:c>
      <x:c r="H12" s="23" t="str">
        <x:v>☐ 未测试</x:v>
      </x:c>
      <x:c r="I12" s="23" t="str">
        <x:v>☐ 未测试</x:v>
      </x:c>
      <x:c r="J12" s="23" t="str">
        <x:v>☐ 未测试</x:v>
      </x:c>
      <x:c r="K12" s="23" t="str">
        <x:v>☐ 未测试</x:v>
      </x:c>
    </x:row>
    <x:row r="13" ht="48" customHeight="1">
      <x:c r="A13" s="29" t="str">
        <x:v>BAS-04</x:v>
      </x:c>
      <x:c r="B13" s="30" t="str">
        <x:v>A. 客户选型与交付基线</x:v>
      </x:c>
      <x:c r="C13" s="30" t="str">
        <x:v>P0 / 有运动</x:v>
      </x:c>
      <x:c r="D13" s="30" t="str">
        <x:v>冻结接线、限位、方向、制动器、电源、负载和独立停止办法；从限速限转矩台架开始</x:v>
      </x:c>
      <x:c r="E13" s="30" t="str">
        <x:v>试验边界可执行，故障注入时的负载约束与终止条件明确</x:v>
      </x:c>
      <x:c r="F13" s="29" t="str">
        <x:v>E0、E4</x:v>
      </x:c>
      <x:c r="G13" s="23" t="str">
        <x:v>☐ 未测试</x:v>
      </x:c>
      <x:c r="H13" s="23" t="str">
        <x:v>☐ 未测试</x:v>
      </x:c>
      <x:c r="I13" s="23" t="str">
        <x:v>☐ 未测试</x:v>
      </x:c>
      <x:c r="J13" s="23" t="str">
        <x:v>☐ 未测试</x:v>
      </x:c>
      <x:c r="K13" s="23" t="str">
        <x:v>☐ 未测试</x:v>
      </x:c>
    </x:row>
    <x:row r="14" ht="48" customHeight="1">
      <x:c r="A14" s="6" t="str">
        <x:v>BAS-05</x:v>
      </x:c>
      <x:c r="B14" s="20" t="str">
        <x:v>A. 客户选型与交付基线</x:v>
      </x:c>
      <x:c r="C14" s="20" t="str">
        <x:v>P1 / 全部</x:v>
      </x:c>
      <x:c r="D14" s="20" t="str">
        <x:v>从干净工程电脑解压交付包、安装依赖、编译和下载示例</x:v>
      </x:c>
      <x:c r="E14" s="20" t="str">
        <x:v>不依赖开发者本机缓存/未交付库；版本与许可说明齐全</x:v>
      </x:c>
      <x:c r="F14" s="6" t="str">
        <x:v>E1、E5</x:v>
      </x:c>
      <x:c r="G14" s="23" t="str">
        <x:v>☐ 未测试</x:v>
      </x:c>
      <x:c r="H14" s="23" t="str">
        <x:v>☐ 未测试</x:v>
      </x:c>
      <x:c r="I14" s="23" t="str">
        <x:v>☐ 未测试</x:v>
      </x:c>
      <x:c r="J14" s="23" t="str">
        <x:v>☐ 未测试</x:v>
      </x:c>
      <x:c r="K14" s="23" t="str">
        <x:v>☐ 未测试</x:v>
      </x:c>
    </x:row>
    <x:row r="15" ht="48" customHeight="1">
      <x:c r="A15" s="29" t="str">
        <x:v>BAS-06</x:v>
      </x:c>
      <x:c r="B15" s="30" t="str">
        <x:v>A. 客户选型与交付基线</x:v>
      </x:c>
      <x:c r="C15" s="30" t="str">
        <x:v>P0 / 全部</x:v>
      </x:c>
      <x:c r="D15" s="30" t="str">
        <x:v>建立 PLC 启动参数、在线 SDO、驱动保存值、调试软件写入的所有权表</x:v>
      </x:c>
      <x:c r="E15" s="30" t="str">
        <x:v>每类参数与目标/控制字的写入者、优先级、生效/保存时刻明确</x:v>
      </x:c>
      <x:c r="F15" s="29" t="str">
        <x:v>E0、E1</x:v>
      </x:c>
      <x:c r="G15" s="23" t="str">
        <x:v>☐ 未测试</x:v>
      </x:c>
      <x:c r="H15" s="23" t="str">
        <x:v>☐ 未测试</x:v>
      </x:c>
      <x:c r="I15" s="23" t="str">
        <x:v>☐ 未测试</x:v>
      </x:c>
      <x:c r="J15" s="23" t="str">
        <x:v>☐ 未测试</x:v>
      </x:c>
      <x:c r="K15" s="23" t="str">
        <x:v>☐ 未测试</x:v>
      </x:c>
    </x:row>
    <x:row r="16" ht="48" customHeight="1">
      <x:c r="A16" s="6" t="str">
        <x:v>BAS-07</x:v>
      </x:c>
      <x:c r="B16" s="20" t="str">
        <x:v>A. 客户选型与交付基线</x:v>
      </x:c>
      <x:c r="C16" s="20" t="str">
        <x:v>P0 / 全部</x:v>
      </x:c>
      <x:c r="D16" s="20" t="str">
        <x:v>冻结基线中的时间、误差、周期、负载、次数和通过条件</x:v>
      </x:c>
      <x:c r="E16" s="20" t="str">
        <x:v>每个适用数值指标可测、有单位和依据；空白项阻塞相关测试</x:v>
      </x:c>
      <x:c r="F16" s="6" t="str">
        <x:v>E0</x:v>
      </x:c>
      <x:c r="G16" s="23" t="str">
        <x:v>☐ 未测试</x:v>
      </x:c>
      <x:c r="H16" s="23" t="str">
        <x:v>☐ 未测试</x:v>
      </x:c>
      <x:c r="I16" s="23" t="str">
        <x:v>☐ 未测试</x:v>
      </x:c>
      <x:c r="J16" s="23" t="str">
        <x:v>☐ 未测试</x:v>
      </x:c>
      <x:c r="K16" s="23" t="str">
        <x:v>☐ 未测试</x:v>
      </x:c>
    </x:row>
    <x:row r="17" ht="48" customHeight="1">
      <x:c r="A17" s="29" t="str">
        <x:v>BAS-08</x:v>
      </x:c>
      <x:c r="B17" s="30" t="str">
        <x:v>A. 客户选型与交付基线</x:v>
      </x:c>
      <x:c r="C17" s="30" t="str">
        <x:v>P1 / 协议发布；证书按声明</x:v>
      </x:c>
      <x:c r="D17" s="30" t="str">
        <x:v>查验适用版本的 CTT 记录、互操作记录；若宣称认证，核对证书范围</x:v>
      </x:c>
      <x:c r="E17" s="30" t="str">
        <x:v>内部 CTT、正式证书、PLC 应用报告分别可追溯；本 checklist 不被充作认证</x:v>
      </x:c>
      <x:c r="F17" s="29" t="str">
        <x:v>E0、E3、E5</x:v>
      </x:c>
      <x:c r="G17" s="23" t="str">
        <x:v>☐ 未测试</x:v>
      </x:c>
      <x:c r="H17" s="23" t="str">
        <x:v>☐ 未测试</x:v>
      </x:c>
      <x:c r="I17" s="23" t="str">
        <x:v>☐ 未测试</x:v>
      </x:c>
      <x:c r="J17" s="23" t="str">
        <x:v>☐ 未测试</x:v>
      </x:c>
      <x:c r="K17" s="23" t="str">
        <x:v>☐ 未测试</x:v>
      </x:c>
    </x:row>
    <x:row r="18" ht="48" customHeight="1">
      <x:c r="A18" s="27" t="str">
        <x:v>ESI-01</x:v>
      </x:c>
      <x:c r="B18" s="28" t="str">
        <x:v>B. 资料导入、接线、扫描和离线建站</x:v>
      </x:c>
      <x:c r="C18" s="25" t="str">
        <x:v>P0 / 全部</x:v>
      </x:c>
      <x:c r="D18" s="25" t="str">
        <x:v>在空设备库安装正式 ESI；核对 XML、SII/扫描身份和实际对象字典</x:v>
      </x:c>
      <x:c r="E18" s="25" t="str">
        <x:v>身份、轴数、PDO、同步与可选能力声明一致；不存在配置工具可选而固件不支持的承诺项</x:v>
      </x:c>
      <x:c r="F18" s="24" t="str">
        <x:v>E1、E3</x:v>
      </x:c>
      <x:c r="G18" s="26" t="str">
        <x:v>☐ 未测试</x:v>
      </x:c>
      <x:c r="H18" s="26" t="str">
        <x:v>☐ 未测试</x:v>
      </x:c>
      <x:c r="I18" s="26" t="str">
        <x:v>☐ 未测试</x:v>
      </x:c>
      <x:c r="J18" s="26" t="str">
        <x:v>☐ 未测试</x:v>
      </x:c>
      <x:c r="K18" s="26" t="str">
        <x:v>☐ 未测试</x:v>
      </x:c>
    </x:row>
    <x:row r="19" ht="48" customHeight="1">
      <x:c r="A19" s="29" t="str">
        <x:v>ESI-02</x:v>
      </x:c>
      <x:c r="B19" s="30" t="str">
        <x:v>B. 资料导入、接线、扫描和离线建站</x:v>
      </x:c>
      <x:c r="C19" s="30" t="str">
        <x:v>P0 / 在线扫描路径</x:v>
      </x:c>
      <x:c r="D19" s="30" t="str">
        <x:v>按接线图连接并上电，从 PLC 在线扫描、添加从站并保存工程</x:v>
      </x:c>
      <x:c r="E19" s="30" t="str">
        <x:v>扫描型号/修订/数量与实物一致；进入所声明建轴路径，能定位端口/供电错误</x:v>
      </x:c>
      <x:c r="F19" s="29" t="str">
        <x:v>E1、E3</x:v>
      </x:c>
      <x:c r="G19" s="23" t="str">
        <x:v>☐ 未测试</x:v>
      </x:c>
      <x:c r="H19" s="23" t="str">
        <x:v>☐ 未测试</x:v>
      </x:c>
      <x:c r="I19" s="23" t="str">
        <x:v>☐ 未测试</x:v>
      </x:c>
      <x:c r="J19" s="23" t="str">
        <x:v>☐ 未测试</x:v>
      </x:c>
      <x:c r="K19" s="23" t="str">
        <x:v>☐ 未测试</x:v>
      </x:c>
    </x:row>
    <x:row r="20" ht="48" customHeight="1">
      <x:c r="A20" s="6" t="str">
        <x:v>ESI-03</x:v>
      </x:c>
      <x:c r="B20" s="20" t="str">
        <x:v>B. 资料导入、接线、扫描和离线建站</x:v>
      </x:c>
      <x:c r="C20" s="20" t="str">
        <x:v>P1 / 离线建站路径</x:v>
      </x:c>
      <x:c r="D20" s="20" t="str">
        <x:v>无设备时离线创建、配置、编译；接入实际设备并下载</x:v>
      </x:c>
      <x:c r="E20" s="20" t="str">
        <x:v>与同版本在线扫描配置等价，差异可解释；无需临时复制开发者配置</x:v>
      </x:c>
      <x:c r="F20" s="6" t="str">
        <x:v>E1、E3</x:v>
      </x:c>
      <x:c r="G20" s="23" t="str">
        <x:v>☐ 未测试</x:v>
      </x:c>
      <x:c r="H20" s="23" t="str">
        <x:v>☐ 未测试</x:v>
      </x:c>
      <x:c r="I20" s="23" t="str">
        <x:v>☐ 未测试</x:v>
      </x:c>
      <x:c r="J20" s="23" t="str">
        <x:v>☐ 未测试</x:v>
      </x:c>
      <x:c r="K20" s="23" t="str">
        <x:v>☐ 未测试</x:v>
      </x:c>
    </x:row>
    <x:row r="21" ht="48" customHeight="1">
      <x:c r="A21" s="29" t="str">
        <x:v>ESI-04</x:v>
      </x:c>
      <x:c r="B21" s="30" t="str">
        <x:v>B. 资料导入、接线、扫描和离线建站</x:v>
      </x:c>
      <x:c r="C21" s="30" t="str">
        <x:v>P0 / 全部</x:v>
      </x:c>
      <x:c r="D21" s="30" t="str">
        <x:v>在台架使用不匹配 ESI/Revision 或同名旧文件；再按说明升级设备库</x:v>
      </x:c>
      <x:c r="E21" s="30" t="str">
        <x:v>不兼容项明确诊断且不使能；声明兼容的修订按规则匹配；恢复后配置正确</x:v>
      </x:c>
      <x:c r="F21" s="29" t="str">
        <x:v>E1、E3</x:v>
      </x:c>
      <x:c r="G21" s="23" t="str">
        <x:v>☐ 未测试</x:v>
      </x:c>
      <x:c r="H21" s="23" t="str">
        <x:v>☐ 未测试</x:v>
      </x:c>
      <x:c r="I21" s="23" t="str">
        <x:v>☐ 未测试</x:v>
      </x:c>
      <x:c r="J21" s="23" t="str">
        <x:v>☐ 未测试</x:v>
      </x:c>
      <x:c r="K21" s="23" t="str">
        <x:v>☐ 未测试</x:v>
      </x:c>
    </x:row>
    <x:row r="22" ht="48" customHeight="1">
      <x:c r="A22" s="6" t="str">
        <x:v>ESI-05</x:v>
      </x:c>
      <x:c r="B22" s="20" t="str">
        <x:v>B. 资料导入、接线、扫描和离线建站</x:v>
      </x:c>
      <x:c r="C22" s="20" t="str">
        <x:v>P0 / 多设备</x:v>
      </x:c>
      <x:c r="D22" s="20" t="str">
        <x:v>接入多台同型驱动，核对位置/别名/序列号等实际识别机制；改变一个节点位置</x:v>
      </x:c>
      <x:c r="E22" s="20" t="str">
        <x:v>PLC 轴与实物一一对应；错位被检测或要求重新确认，不发生错轴动作</x:v>
      </x:c>
      <x:c r="F22" s="6" t="str">
        <x:v>E0、E1、E4</x:v>
      </x:c>
      <x:c r="G22" s="23" t="str">
        <x:v>☐ 未测试</x:v>
      </x:c>
      <x:c r="H22" s="23" t="str">
        <x:v>☐ 未测试</x:v>
      </x:c>
      <x:c r="I22" s="23" t="str">
        <x:v>☐ 未测试</x:v>
      </x:c>
      <x:c r="J22" s="23" t="str">
        <x:v>☐ 未测试</x:v>
      </x:c>
      <x:c r="K22" s="23" t="str">
        <x:v>☐ 未测试</x:v>
      </x:c>
    </x:row>
    <x:row r="23" ht="48" customHeight="1">
      <x:c r="A23" s="29" t="str">
        <x:v>ESI-06</x:v>
      </x:c>
      <x:c r="B23" s="30" t="str">
        <x:v>B. 资料导入、接线、扫描和离线建站</x:v>
      </x:c>
      <x:c r="C23" s="30" t="str">
        <x:v>P0 / 全部</x:v>
      </x:c>
      <x:c r="D23" s="30" t="str">
        <x:v>核对 IN/OUT、线缆、屏蔽接地及实际拓扑；受控制造断链或错误端口连接</x:v>
      </x:c>
      <x:c r="E23" s="30" t="str">
        <x:v>正确接线稳定通信；错误可定位到链路/节点，不以关闭诊断换取上线</x:v>
      </x:c>
      <x:c r="F23" s="29" t="str">
        <x:v>E1、E3</x:v>
      </x:c>
      <x:c r="G23" s="23" t="str">
        <x:v>☐ 未测试</x:v>
      </x:c>
      <x:c r="H23" s="23" t="str">
        <x:v>☐ 未测试</x:v>
      </x:c>
      <x:c r="I23" s="23" t="str">
        <x:v>☐ 未测试</x:v>
      </x:c>
      <x:c r="J23" s="23" t="str">
        <x:v>☐ 未测试</x:v>
      </x:c>
      <x:c r="K23" s="23" t="str">
        <x:v>☐ 未测试</x:v>
      </x:c>
    </x:row>
    <x:row r="24" ht="48" customHeight="1">
      <x:c r="A24" s="6" t="str">
        <x:v>ESI-07</x:v>
      </x:c>
      <x:c r="B24" s="20" t="str">
        <x:v>B. 资料导入、接线、扫描和离线建站</x:v>
      </x:c>
      <x:c r="C24" s="20" t="str">
        <x:v>P1 / PLC提供在线描述回退时</x:v>
      </x:c>
      <x:c r="D24" s="20" t="str">
        <x:v>分别使用正式 ESI与在线读取设备描述；比较设备、PDO和建轴结果</x:v>
      </x:c>
      <x:c r="E24" s="20" t="str">
        <x:v>支持差异有说明；在线描述缺少信息时明确要求正式 ESI，不作为完整交付替代物</x:v>
      </x:c>
      <x:c r="F24" s="6" t="str">
        <x:v>E1、E3</x:v>
      </x:c>
      <x:c r="G24" s="23" t="str">
        <x:v>☐ 未测试</x:v>
      </x:c>
      <x:c r="H24" s="23" t="str">
        <x:v>☐ 未测试</x:v>
      </x:c>
      <x:c r="I24" s="23" t="str">
        <x:v>☐ 未测试</x:v>
      </x:c>
      <x:c r="J24" s="23" t="str">
        <x:v>☐ 未测试</x:v>
      </x:c>
      <x:c r="K24" s="23" t="str">
        <x:v>☐ 未测试</x:v>
      </x:c>
    </x:row>
    <x:row r="25" ht="48" customHeight="1">
      <x:c r="A25" s="29" t="str">
        <x:v>ESI-08</x:v>
      </x:c>
      <x:c r="B25" s="30" t="str">
        <x:v>B. 资料导入、接线、扫描和离线建站</x:v>
      </x:c>
      <x:c r="C25" s="30" t="str">
        <x:v>P1 / 全部</x:v>
      </x:c>
      <x:c r="D25" s="30" t="str">
        <x:v>从厂家驱动工具读取设备信息/参数，再仅用 PLC 端完成约定调试动作</x:v>
      </x:c>
      <x:c r="E25" s="30" t="str">
        <x:v>手册注明必须使用厂家工具的步骤；承诺 PLC 可完成的步骤均可复现</x:v>
      </x:c>
      <x:c r="F25" s="29" t="str">
        <x:v>E1、E5</x:v>
      </x:c>
      <x:c r="G25" s="23" t="str">
        <x:v>☐ 未测试</x:v>
      </x:c>
      <x:c r="H25" s="23" t="str">
        <x:v>☐ 未测试</x:v>
      </x:c>
      <x:c r="I25" s="23" t="str">
        <x:v>☐ 未测试</x:v>
      </x:c>
      <x:c r="J25" s="23" t="str">
        <x:v>☐ 未测试</x:v>
      </x:c>
      <x:c r="K25" s="23" t="str">
        <x:v>☐ 未测试</x:v>
      </x:c>
    </x:row>
    <x:row r="26" ht="48" customHeight="1">
      <x:c r="A26" s="27" t="str">
        <x:v>COM-01</x:v>
      </x:c>
      <x:c r="B26" s="28" t="str">
        <x:v>C. 过程数据、启动参数、状态转换与同步</x:v>
      </x:c>
      <x:c r="C26" s="25" t="str">
        <x:v>P0 / 全部</x:v>
      </x:c>
      <x:c r="D26" s="25" t="str">
        <x:v>冷启动并观察 INIT→PREOP→SAFEOP→OP；逐级请求退态，再上线</x:v>
      </x:c>
      <x:c r="E26" s="25" t="str">
        <x:v>各阶段通信/数据有效性及输出反应符合声明；T_boot内完成，失败有 AL 原因；OP 与使能分开</x:v>
      </x:c>
      <x:c r="F26" s="24" t="str">
        <x:v>E2、E3</x:v>
      </x:c>
      <x:c r="G26" s="26" t="str">
        <x:v>☐ 未测试</x:v>
      </x:c>
      <x:c r="H26" s="26" t="str">
        <x:v>☐ 未测试</x:v>
      </x:c>
      <x:c r="I26" s="26" t="str">
        <x:v>☐ 未测试</x:v>
      </x:c>
      <x:c r="J26" s="26" t="str">
        <x:v>☐ 未测试</x:v>
      </x:c>
      <x:c r="K26" s="26" t="str">
        <x:v>☐ 未测试</x:v>
      </x:c>
    </x:row>
    <x:row r="27" ht="48" customHeight="1">
      <x:c r="A27" s="29" t="str">
        <x:v>COM-02</x:v>
      </x:c>
      <x:c r="B27" s="30" t="str">
        <x:v>C. 过程数据、启动参数、状态转换与同步</x:v>
      </x:c>
      <x:c r="C27" s="30" t="str">
        <x:v>P0 / 全部</x:v>
      </x:c>
      <x:c r="D27" s="30" t="str">
        <x:v>对每套交付 Rx/Tx PDO逐字段写入/观察正负及边界值，核对长度、偏移、方向、位宽与数据类型</x:v>
      </x:c>
      <x:c r="E27" s="30" t="str">
        <x:v>PLC与驱动解码一致，无相邻字段污染、符号/字节序错误；重启仍一致</x:v>
      </x:c>
      <x:c r="F27" s="29" t="str">
        <x:v>E1、E2</x:v>
      </x:c>
      <x:c r="G27" s="23" t="str">
        <x:v>☐ 未测试</x:v>
      </x:c>
      <x:c r="H27" s="23" t="str">
        <x:v>☐ 未测试</x:v>
      </x:c>
      <x:c r="I27" s="23" t="str">
        <x:v>☐ 未测试</x:v>
      </x:c>
      <x:c r="J27" s="23" t="str">
        <x:v>☐ 未测试</x:v>
      </x:c>
      <x:c r="K27" s="23" t="str">
        <x:v>☐ 未测试</x:v>
      </x:c>
    </x:row>
    <x:row r="28" ht="48" customHeight="1">
      <x:c r="A28" s="6" t="str">
        <x:v>COM-03</x:v>
      </x:c>
      <x:c r="B28" s="20" t="str">
        <x:v>C. 过程数据、启动参数、状态转换与同步</x:v>
      </x:c>
      <x:c r="C28" s="20" t="str">
        <x:v>P1 / 选配或动态PDO</x:v>
      </x:c>
      <x:c r="D28" s="20" t="str">
        <x:v>切换每种承诺模板；若支持动态映射，依规定状态与顺序修改映射/分配，再重启</x:v>
      </x:c>
      <x:c r="E28" s="20" t="str">
        <x:v>合法组合生效且长度一致；不合法/不支持组合被明确拒绝，原配置可恢复</x:v>
      </x:c>
      <x:c r="F28" s="6" t="str">
        <x:v>E1、E3</x:v>
      </x:c>
      <x:c r="G28" s="23" t="str">
        <x:v>☐ 未测试</x:v>
      </x:c>
      <x:c r="H28" s="23" t="str">
        <x:v>☐ 未测试</x:v>
      </x:c>
      <x:c r="I28" s="23" t="str">
        <x:v>☐ 未测试</x:v>
      </x:c>
      <x:c r="J28" s="23" t="str">
        <x:v>☐ 未测试</x:v>
      </x:c>
      <x:c r="K28" s="23" t="str">
        <x:v>☐ 未测试</x:v>
      </x:c>
    </x:row>
    <x:row r="29" ht="48" customHeight="1">
      <x:c r="A29" s="29" t="str">
        <x:v>COM-04</x:v>
      </x:c>
      <x:c r="B29" s="30" t="str">
        <x:v>C. 过程数据、启动参数、状态转换与同步</x:v>
      </x:c>
      <x:c r="C29" s="30" t="str">
        <x:v>P0 / CoE</x:v>
      </x:c>
      <x:c r="D29" s="30" t="str">
        <x:v>普通 SDO读取/写入实际对象；覆盖不存在索引、只读、越界值、错误长度及不允许的状态</x:v>
      </x:c>
      <x:c r="E29" s="30" t="str">
        <x:v>成功项读回正确；失败返回匹配原因的 abort/平台错误，无挂死或未说明的参数改变</x:v>
      </x:c>
      <x:c r="F29" s="29" t="str">
        <x:v>E1、E3</x:v>
      </x:c>
      <x:c r="G29" s="23" t="str">
        <x:v>☐ 未测试</x:v>
      </x:c>
      <x:c r="H29" s="23" t="str">
        <x:v>☐ 未测试</x:v>
      </x:c>
      <x:c r="I29" s="23" t="str">
        <x:v>☐ 未测试</x:v>
      </x:c>
      <x:c r="J29" s="23" t="str">
        <x:v>☐ 未测试</x:v>
      </x:c>
      <x:c r="K29" s="23" t="str">
        <x:v>☐ 未测试</x:v>
      </x:c>
    </x:row>
    <x:row r="30" ht="48" customHeight="1">
      <x:c r="A30" s="6" t="str">
        <x:v>COM-05</x:v>
      </x:c>
      <x:c r="B30" s="20" t="str">
        <x:v>C. 过程数据、启动参数、状态转换与同步</x:v>
      </x:c>
      <x:c r="C30" s="20" t="str">
        <x:v>P1 / CA声明或主站会请求CA</x:v>
      </x:c>
      <x:c r="D30" s="20" t="str">
        <x:v>对实际支持对象分别执行单子项与 Complete Access；同时覆盖不支持对象</x:v>
      </x:c>
      <x:c r="E30" s="20" t="str">
        <x:v>ESI、对象能力与实测一致；不支持项按主站约定报错/回退，不把失败静默吞掉</x:v>
      </x:c>
      <x:c r="F30" s="6" t="str">
        <x:v>E1、E3</x:v>
      </x:c>
      <x:c r="G30" s="23" t="str">
        <x:v>☐ 未测试</x:v>
      </x:c>
      <x:c r="H30" s="23" t="str">
        <x:v>☐ 未测试</x:v>
      </x:c>
      <x:c r="I30" s="23" t="str">
        <x:v>☐ 未测试</x:v>
      </x:c>
      <x:c r="J30" s="23" t="str">
        <x:v>☐ 未测试</x:v>
      </x:c>
      <x:c r="K30" s="23" t="str">
        <x:v>☐ 未测试</x:v>
      </x:c>
    </x:row>
    <x:row r="31" ht="48" customHeight="1">
      <x:c r="A31" s="29" t="str">
        <x:v>COM-06</x:v>
      </x:c>
      <x:c r="B31" s="30" t="str">
        <x:v>C. 过程数据、启动参数、状态转换与同步</x:v>
      </x:c>
      <x:c r="C31" s="30" t="str">
        <x:v>P0 / 全部</x:v>
      </x:c>
      <x:c r="D31" s="30" t="str">
        <x:v>用正式 Startup SDO序列冷启动；使一个写入失败；核对先后顺序和继续/中止策略</x:v>
      </x:c>
      <x:c r="E31" s="30" t="str">
        <x:v>配置有效时才能进入约定运行；失败对象、数值和状态可定位，不带错参数使能</x:v>
      </x:c>
      <x:c r="F31" s="29" t="str">
        <x:v>E1、E3</x:v>
      </x:c>
      <x:c r="G31" s="23" t="str">
        <x:v>☐ 未测试</x:v>
      </x:c>
      <x:c r="H31" s="23" t="str">
        <x:v>☐ 未测试</x:v>
      </x:c>
      <x:c r="I31" s="23" t="str">
        <x:v>☐ 未测试</x:v>
      </x:c>
      <x:c r="J31" s="23" t="str">
        <x:v>☐ 未测试</x:v>
      </x:c>
      <x:c r="K31" s="23" t="str">
        <x:v>☐ 未测试</x:v>
      </x:c>
    </x:row>
    <x:row r="32" ht="48" customHeight="1">
      <x:c r="A32" s="6" t="str">
        <x:v>COM-07</x:v>
      </x:c>
      <x:c r="B32" s="20" t="str">
        <x:v>C. 过程数据、启动参数、状态转换与同步</x:v>
      </x:c>
      <x:c r="C32" s="20" t="str">
        <x:v>P0 / 同步运动</x:v>
      </x:c>
      <x:c r="D32" s="20" t="str">
        <x:v>对 C_set每个承诺周期及实际支持同步模式测试；加入一个非法周期/相位配置</x:v>
      </x:c>
      <x:c r="E32" s="20" t="str">
        <x:v>合法配置在 J_max/D_max内稳定；非法配置有确定拒绝/诊断，无伪装同步</x:v>
      </x:c>
      <x:c r="F32" s="6" t="str">
        <x:v>E1、E2、E3</x:v>
      </x:c>
      <x:c r="G32" s="23" t="str">
        <x:v>☐ 未测试</x:v>
      </x:c>
      <x:c r="H32" s="23" t="str">
        <x:v>☐ 未测试</x:v>
      </x:c>
      <x:c r="I32" s="23" t="str">
        <x:v>☐ 未测试</x:v>
      </x:c>
      <x:c r="J32" s="23" t="str">
        <x:v>☐ 未测试</x:v>
      </x:c>
      <x:c r="K32" s="23" t="str">
        <x:v>☐ 未测试</x:v>
      </x:c>
    </x:row>
    <x:row r="33" ht="48" customHeight="1">
      <x:c r="A33" s="29" t="str">
        <x:v>COM-08</x:v>
      </x:c>
      <x:c r="B33" s="30" t="str">
        <x:v>C. 过程数据、启动参数、状态转换与同步</x:v>
      </x:c>
      <x:c r="C33" s="30" t="str">
        <x:v>P0 / DC</x:v>
      </x:c>
      <x:c r="D33" s="30" t="str">
        <x:v>核对参考时钟、运动/总线任务周期与相位；改变允许的拓扑/参考时钟位置后重启</x:v>
      </x:c>
      <x:c r="E33" s="30" t="str">
        <x:v>数据到达与采样/执行时序符合配置，参考时钟来源明确；不直接套用另一PLC的参数</x:v>
      </x:c>
      <x:c r="F33" s="29" t="str">
        <x:v>E1、E3</x:v>
      </x:c>
      <x:c r="G33" s="23" t="str">
        <x:v>☐ 未测试</x:v>
      </x:c>
      <x:c r="H33" s="23" t="str">
        <x:v>☐ 未测试</x:v>
      </x:c>
      <x:c r="I33" s="23" t="str">
        <x:v>☐ 未测试</x:v>
      </x:c>
      <x:c r="J33" s="23" t="str">
        <x:v>☐ 未测试</x:v>
      </x:c>
      <x:c r="K33" s="23" t="str">
        <x:v>☐ 未测试</x:v>
      </x:c>
    </x:row>
    <x:row r="34" ht="48" customHeight="1">
      <x:c r="A34" s="6" t="str">
        <x:v>COM-09</x:v>
      </x:c>
      <x:c r="B34" s="20" t="str">
        <x:v>C. 过程数据、启动参数、状态转换与同步</x:v>
      </x:c>
      <x:c r="C34" s="20" t="str">
        <x:v>P1 / 后台参数访问</x:v>
      </x:c>
      <x:c r="D34" s="20" t="str">
        <x:v>运动时按 B_mailbox运行 SDO轮询/合法参数访问，制造超时和重试</x:v>
      </x:c>
      <x:c r="E34" s="20" t="str">
        <x:v>周期运动仍满足指标；T_sdo/R_sdo处理明确，无邮箱死锁，错误访问可恢复</x:v>
      </x:c>
      <x:c r="F34" s="6" t="str">
        <x:v>E2、E3</x:v>
      </x:c>
      <x:c r="G34" s="23" t="str">
        <x:v>☐ 未测试</x:v>
      </x:c>
      <x:c r="H34" s="23" t="str">
        <x:v>☐ 未测试</x:v>
      </x:c>
      <x:c r="I34" s="23" t="str">
        <x:v>☐ 未测试</x:v>
      </x:c>
      <x:c r="J34" s="23" t="str">
        <x:v>☐ 未测试</x:v>
      </x:c>
      <x:c r="K34" s="23" t="str">
        <x:v>☐ 未测试</x:v>
      </x:c>
    </x:row>
    <x:row r="35" ht="48" customHeight="1">
      <x:c r="A35" s="29" t="str">
        <x:v>COM-10</x:v>
      </x:c>
      <x:c r="B35" s="30" t="str">
        <x:v>C. 过程数据、启动参数、状态转换与同步</x:v>
      </x:c>
      <x:c r="C35" s="30" t="str">
        <x:v>P1 / 多任务或直接I/O控制</x:v>
      </x:c>
      <x:c r="D35" s="30" t="str">
        <x:v>分别核对运动任务、总线任务、HMI和调试工具对同一输出的访问；测试控制权切换</x:v>
      </x:c>
      <x:c r="E35" s="30" t="str">
        <x:v>始终只有明确权威写入者；相互覆盖被阻止/诊断；切换前后目标连续</x:v>
      </x:c>
      <x:c r="F35" s="29" t="str">
        <x:v>E1、E2</x:v>
      </x:c>
      <x:c r="G35" s="23" t="str">
        <x:v>☐ 未测试</x:v>
      </x:c>
      <x:c r="H35" s="23" t="str">
        <x:v>☐ 未测试</x:v>
      </x:c>
      <x:c r="I35" s="23" t="str">
        <x:v>☐ 未测试</x:v>
      </x:c>
      <x:c r="J35" s="23" t="str">
        <x:v>☐ 未测试</x:v>
      </x:c>
      <x:c r="K35" s="23" t="str">
        <x:v>☐ 未测试</x:v>
      </x:c>
    </x:row>
    <x:row r="36" ht="48" customHeight="1">
      <x:c r="A36" s="27" t="str">
        <x:v>DRV-01</x:v>
      </x:c>
      <x:c r="B36" s="28" t="str">
        <x:v>D. 驱动使能、模式和控制权</x:v>
      </x:c>
      <x:c r="C36" s="25" t="str">
        <x:v>P0 / 全部</x:v>
      </x:c>
      <x:c r="D36" s="25" t="str">
        <x:v>分别按驱动手册时序和客户 PLC使能入口完成 CiA402允许的上/下电状态转换</x:v>
      </x:c>
      <x:c r="E36" s="25" t="str">
        <x:v>控制字、状态字、PLC轴状态一致；不采用固定整字值忽略模式/警告位；T_enable内完成</x:v>
      </x:c>
      <x:c r="F36" s="24" t="str">
        <x:v>E2</x:v>
      </x:c>
      <x:c r="G36" s="26" t="str">
        <x:v>☐ 未测试</x:v>
      </x:c>
      <x:c r="H36" s="26" t="str">
        <x:v>☐ 未测试</x:v>
      </x:c>
      <x:c r="I36" s="26" t="str">
        <x:v>☐ 未测试</x:v>
      </x:c>
      <x:c r="J36" s="26" t="str">
        <x:v>☐ 未测试</x:v>
      </x:c>
      <x:c r="K36" s="26" t="str">
        <x:v>☐ 未测试</x:v>
      </x:c>
    </x:row>
    <x:row r="37" ht="48" customHeight="1">
      <x:c r="A37" s="29" t="str">
        <x:v>DRV-02</x:v>
      </x:c>
      <x:c r="B37" s="30" t="str">
        <x:v>D. 驱动使能、模式和控制权</x:v>
      </x:c>
      <x:c r="C37" s="30" t="str">
        <x:v>P0 / 全部</x:v>
      </x:c>
      <x:c r="D37" s="30" t="str">
        <x:v>MC_Power/等效命令分别在电源未就绪、硬件使能/STO条件未满足时请求使能；恢复条件后再操作</x:v>
      </x:c>
      <x:c r="E37" s="30" t="str">
        <x:v>拒绝原因可见；条件恢复的动作符合书面策略，不能由先前保持命令造成意外运动</x:v>
      </x:c>
      <x:c r="F37" s="29" t="str">
        <x:v>E2、E4</x:v>
      </x:c>
      <x:c r="G37" s="23" t="str">
        <x:v>☐ 未测试</x:v>
      </x:c>
      <x:c r="H37" s="23" t="str">
        <x:v>☐ 未测试</x:v>
      </x:c>
      <x:c r="I37" s="23" t="str">
        <x:v>☐ 未测试</x:v>
      </x:c>
      <x:c r="J37" s="23" t="str">
        <x:v>☐ 未测试</x:v>
      </x:c>
      <x:c r="K37" s="23" t="str">
        <x:v>☐ 未测试</x:v>
      </x:c>
    </x:row>
    <x:row r="38" ht="48" customHeight="1">
      <x:c r="A38" s="6" t="str">
        <x:v>DRV-03</x:v>
      </x:c>
      <x:c r="B38" s="20" t="str">
        <x:v>D. 驱动使能、模式和控制权</x:v>
      </x:c>
      <x:c r="C38" s="20" t="str">
        <x:v>P0 / 各支持模式</x:v>
      </x:c>
      <x:c r="D38" s="20" t="str">
        <x:v>逐个请求模式，观测0x6060/0x6061或约定反馈；请求一个不支持模式</x:v>
      </x:c>
      <x:c r="E38" s="20" t="str">
        <x:v>支持项T_mode内握手，PLC按真实反馈继续；不支持项明确拒绝，无旧模式目标误执行</x:v>
      </x:c>
      <x:c r="F38" s="6" t="str">
        <x:v>E1、E2</x:v>
      </x:c>
      <x:c r="G38" s="23" t="str">
        <x:v>☐ 未测试</x:v>
      </x:c>
      <x:c r="H38" s="23" t="str">
        <x:v>☐ 未测试</x:v>
      </x:c>
      <x:c r="I38" s="23" t="str">
        <x:v>☐ 未测试</x:v>
      </x:c>
      <x:c r="J38" s="23" t="str">
        <x:v>☐ 未测试</x:v>
      </x:c>
      <x:c r="K38" s="23" t="str">
        <x:v>☐ 未测试</x:v>
      </x:c>
    </x:row>
    <x:row r="39" ht="48" customHeight="1">
      <x:c r="A39" s="29" t="str">
        <x:v>DRV-04</x:v>
      </x:c>
      <x:c r="B39" s="30" t="str">
        <x:v>D. 驱动使能、模式和控制权</x:v>
      </x:c>
      <x:c r="C39" s="30" t="str">
        <x:v>P0 / 可切模式</x:v>
      </x:c>
      <x:c r="D39" s="30" t="str">
        <x:v>依允许的驱动状态进行模式切换；覆盖正在运动、静止、未使能时的允许/禁止分支</x:v>
      </x:c>
      <x:c r="E39" s="30" t="str">
        <x:v>被允许的切换遵守目标初始化/限幅和握手；禁止切换不静默发生；瞬态满足P_jump/V_jump</x:v>
      </x:c>
      <x:c r="F39" s="29" t="str">
        <x:v>E2、E4</x:v>
      </x:c>
      <x:c r="G39" s="23" t="str">
        <x:v>☐ 未测试</x:v>
      </x:c>
      <x:c r="H39" s="23" t="str">
        <x:v>☐ 未测试</x:v>
      </x:c>
      <x:c r="I39" s="23" t="str">
        <x:v>☐ 未测试</x:v>
      </x:c>
      <x:c r="J39" s="23" t="str">
        <x:v>☐ 未测试</x:v>
      </x:c>
      <x:c r="K39" s="23" t="str">
        <x:v>☐ 未测试</x:v>
      </x:c>
    </x:row>
    <x:row r="40" ht="48" customHeight="1">
      <x:c r="A40" s="6" t="str">
        <x:v>DRV-05</x:v>
      </x:c>
      <x:c r="B40" s="20" t="str">
        <x:v>D. 驱动使能、模式和控制权</x:v>
      </x:c>
      <x:c r="C40" s="20" t="str">
        <x:v>P0 / CSP或位置接管</x:v>
      </x:c>
      <x:c r="D40" s="20" t="str">
        <x:v>在实际非零位置首次使能、撤使能后再使能，并让旧目标与当前位置故意不同</x:v>
      </x:c>
      <x:c r="E40" s="20" t="str">
        <x:v>PLC在统一坐标中建立有效接管目标；无旧目标突跳，瞬态满足P_jump/V_jump</x:v>
      </x:c>
      <x:c r="F40" s="6" t="str">
        <x:v>E2、E4</x:v>
      </x:c>
      <x:c r="G40" s="23" t="str">
        <x:v>☐ 未测试</x:v>
      </x:c>
      <x:c r="H40" s="23" t="str">
        <x:v>☐ 未测试</x:v>
      </x:c>
      <x:c r="I40" s="23" t="str">
        <x:v>☐ 未测试</x:v>
      </x:c>
      <x:c r="J40" s="23" t="str">
        <x:v>☐ 未测试</x:v>
      </x:c>
      <x:c r="K40" s="23" t="str">
        <x:v>☐ 未测试</x:v>
      </x:c>
    </x:row>
    <x:row r="41" ht="48" customHeight="1">
      <x:c r="A41" s="29" t="str">
        <x:v>DRV-06</x:v>
      </x:c>
      <x:c r="B41" s="30" t="str">
        <x:v>D. 驱动使能、模式和控制权</x:v>
      </x:c>
      <x:c r="C41" s="30" t="str">
        <x:v>P0 / 全部</x:v>
      </x:c>
      <x:c r="D41" s="30" t="str">
        <x:v>运动中撤使能、Disable voltage及已支持 Quick stop；核对相关停止选项</x:v>
      </x:c>
      <x:c r="E41" s="30" t="str">
        <x:v>每种命令的减速/失转矩/制动和终态符合手册与负载基线，不能只验证状态位</x:v>
      </x:c>
      <x:c r="F41" s="29" t="str">
        <x:v>E1、E2、E4</x:v>
      </x:c>
      <x:c r="G41" s="23" t="str">
        <x:v>☐ 未测试</x:v>
      </x:c>
      <x:c r="H41" s="23" t="str">
        <x:v>☐ 未测试</x:v>
      </x:c>
      <x:c r="I41" s="23" t="str">
        <x:v>☐ 未测试</x:v>
      </x:c>
      <x:c r="J41" s="23" t="str">
        <x:v>☐ 未测试</x:v>
      </x:c>
      <x:c r="K41" s="23" t="str">
        <x:v>☐ 未测试</x:v>
      </x:c>
    </x:row>
    <x:row r="42" ht="48" customHeight="1">
      <x:c r="A42" s="6" t="str">
        <x:v>DRV-07</x:v>
      </x:c>
      <x:c r="B42" s="20" t="str">
        <x:v>D. 驱动使能、模式和控制权</x:v>
      </x:c>
      <x:c r="C42" s="20" t="str">
        <x:v>P0 / 全部</x:v>
      </x:c>
      <x:c r="D42" s="20" t="str">
        <x:v>设置/保持 Fault reset命令，故障存在和清除后分别操作；再次引发故障</x:v>
      </x:c>
      <x:c r="E42" s="20" t="str">
        <x:v>复位触发条件正确；不假恢复或因复位位常高形成不受控循环；复位后运动需既定授权</x:v>
      </x:c>
      <x:c r="F42" s="6" t="str">
        <x:v>E2、E3</x:v>
      </x:c>
      <x:c r="G42" s="23" t="str">
        <x:v>☐ 未测试</x:v>
      </x:c>
      <x:c r="H42" s="23" t="str">
        <x:v>☐ 未测试</x:v>
      </x:c>
      <x:c r="I42" s="23" t="str">
        <x:v>☐ 未测试</x:v>
      </x:c>
      <x:c r="J42" s="23" t="str">
        <x:v>☐ 未测试</x:v>
      </x:c>
      <x:c r="K42" s="23" t="str">
        <x:v>☐ 未测试</x:v>
      </x:c>
    </x:row>
    <x:row r="43" ht="48" customHeight="1">
      <x:c r="A43" s="29" t="str">
        <x:v>DRV-08</x:v>
      </x:c>
      <x:c r="B43" s="30" t="str">
        <x:v>D. 驱动使能、模式和控制权</x:v>
      </x:c>
      <x:c r="C43" s="30" t="str">
        <x:v>P1 / 各支持模式</x:v>
      </x:c>
      <x:c r="D43" s="30" t="str">
        <x:v>在未到位、达到目标、跟随受限、警告及回零过程中读取状态字</x:v>
      </x:c>
      <x:c r="E43" s="30" t="str">
        <x:v>PLC按模式解释专用位；完成/内部限幅/警告与实测一致，不把警告误作致命错误</x:v>
      </x:c>
      <x:c r="F43" s="29" t="str">
        <x:v>E2</x:v>
      </x:c>
      <x:c r="G43" s="23" t="str">
        <x:v>☐ 未测试</x:v>
      </x:c>
      <x:c r="H43" s="23" t="str">
        <x:v>☐ 未测试</x:v>
      </x:c>
      <x:c r="I43" s="23" t="str">
        <x:v>☐ 未测试</x:v>
      </x:c>
      <x:c r="J43" s="23" t="str">
        <x:v>☐ 未测试</x:v>
      </x:c>
      <x:c r="K43" s="23" t="str">
        <x:v>☐ 未测试</x:v>
      </x:c>
    </x:row>
    <x:row r="44" ht="48" customHeight="1">
      <x:c r="A44" s="6" t="str">
        <x:v>DRV-09</x:v>
      </x:c>
      <x:c r="B44" s="20" t="str">
        <x:v>D. 驱动使能、模式和控制权</x:v>
      </x:c>
      <x:c r="C44" s="20" t="str">
        <x:v>P0 / 本地/总线切换</x:v>
      </x:c>
      <x:c r="D44" s="20" t="str">
        <x:v>厂家软件点动后转 PLC控制，再切回；保留上一路径Enable/目标以验证互锁</x:v>
      </x:c>
      <x:c r="E44" s="20" t="str">
        <x:v>控制权可识别，冲突明确拒绝或受控交接；切换无意外动作，恢复步骤已交付</x:v>
      </x:c>
      <x:c r="F44" s="6" t="str">
        <x:v>E1、E2、E4</x:v>
      </x:c>
      <x:c r="G44" s="23" t="str">
        <x:v>☐ 未测试</x:v>
      </x:c>
      <x:c r="H44" s="23" t="str">
        <x:v>☐ 未测试</x:v>
      </x:c>
      <x:c r="I44" s="23" t="str">
        <x:v>☐ 未测试</x:v>
      </x:c>
      <x:c r="J44" s="23" t="str">
        <x:v>☐ 未测试</x:v>
      </x:c>
      <x:c r="K44" s="23" t="str">
        <x:v>☐ 未测试</x:v>
      </x:c>
    </x:row>
    <x:row r="45" ht="48" customHeight="1">
      <x:c r="A45" s="33" t="str">
        <x:v>UNT-01</x:v>
      </x:c>
      <x:c r="B45" s="34" t="str">
        <x:v>E. 单位、坐标、方向和位置有效性</x:v>
      </x:c>
      <x:c r="C45" s="32" t="str">
        <x:v>P0 / 位置轴</x:v>
      </x:c>
      <x:c r="D45" s="32" t="str">
        <x:v>记录编码器计数、齿轮比、导程、PLC与驱动缩放；命令一段已知正负距离并实测</x:v>
      </x:c>
      <x:c r="E45" s="32" t="str">
        <x:v>命令、反馈、机械距离满足E_pos；公式可复算，未重复缩放或漏掉电子齿轮</x:v>
      </x:c>
      <x:c r="F45" s="31" t="str">
        <x:v>E1、E2、E4</x:v>
      </x:c>
      <x:c r="G45" s="26" t="str">
        <x:v>☐ 未测试</x:v>
      </x:c>
      <x:c r="H45" s="26" t="str">
        <x:v>☐ 未测试</x:v>
      </x:c>
      <x:c r="I45" s="26" t="str">
        <x:v>☐ 未测试</x:v>
      </x:c>
      <x:c r="J45" s="26" t="str">
        <x:v>☐ 未测试</x:v>
      </x:c>
      <x:c r="K45" s="26" t="str">
        <x:v>☐ 未测试</x:v>
      </x:c>
    </x:row>
    <x:row r="46" ht="48" customHeight="1">
      <x:c r="A46" s="6" t="str">
        <x:v>UNT-02</x:v>
      </x:c>
      <x:c r="B46" s="20" t="str">
        <x:v>E. 单位、坐标、方向和位置有效性</x:v>
      </x:c>
      <x:c r="C46" s="20" t="str">
        <x:v>P0 / 各速度转矩路径</x:v>
      </x:c>
      <x:c r="D46" s="20" t="str">
        <x:v>施加已知速度/转矩及正负限值；核对 rpm、工程单位/s、额定转矩比例等实际单位</x:v>
      </x:c>
      <x:c r="E46" s="20" t="str">
        <x:v>PLC显示、对象原始值和可用物理测量一致，零点/符号/限幅满足契约</x:v>
      </x:c>
      <x:c r="F46" s="6" t="str">
        <x:v>E1、E2、E4</x:v>
      </x:c>
      <x:c r="G46" s="23" t="str">
        <x:v>☐ 未测试</x:v>
      </x:c>
      <x:c r="H46" s="23" t="str">
        <x:v>☐ 未测试</x:v>
      </x:c>
      <x:c r="I46" s="23" t="str">
        <x:v>☐ 未测试</x:v>
      </x:c>
      <x:c r="J46" s="23" t="str">
        <x:v>☐ 未测试</x:v>
      </x:c>
      <x:c r="K46" s="23" t="str">
        <x:v>☐ 未测试</x:v>
      </x:c>
    </x:row>
    <x:row r="47" ht="48" customHeight="1">
      <x:c r="A47" s="29" t="str">
        <x:v>UNT-03</x:v>
      </x:c>
      <x:c r="B47" s="30" t="str">
        <x:v>E. 单位、坐标、方向和位置有效性</x:v>
      </x:c>
      <x:c r="C47" s="30" t="str">
        <x:v>P0 / 有运动</x:v>
      </x:c>
      <x:c r="D47" s="30" t="str">
        <x:v>低速正反点动；在允许方式下改变方向配置；再次检查原点、限位和反馈</x:v>
      </x:c>
      <x:c r="E47" s="30" t="str">
        <x:v>正向定义唯一，命令与反馈符号一致；限位和回零方向随最终坐标正确设置</x:v>
      </x:c>
      <x:c r="F47" s="29" t="str">
        <x:v>E1、E2、E4</x:v>
      </x:c>
      <x:c r="G47" s="23" t="str">
        <x:v>☐ 未测试</x:v>
      </x:c>
      <x:c r="H47" s="23" t="str">
        <x:v>☐ 未测试</x:v>
      </x:c>
      <x:c r="I47" s="23" t="str">
        <x:v>☐ 未测试</x:v>
      </x:c>
      <x:c r="J47" s="23" t="str">
        <x:v>☐ 未测试</x:v>
      </x:c>
      <x:c r="K47" s="23" t="str">
        <x:v>☐ 未测试</x:v>
      </x:c>
    </x:row>
    <x:row r="48" ht="48" customHeight="1">
      <x:c r="A48" s="6" t="str">
        <x:v>UNT-04</x:v>
      </x:c>
      <x:c r="B48" s="20" t="str">
        <x:v>E. 单位、坐标、方向和位置有效性</x:v>
      </x:c>
      <x:c r="C48" s="20" t="str">
        <x:v>P0 / 允许设坐标/偏置</x:v>
      </x:c>
      <x:c r="D48" s="20" t="str">
        <x:v>执行PLC设位置、驱动偏置或等效操作；分别在允许与禁止的轴状态尝试</x:v>
      </x:c>
      <x:c r="E48" s="20" t="str">
        <x:v>逻辑坐标变化符合规则，机械无误动作；不被误认作实际回零，重启保持规则清楚</x:v>
      </x:c>
      <x:c r="F48" s="6" t="str">
        <x:v>E1、E2、E4</x:v>
      </x:c>
      <x:c r="G48" s="23" t="str">
        <x:v>☐ 未测试</x:v>
      </x:c>
      <x:c r="H48" s="23" t="str">
        <x:v>☐ 未测试</x:v>
      </x:c>
      <x:c r="I48" s="23" t="str">
        <x:v>☐ 未测试</x:v>
      </x:c>
      <x:c r="J48" s="23" t="str">
        <x:v>☐ 未测试</x:v>
      </x:c>
      <x:c r="K48" s="23" t="str">
        <x:v>☐ 未测试</x:v>
      </x:c>
    </x:row>
    <x:row r="49" ht="48" customHeight="1">
      <x:c r="A49" s="29" t="str">
        <x:v>UNT-05</x:v>
      </x:c>
      <x:c r="B49" s="30" t="str">
        <x:v>E. 单位、坐标、方向和位置有效性</x:v>
      </x:c>
      <x:c r="C49" s="30" t="str">
        <x:v>P0 / 绝对值反馈</x:v>
      </x:c>
      <x:c r="D49" s="30" t="str">
        <x:v>在不同位置重启PLC/驱动；在受控条件下断电后移动轴再上电</x:v>
      </x:c>
      <x:c r="E49" s="30" t="str">
        <x:v>机器坐标与真实位置符合声明；失效/电池或多圈信息异常可识别，未校准不误放行</x:v>
      </x:c>
      <x:c r="F49" s="29" t="str">
        <x:v>E2、E4</x:v>
      </x:c>
      <x:c r="G49" s="23" t="str">
        <x:v>☐ 未测试</x:v>
      </x:c>
      <x:c r="H49" s="23" t="str">
        <x:v>☐ 未测试</x:v>
      </x:c>
      <x:c r="I49" s="23" t="str">
        <x:v>☐ 未测试</x:v>
      </x:c>
      <x:c r="J49" s="23" t="str">
        <x:v>☐ 未测试</x:v>
      </x:c>
      <x:c r="K49" s="23" t="str">
        <x:v>☐ 未测试</x:v>
      </x:c>
    </x:row>
    <x:row r="50" ht="48" customHeight="1">
      <x:c r="A50" s="6" t="str">
        <x:v>UNT-06</x:v>
      </x:c>
      <x:c r="B50" s="20" t="str">
        <x:v>E. 单位、坐标、方向和位置有效性</x:v>
      </x:c>
      <x:c r="C50" s="20" t="str">
        <x:v>P0 / 增量或需重新参考</x:v>
      </x:c>
      <x:c r="D50" s="20" t="str">
        <x:v>回零后断电/复位默认/更换编码器；再请求绝对运动</x:v>
      </x:c>
      <x:c r="E50" s="20" t="str">
        <x:v>回零有效性按实际保持规则更新，失效被告知PLC并限制依赖该坐标的动作</x:v>
      </x:c>
      <x:c r="F50" s="6" t="str">
        <x:v>E2、E4</x:v>
      </x:c>
      <x:c r="G50" s="23" t="str">
        <x:v>☐ 未测试</x:v>
      </x:c>
      <x:c r="H50" s="23" t="str">
        <x:v>☐ 未测试</x:v>
      </x:c>
      <x:c r="I50" s="23" t="str">
        <x:v>☐ 未测试</x:v>
      </x:c>
      <x:c r="J50" s="23" t="str">
        <x:v>☐ 未测试</x:v>
      </x:c>
      <x:c r="K50" s="23" t="str">
        <x:v>☐ 未测试</x:v>
      </x:c>
    </x:row>
    <x:row r="51" ht="48" customHeight="1">
      <x:c r="A51" s="29" t="str">
        <x:v>UNT-07</x:v>
      </x:c>
      <x:c r="B51" s="30" t="str">
        <x:v>E. 单位、坐标、方向和位置有效性</x:v>
      </x:c>
      <x:c r="C51" s="30" t="str">
        <x:v>P1 / 各声明位宽</x:v>
      </x:c>
      <x:c r="D51" s="30" t="str">
        <x:v>通过安全仿真/台架验证反馈/目标的符号边界；支持回绕与禁止跨界分别测试正反两方向</x:v>
      </x:c>
      <x:c r="E51" s="30" t="str">
        <x:v>支持回绕时计算连续无异常尖峰；禁止跨界时限域/拒绝或明确故障并受控停止；按实际位宽验收</x:v>
      </x:c>
      <x:c r="F51" s="29" t="str">
        <x:v>E1、E2</x:v>
      </x:c>
      <x:c r="G51" s="23" t="str">
        <x:v>☐ 未测试</x:v>
      </x:c>
      <x:c r="H51" s="23" t="str">
        <x:v>☐ 未测试</x:v>
      </x:c>
      <x:c r="I51" s="23" t="str">
        <x:v>☐ 未测试</x:v>
      </x:c>
      <x:c r="J51" s="23" t="str">
        <x:v>☐ 未测试</x:v>
      </x:c>
      <x:c r="K51" s="23" t="str">
        <x:v>☐ 未测试</x:v>
      </x:c>
    </x:row>
    <x:row r="52" ht="48" customHeight="1">
      <x:c r="A52" s="6" t="str">
        <x:v>UNT-08</x:v>
      </x:c>
      <x:c r="B52" s="20" t="str">
        <x:v>E. 单位、坐标、方向和位置有效性</x:v>
      </x:c>
      <x:c r="C52" s="20" t="str">
        <x:v>P1 / 模数/旋转轴</x:v>
      </x:c>
      <x:c r="D52" s="20" t="str">
        <x:v>跨模数零点，测试正向、反向、最短路径及跨圈绝对/相对定位</x:v>
      </x:c>
      <x:c r="E52" s="20" t="str">
        <x:v>路径选择、圈数、连续反馈符合平台语义，无额外整圈或坐标突跳</x:v>
      </x:c>
      <x:c r="F52" s="6" t="str">
        <x:v>E1、E2、E4</x:v>
      </x:c>
      <x:c r="G52" s="23" t="str">
        <x:v>☐ 未测试</x:v>
      </x:c>
      <x:c r="H52" s="23" t="str">
        <x:v>☐ 未测试</x:v>
      </x:c>
      <x:c r="I52" s="23" t="str">
        <x:v>☐ 未测试</x:v>
      </x:c>
      <x:c r="J52" s="23" t="str">
        <x:v>☐ 未测试</x:v>
      </x:c>
      <x:c r="K52" s="23" t="str">
        <x:v>☐ 未测试</x:v>
      </x:c>
    </x:row>
    <x:row r="53" ht="48" customHeight="1">
      <x:c r="A53" s="33" t="str">
        <x:v>MOT-01</x:v>
      </x:c>
      <x:c r="B53" s="34" t="str">
        <x:v>F. PLC 运动指令的完整使用方式</x:v>
      </x:c>
      <x:c r="C53" s="32" t="str">
        <x:v>P0 / 点动</x:v>
      </x:c>
      <x:c r="D53" s="32" t="str">
        <x:v>正反点动，按住/松开/同时请求两方向，静止与运动中改变点动请求</x:v>
      </x:c>
      <x:c r="E53" s="32" t="str">
        <x:v>优先级和停机明确，无按钮释放后的残留动作；速度方向及停止满足基线</x:v>
      </x:c>
      <x:c r="F53" s="31" t="str">
        <x:v>E2、E4</x:v>
      </x:c>
      <x:c r="G53" s="26" t="str">
        <x:v>☐ 未测试</x:v>
      </x:c>
      <x:c r="H53" s="26" t="str">
        <x:v>☐ 未测试</x:v>
      </x:c>
      <x:c r="I53" s="26" t="str">
        <x:v>☐ 未测试</x:v>
      </x:c>
      <x:c r="J53" s="26" t="str">
        <x:v>☐ 未测试</x:v>
      </x:c>
      <x:c r="K53" s="26" t="str">
        <x:v>☐ 未测试</x:v>
      </x:c>
    </x:row>
    <x:row r="54" ht="48" customHeight="1">
      <x:c r="A54" s="6" t="str">
        <x:v>MOT-02</x:v>
      </x:c>
      <x:c r="B54" s="20" t="str">
        <x:v>F. PLC 运动指令的完整使用方式</x:v>
      </x:c>
      <x:c r="C54" s="20" t="str">
        <x:v>P0 / 绝对定位</x:v>
      </x:c>
      <x:c r="D54" s="20" t="str">
        <x:v>MC_MoveAbsolute/等效动作覆盖正负目标、当前位置目标、越界目标、不同速度加速度；冻结到位监控设置</x:v>
      </x:c>
      <x:c r="E54" s="20" t="str">
        <x:v>实测位置满足E_pos/E_follow；Done按库及W_done/T_done解释，监控关闭时逻辑完成不代替物理到位；无永久Busy</x:v>
      </x:c>
      <x:c r="F54" s="6" t="str">
        <x:v>E1、E2、E4</x:v>
      </x:c>
      <x:c r="G54" s="23" t="str">
        <x:v>☐ 未测试</x:v>
      </x:c>
      <x:c r="H54" s="23" t="str">
        <x:v>☐ 未测试</x:v>
      </x:c>
      <x:c r="I54" s="23" t="str">
        <x:v>☐ 未测试</x:v>
      </x:c>
      <x:c r="J54" s="23" t="str">
        <x:v>☐ 未测试</x:v>
      </x:c>
      <x:c r="K54" s="23" t="str">
        <x:v>☐ 未测试</x:v>
      </x:c>
    </x:row>
    <x:row r="55" ht="48" customHeight="1">
      <x:c r="A55" s="29" t="str">
        <x:v>MOT-03</x:v>
      </x:c>
      <x:c r="B55" s="30" t="str">
        <x:v>F. PLC 运动指令的完整使用方式</x:v>
      </x:c>
      <x:c r="C55" s="30" t="str">
        <x:v>P0 / 相对定位</x:v>
      </x:c>
      <x:c r="D55" s="30" t="str">
        <x:v>正负相对移动、零距离、连续多次请求；核对相对位置基准</x:v>
      </x:c>
      <x:c r="E55" s="30" t="str">
        <x:v>每次位移与累计位置正确，基准按库定义；重复触发无多执行/漏执行</x:v>
      </x:c>
      <x:c r="F55" s="29" t="str">
        <x:v>E2、E4</x:v>
      </x:c>
      <x:c r="G55" s="23" t="str">
        <x:v>☐ 未测试</x:v>
      </x:c>
      <x:c r="H55" s="23" t="str">
        <x:v>☐ 未测试</x:v>
      </x:c>
      <x:c r="I55" s="23" t="str">
        <x:v>☐ 未测试</x:v>
      </x:c>
      <x:c r="J55" s="23" t="str">
        <x:v>☐ 未测试</x:v>
      </x:c>
      <x:c r="K55" s="23" t="str">
        <x:v>☐ 未测试</x:v>
      </x:c>
    </x:row>
    <x:row r="56" ht="48" customHeight="1">
      <x:c r="A56" s="6" t="str">
        <x:v>MOT-04</x:v>
      </x:c>
      <x:c r="B56" s="20" t="str">
        <x:v>F. PLC 运动指令的完整使用方式</x:v>
      </x:c>
      <x:c r="C56" s="20" t="str">
        <x:v>P0 / PLC速度运动</x:v>
      </x:c>
      <x:c r="D56" s="20" t="str">
        <x:v>使用客户速度功能块正反运行、改速、停下；同时观察实际驱动模式</x:v>
      </x:c>
      <x:c r="E56" s="20" t="str">
        <x:v>行为和块输出符合库语义；速度/加速度受限；不将CSP实现的速度动作算作CSV通过</x:v>
      </x:c>
      <x:c r="F56" s="6" t="str">
        <x:v>E2、E4</x:v>
      </x:c>
      <x:c r="G56" s="23" t="str">
        <x:v>☐ 未测试</x:v>
      </x:c>
      <x:c r="H56" s="23" t="str">
        <x:v>☐ 未测试</x:v>
      </x:c>
      <x:c r="I56" s="23" t="str">
        <x:v>☐ 未测试</x:v>
      </x:c>
      <x:c r="J56" s="23" t="str">
        <x:v>☐ 未测试</x:v>
      </x:c>
      <x:c r="K56" s="23" t="str">
        <x:v>☐ 未测试</x:v>
      </x:c>
    </x:row>
    <x:row r="57" ht="48" customHeight="1">
      <x:c r="A57" s="29" t="str">
        <x:v>MOT-05</x:v>
      </x:c>
      <x:c r="B57" s="30" t="str">
        <x:v>F. PLC 运动指令的完整使用方式</x:v>
      </x:c>
      <x:c r="C57" s="30" t="str">
        <x:v>P0 / CSV已承诺</x:v>
      </x:c>
      <x:c r="D57" s="30" t="str">
        <x:v>通过实际支持的CSV入口设置模式并周期给目标速度；测试零、正负值、斜坡和限幅</x:v>
      </x:c>
      <x:c r="E57" s="30" t="str">
        <x:v>模式确为CSV，速度反馈与目标及限值一致；撤命令/停止路径完整</x:v>
      </x:c>
      <x:c r="F57" s="29" t="str">
        <x:v>E1、E2、E4</x:v>
      </x:c>
      <x:c r="G57" s="23" t="str">
        <x:v>☐ 未测试</x:v>
      </x:c>
      <x:c r="H57" s="23" t="str">
        <x:v>☐ 未测试</x:v>
      </x:c>
      <x:c r="I57" s="23" t="str">
        <x:v>☐ 未测试</x:v>
      </x:c>
      <x:c r="J57" s="23" t="str">
        <x:v>☐ 未测试</x:v>
      </x:c>
      <x:c r="K57" s="23" t="str">
        <x:v>☐ 未测试</x:v>
      </x:c>
    </x:row>
    <x:row r="58" ht="48" customHeight="1">
      <x:c r="A58" s="6" t="str">
        <x:v>MOT-06</x:v>
      </x:c>
      <x:c r="B58" s="20" t="str">
        <x:v>F. PLC 运动指令的完整使用方式</x:v>
      </x:c>
      <x:c r="C58" s="20" t="str">
        <x:v>P0 / CST或转矩已承诺</x:v>
      </x:c>
      <x:c r="D58" s="20" t="str">
        <x:v>在合适负载台架执行转矩控制、正负切换、转矩与速度限制；记录驱动实际模式</x:v>
      </x:c>
      <x:c r="E58" s="20" t="str">
        <x:v>转矩方向、限幅和退出策略符合声明；CST与其他转矩实现分开验收，无失控加速</x:v>
      </x:c>
      <x:c r="F58" s="6" t="str">
        <x:v>E1、E2、E4</x:v>
      </x:c>
      <x:c r="G58" s="23" t="str">
        <x:v>☐ 未测试</x:v>
      </x:c>
      <x:c r="H58" s="23" t="str">
        <x:v>☐ 未测试</x:v>
      </x:c>
      <x:c r="I58" s="23" t="str">
        <x:v>☐ 未测试</x:v>
      </x:c>
      <x:c r="J58" s="23" t="str">
        <x:v>☐ 未测试</x:v>
      </x:c>
      <x:c r="K58" s="23" t="str">
        <x:v>☐ 未测试</x:v>
      </x:c>
    </x:row>
    <x:row r="59" ht="48" customHeight="1">
      <x:c r="A59" s="29" t="str">
        <x:v>MOT-07</x:v>
      </x:c>
      <x:c r="B59" s="30" t="str">
        <x:v>F. PLC 运动指令的完整使用方式</x:v>
      </x:c>
      <x:c r="C59" s="30" t="str">
        <x:v>P1 / PP/PV/PT/IP等已承诺</x:v>
      </x:c>
      <x:c r="D59" s="30" t="str">
        <x:v>每模式按手册测试触发/确认/目标更新/完成与停止，不套用CSP握手</x:v>
      </x:c>
      <x:c r="E59" s="30" t="str">
        <x:v>目标接收及完成状态符合该模式；对象/状态位/参数单位均有独立证据</x:v>
      </x:c>
      <x:c r="F59" s="29" t="str">
        <x:v>E1、E2</x:v>
      </x:c>
      <x:c r="G59" s="23" t="str">
        <x:v>☐ 未测试</x:v>
      </x:c>
      <x:c r="H59" s="23" t="str">
        <x:v>☐ 未测试</x:v>
      </x:c>
      <x:c r="I59" s="23" t="str">
        <x:v>☐ 未测试</x:v>
      </x:c>
      <x:c r="J59" s="23" t="str">
        <x:v>☐ 未测试</x:v>
      </x:c>
      <x:c r="K59" s="23" t="str">
        <x:v>☐ 未测试</x:v>
      </x:c>
    </x:row>
    <x:row r="60" ht="48" customHeight="1">
      <x:c r="A60" s="6" t="str">
        <x:v>MOT-08</x:v>
      </x:c>
      <x:c r="B60" s="20" t="str">
        <x:v>F. PLC 运动指令的完整使用方式</x:v>
      </x:c>
      <x:c r="C60" s="20" t="str">
        <x:v>P0 / 功能块控制</x:v>
      </x:c>
      <x:c r="D60" s="20" t="str">
        <x:v>覆盖Execute单沿、保持高、Busy期间再触发、先撤Execute；持续按库要求调用</x:v>
      </x:c>
      <x:c r="E60" s="20" t="str">
        <x:v>Busy/Active/Done/CommandAborted/Error符合库定义，无重复启动、漏完成或无解释的挂起</x:v>
      </x:c>
      <x:c r="F60" s="6" t="str">
        <x:v>E2</x:v>
      </x:c>
      <x:c r="G60" s="23" t="str">
        <x:v>☐ 未测试</x:v>
      </x:c>
      <x:c r="H60" s="23" t="str">
        <x:v>☐ 未测试</x:v>
      </x:c>
      <x:c r="I60" s="23" t="str">
        <x:v>☐ 未测试</x:v>
      </x:c>
      <x:c r="J60" s="23" t="str">
        <x:v>☐ 未测试</x:v>
      </x:c>
      <x:c r="K60" s="23" t="str">
        <x:v>☐ 未测试</x:v>
      </x:c>
    </x:row>
    <x:row r="61" ht="48" customHeight="1">
      <x:c r="A61" s="29" t="str">
        <x:v>MOT-09</x:v>
      </x:c>
      <x:c r="B61" s="30" t="str">
        <x:v>F. PLC 运动指令的完整使用方式</x:v>
      </x:c>
      <x:c r="C61" s="30" t="str">
        <x:v>P1 / 允许运行改目标</x:v>
      </x:c>
      <x:c r="D61" s="30" t="str">
        <x:v>运动中改变位置/速度/加速度；分别使用库支持的更新方法和不支持的方法</x:v>
      </x:c>
      <x:c r="E61" s="30" t="str">
        <x:v>支持更新的生效时刻/轨迹连续性明确；不支持的修改不静默制造错误轨迹</x:v>
      </x:c>
      <x:c r="F61" s="29" t="str">
        <x:v>E1、E2、E4</x:v>
      </x:c>
      <x:c r="G61" s="23" t="str">
        <x:v>☐ 未测试</x:v>
      </x:c>
      <x:c r="H61" s="23" t="str">
        <x:v>☐ 未测试</x:v>
      </x:c>
      <x:c r="I61" s="23" t="str">
        <x:v>☐ 未测试</x:v>
      </x:c>
      <x:c r="J61" s="23" t="str">
        <x:v>☐ 未测试</x:v>
      </x:c>
      <x:c r="K61" s="23" t="str">
        <x:v>☐ 未测试</x:v>
      </x:c>
    </x:row>
    <x:row r="62" ht="48" customHeight="1">
      <x:c r="A62" s="6" t="str">
        <x:v>MOT-10</x:v>
      </x:c>
      <x:c r="B62" s="20" t="str">
        <x:v>F. PLC 运动指令的完整使用方式</x:v>
      </x:c>
      <x:c r="C62" s="20" t="str">
        <x:v>P1 / 缓冲与中断</x:v>
      </x:c>
      <x:c r="D62" s="20" t="str">
        <x:v>两个运动块交接，覆盖Aborting、Buffered及承诺的Blending；队列满或冲突请求</x:v>
      </x:c>
      <x:c r="E62" s="20" t="str">
        <x:v>执行顺序、速度连续性和被中断块输出符合库定义；不靠反复Reset解锁</x:v>
      </x:c>
      <x:c r="F62" s="6" t="str">
        <x:v>E2、E4</x:v>
      </x:c>
      <x:c r="G62" s="23" t="str">
        <x:v>☐ 未测试</x:v>
      </x:c>
      <x:c r="H62" s="23" t="str">
        <x:v>☐ 未测试</x:v>
      </x:c>
      <x:c r="I62" s="23" t="str">
        <x:v>☐ 未测试</x:v>
      </x:c>
      <x:c r="J62" s="23" t="str">
        <x:v>☐ 未测试</x:v>
      </x:c>
      <x:c r="K62" s="23" t="str">
        <x:v>☐ 未测试</x:v>
      </x:c>
    </x:row>
    <x:row r="63" ht="48" customHeight="1">
      <x:c r="A63" s="29" t="str">
        <x:v>MOT-11</x:v>
      </x:c>
      <x:c r="B63" s="30" t="str">
        <x:v>F. PLC 运动指令的完整使用方式</x:v>
      </x:c>
      <x:c r="C63" s="30" t="str">
        <x:v>P0 / Halt与Stop</x:v>
      </x:c>
      <x:c r="D63" s="30" t="str">
        <x:v>运动中分别调用Halt、Stop；保持/撤销Execute后请求下一运动</x:v>
      </x:c>
      <x:c r="E63" s="30" t="str">
        <x:v>各块减速、轴锁定/释放与再启动条件符合所选库，T_react/S_stop内完成</x:v>
      </x:c>
      <x:c r="F63" s="29" t="str">
        <x:v>E2、E4</x:v>
      </x:c>
      <x:c r="G63" s="23" t="str">
        <x:v>☐ 未测试</x:v>
      </x:c>
      <x:c r="H63" s="23" t="str">
        <x:v>☐ 未测试</x:v>
      </x:c>
      <x:c r="I63" s="23" t="str">
        <x:v>☐ 未测试</x:v>
      </x:c>
      <x:c r="J63" s="23" t="str">
        <x:v>☐ 未测试</x:v>
      </x:c>
      <x:c r="K63" s="23" t="str">
        <x:v>☐ 未测试</x:v>
      </x:c>
    </x:row>
    <x:row r="64" ht="48" customHeight="1">
      <x:c r="A64" s="6" t="str">
        <x:v>MOT-12</x:v>
      </x:c>
      <x:c r="B64" s="20" t="str">
        <x:v>F. PLC 运动指令的完整使用方式</x:v>
      </x:c>
      <x:c r="C64" s="20" t="str">
        <x:v>P0 / 客户直接写PDO</x:v>
      </x:c>
      <x:c r="D64" s="20" t="str">
        <x:v>用交付的手写状态机/目标发生器完整执行使能、模式、运动、停止、错误处理</x:v>
      </x:c>
      <x:c r="E64" s="20" t="str">
        <x:v>所需限幅、反馈有效性、轨迹连续性与超时责任明确；此路径单独通过，不能复用原生轴结论</x:v>
      </x:c>
      <x:c r="F64" s="6" t="str">
        <x:v>E1、E2、E4</x:v>
      </x:c>
      <x:c r="G64" s="23" t="str">
        <x:v>☐ 未测试</x:v>
      </x:c>
      <x:c r="H64" s="23" t="str">
        <x:v>☐ 未测试</x:v>
      </x:c>
      <x:c r="I64" s="23" t="str">
        <x:v>☐ 未测试</x:v>
      </x:c>
      <x:c r="J64" s="23" t="str">
        <x:v>☐ 未测试</x:v>
      </x:c>
      <x:c r="K64" s="23" t="str">
        <x:v>☐ 未测试</x:v>
      </x:c>
    </x:row>
    <x:row r="65" ht="48" customHeight="1">
      <x:c r="A65" s="29" t="str">
        <x:v>MOT-13</x:v>
      </x:c>
      <x:c r="B65" s="30" t="str">
        <x:v>F. PLC 运动指令的完整使用方式</x:v>
      </x:c>
      <x:c r="C65" s="30" t="str">
        <x:v>P0 / 全部运动路径</x:v>
      </x:c>
      <x:c r="D65" s="30" t="str">
        <x:v>在未使能/未回零/故障/模式未就绪时请求运动；测试参数越界与相互冲突指令</x:v>
      </x:c>
      <x:c r="E65" s="30" t="str">
        <x:v>按功能前提确定拒绝并输出可定位错误；前提恢复不意外重放旧命令</x:v>
      </x:c>
      <x:c r="F65" s="29" t="str">
        <x:v>E2</x:v>
      </x:c>
      <x:c r="G65" s="23" t="str">
        <x:v>☐ 未测试</x:v>
      </x:c>
      <x:c r="H65" s="23" t="str">
        <x:v>☐ 未测试</x:v>
      </x:c>
      <x:c r="I65" s="23" t="str">
        <x:v>☐ 未测试</x:v>
      </x:c>
      <x:c r="J65" s="23" t="str">
        <x:v>☐ 未测试</x:v>
      </x:c>
      <x:c r="K65" s="23" t="str">
        <x:v>☐ 未测试</x:v>
      </x:c>
    </x:row>
    <x:row r="66" ht="48" customHeight="1">
      <x:c r="A66" s="6" t="str">
        <x:v>MOT-14</x:v>
      </x:c>
      <x:c r="B66" s="20" t="str">
        <x:v>F. PLC 运动指令的完整使用方式</x:v>
      </x:c>
      <x:c r="C66" s="20" t="str">
        <x:v>P0 / 客户使用倍率</x:v>
      </x:c>
      <x:c r="D66" s="20" t="str">
        <x:v>在所选动作中将Override从100%降至低倍率、0，再恢复；单测Halt/Stop/回零/联动的适用性</x:v>
      </x:c>
      <x:c r="E66" s="20" t="str">
        <x:v>各倍率的生效时刻、暂停/继续和轨迹边界符合库与基线；不假定倍率0能停止所有动作</x:v>
      </x:c>
      <x:c r="F66" s="6" t="str">
        <x:v>E1、E2、E4</x:v>
      </x:c>
      <x:c r="G66" s="23" t="str">
        <x:v>☐ 未测试</x:v>
      </x:c>
      <x:c r="H66" s="23" t="str">
        <x:v>☐ 未测试</x:v>
      </x:c>
      <x:c r="I66" s="23" t="str">
        <x:v>☐ 未测试</x:v>
      </x:c>
      <x:c r="J66" s="23" t="str">
        <x:v>☐ 未测试</x:v>
      </x:c>
      <x:c r="K66" s="23" t="str">
        <x:v>☐ 未测试</x:v>
      </x:c>
    </x:row>
    <x:row r="67" ht="48" customHeight="1">
      <x:c r="A67" s="33" t="str">
        <x:v>HOM-01</x:v>
      </x:c>
      <x:c r="B67" s="34" t="str">
        <x:v>G. 回零、限位与原点输入</x:v>
      </x:c>
      <x:c r="C67" s="32" t="str">
        <x:v>P0 / 回零</x:v>
      </x:c>
      <x:c r="D67" s="32" t="str">
        <x:v>为客户每种回零方式明确由PLC规划还是驱动HM执行，标出开关/索引接入位置</x:v>
      </x:c>
      <x:c r="E67" s="32" t="str">
        <x:v>功能块、驱动模式、输入对象与完成信号形成闭合路径；同名MC_Home不被视为跨平台相同</x:v>
      </x:c>
      <x:c r="F67" s="31" t="str">
        <x:v>E0、E1</x:v>
      </x:c>
      <x:c r="G67" s="26" t="str">
        <x:v>☐ 未测试</x:v>
      </x:c>
      <x:c r="H67" s="26" t="str">
        <x:v>☐ 未测试</x:v>
      </x:c>
      <x:c r="I67" s="26" t="str">
        <x:v>☐ 未测试</x:v>
      </x:c>
      <x:c r="J67" s="26" t="str">
        <x:v>☐ 未测试</x:v>
      </x:c>
      <x:c r="K67" s="26" t="str">
        <x:v>☐ 未测试</x:v>
      </x:c>
    </x:row>
    <x:row r="68" ht="48" customHeight="1">
      <x:c r="A68" s="6" t="str">
        <x:v>HOM-02</x:v>
      </x:c>
      <x:c r="B68" s="20" t="str">
        <x:v>G. 回零、限位与原点输入</x:v>
      </x:c>
      <x:c r="C68" s="20" t="str">
        <x:v>P0 / 驱动HM</x:v>
      </x:c>
      <x:c r="D68" s="20" t="str">
        <x:v>对每个承诺的0x6098方法或等效方法回零，配置速度/加速度/偏置并重复</x:v>
      </x:c>
      <x:c r="E68" s="20" t="str">
        <x:v>实际使用HM，方向与偏置正确；完成/错误位正确，重复性≤E_home；结束后模式切回可运动</x:v>
      </x:c>
      <x:c r="F68" s="6" t="str">
        <x:v>E1、E2、E4</x:v>
      </x:c>
      <x:c r="G68" s="23" t="str">
        <x:v>☐ 未测试</x:v>
      </x:c>
      <x:c r="H68" s="23" t="str">
        <x:v>☐ 未测试</x:v>
      </x:c>
      <x:c r="I68" s="23" t="str">
        <x:v>☐ 未测试</x:v>
      </x:c>
      <x:c r="J68" s="23" t="str">
        <x:v>☐ 未测试</x:v>
      </x:c>
      <x:c r="K68" s="23" t="str">
        <x:v>☐ 未测试</x:v>
      </x:c>
    </x:row>
    <x:row r="69" ht="48" customHeight="1">
      <x:c r="A69" s="29" t="str">
        <x:v>HOM-03</x:v>
      </x:c>
      <x:c r="B69" s="30" t="str">
        <x:v>G. 回零、限位与原点输入</x:v>
      </x:c>
      <x:c r="C69" s="30" t="str">
        <x:v>P0 / PLC规划回零</x:v>
      </x:c>
      <x:c r="D69" s="30" t="str">
        <x:v>按平台Reference Mode/等效配置，以实际原点/索引或锁存反馈重复回零</x:v>
      </x:c>
      <x:c r="E69" s="30" t="str">
        <x:v>PLC轴参考状态正确；驱动无需支持的HM不被错误要求；重复误差≤E_home，若承诺绝对原点精度另按E_home_abs验收</x:v>
      </x:c>
      <x:c r="F69" s="29" t="str">
        <x:v>E1、E2、E4</x:v>
      </x:c>
      <x:c r="G69" s="23" t="str">
        <x:v>☐ 未测试</x:v>
      </x:c>
      <x:c r="H69" s="23" t="str">
        <x:v>☐ 未测试</x:v>
      </x:c>
      <x:c r="I69" s="23" t="str">
        <x:v>☐ 未测试</x:v>
      </x:c>
      <x:c r="J69" s="23" t="str">
        <x:v>☐ 未测试</x:v>
      </x:c>
      <x:c r="K69" s="23" t="str">
        <x:v>☐ 未测试</x:v>
      </x:c>
    </x:row>
    <x:row r="70" ht="48" customHeight="1">
      <x:c r="A70" s="6" t="str">
        <x:v>HOM-04</x:v>
      </x:c>
      <x:c r="B70" s="20" t="str">
        <x:v>G. 回零、限位与原点输入</x:v>
      </x:c>
      <x:c r="C70" s="20" t="str">
        <x:v>P0 / 使用开关/索引</x:v>
      </x:c>
      <x:c r="D70" s="20" t="str">
        <x:v>覆盖起始已压原点、未压原点、正/反侧启动、找不到原点、索引缺失和输入抖动</x:v>
      </x:c>
      <x:c r="E70" s="20" t="str">
        <x:v>搜索/退出方向和超时明确；不假完成或无限搜索；异常可定位并可重新回零</x:v>
      </x:c>
      <x:c r="F70" s="6" t="str">
        <x:v>E2、E4</x:v>
      </x:c>
      <x:c r="G70" s="23" t="str">
        <x:v>☐ 未测试</x:v>
      </x:c>
      <x:c r="H70" s="23" t="str">
        <x:v>☐ 未测试</x:v>
      </x:c>
      <x:c r="I70" s="23" t="str">
        <x:v>☐ 未测试</x:v>
      </x:c>
      <x:c r="J70" s="23" t="str">
        <x:v>☐ 未测试</x:v>
      </x:c>
      <x:c r="K70" s="23" t="str">
        <x:v>☐ 未测试</x:v>
      </x:c>
    </x:row>
    <x:row r="71" ht="48" customHeight="1">
      <x:c r="A71" s="29" t="str">
        <x:v>HOM-05</x:v>
      </x:c>
      <x:c r="B71" s="30" t="str">
        <x:v>G. 回零、限位与原点输入</x:v>
      </x:c>
      <x:c r="C71" s="30" t="str">
        <x:v>P0 / 回零</x:v>
      </x:c>
      <x:c r="D71" s="30" t="str">
        <x:v>回零中Halt/Stop、撤使能、断线；清因后重新执行，并立即测试一次定位</x:v>
      </x:c>
      <x:c r="E71" s="30" t="str">
        <x:v>未完成不置参考有效；中断输出和模式正确，重新执行不被旧完成位误判</x:v>
      </x:c>
      <x:c r="F71" s="29" t="str">
        <x:v>E2、E3、E4</x:v>
      </x:c>
      <x:c r="G71" s="23" t="str">
        <x:v>☐ 未测试</x:v>
      </x:c>
      <x:c r="H71" s="23" t="str">
        <x:v>☐ 未测试</x:v>
      </x:c>
      <x:c r="I71" s="23" t="str">
        <x:v>☐ 未测试</x:v>
      </x:c>
      <x:c r="J71" s="23" t="str">
        <x:v>☐ 未测试</x:v>
      </x:c>
      <x:c r="K71" s="23" t="str">
        <x:v>☐ 未测试</x:v>
      </x:c>
    </x:row>
    <x:row r="72" ht="48" customHeight="1">
      <x:c r="A72" s="6" t="str">
        <x:v>HOM-06</x:v>
      </x:c>
      <x:c r="B72" s="20" t="str">
        <x:v>G. 回零、限位与原点输入</x:v>
      </x:c>
      <x:c r="C72" s="20" t="str">
        <x:v>P0 / 软限位</x:v>
      </x:c>
      <x:c r="D72" s="20" t="str">
        <x:v>对正负方向分别越界请求、运动触及限位、从限位退出；改变偏置/回零后再验证</x:v>
      </x:c>
      <x:c r="E72" s="20" t="str">
        <x:v>禁止方向拒绝，允许脱离方向按规则可用；PLC与驱动限位坐标/停机距离一致</x:v>
      </x:c>
      <x:c r="F72" s="6" t="str">
        <x:v>E1、E2、E4</x:v>
      </x:c>
      <x:c r="G72" s="23" t="str">
        <x:v>☐ 未测试</x:v>
      </x:c>
      <x:c r="H72" s="23" t="str">
        <x:v>☐ 未测试</x:v>
      </x:c>
      <x:c r="I72" s="23" t="str">
        <x:v>☐ 未测试</x:v>
      </x:c>
      <x:c r="J72" s="23" t="str">
        <x:v>☐ 未测试</x:v>
      </x:c>
      <x:c r="K72" s="23" t="str">
        <x:v>☐ 未测试</x:v>
      </x:c>
    </x:row>
    <x:row r="73" ht="48" customHeight="1">
      <x:c r="A73" s="29" t="str">
        <x:v>HOM-07</x:v>
      </x:c>
      <x:c r="B73" s="30" t="str">
        <x:v>G. 回零、限位与原点输入</x:v>
      </x:c>
      <x:c r="C73" s="30" t="str">
        <x:v>P0 / 硬限位</x:v>
      </x:c>
      <x:c r="D73" s="30" t="str">
        <x:v>在受控台架触发正负限位，分别接驱动/PLC的实际路径，并验证输入极性/异常断线策略</x:v>
      </x:c>
      <x:c r="E73" s="30" t="str">
        <x:v>反应时间/距离达标；原始输入、PDO和PLC诊断一致；脱离与复位步骤明确</x:v>
      </x:c>
      <x:c r="F73" s="29" t="str">
        <x:v>E1、E2、E4</x:v>
      </x:c>
      <x:c r="G73" s="23" t="str">
        <x:v>☐ 未测试</x:v>
      </x:c>
      <x:c r="H73" s="23" t="str">
        <x:v>☐ 未测试</x:v>
      </x:c>
      <x:c r="I73" s="23" t="str">
        <x:v>☐ 未测试</x:v>
      </x:c>
      <x:c r="J73" s="23" t="str">
        <x:v>☐ 未测试</x:v>
      </x:c>
      <x:c r="K73" s="23" t="str">
        <x:v>☐ 未测试</x:v>
      </x:c>
    </x:row>
    <x:row r="74" ht="48" customHeight="1">
      <x:c r="A74" s="6" t="str">
        <x:v>HOM-08</x:v>
      </x:c>
      <x:c r="B74" s="20" t="str">
        <x:v>G. 回零、限位与原点输入</x:v>
      </x:c>
      <x:c r="C74" s="20" t="str">
        <x:v>P1 / 回零数据可保持</x:v>
      </x:c>
      <x:c r="D74" s="20" t="str">
        <x:v>回零后重启、备份恢复、更换驱动/电机/编码器，核对原点偏置与参考有效性</x:v>
      </x:c>
      <x:c r="E74" s="20" t="str">
        <x:v>哪些变更需重新参考写入手册；坐标失效被识别，不凭编码器为绝对值就自动有效</x:v>
      </x:c>
      <x:c r="F74" s="6" t="str">
        <x:v>E1、E2、E4</x:v>
      </x:c>
      <x:c r="G74" s="23" t="str">
        <x:v>☐ 未测试</x:v>
      </x:c>
      <x:c r="H74" s="23" t="str">
        <x:v>☐ 未测试</x:v>
      </x:c>
      <x:c r="I74" s="23" t="str">
        <x:v>☐ 未测试</x:v>
      </x:c>
      <x:c r="J74" s="23" t="str">
        <x:v>☐ 未测试</x:v>
      </x:c>
      <x:c r="K74" s="23" t="str">
        <x:v>☐ 未测试</x:v>
      </x:c>
    </x:row>
    <x:row r="75" ht="48" customHeight="1">
      <x:c r="A75" s="33" t="str">
        <x:v>REC-01</x:v>
      </x:c>
      <x:c r="B75" s="34" t="str">
        <x:v>H. 停机、掉线、故障与恢复</x:v>
      </x:c>
      <x:c r="C75" s="32" t="str">
        <x:v>P0 / 全部</x:v>
      </x:c>
      <x:c r="D75" s="32" t="str">
        <x:v>分别在静止、运动、回零时切换PLC RUN↔STOP/PROGRAM；记录PDO继续/停止及替代值</x:v>
      </x:c>
      <x:c r="E75" s="32" t="str">
        <x:v>各操作触发已定义的轴反应，T_react/S_stop达标；回RUN不意外重放保持的命令</x:v>
      </x:c>
      <x:c r="F75" s="31" t="str">
        <x:v>E2、E3、E4</x:v>
      </x:c>
      <x:c r="G75" s="26" t="str">
        <x:v>☐ 未测试</x:v>
      </x:c>
      <x:c r="H75" s="26" t="str">
        <x:v>☐ 未测试</x:v>
      </x:c>
      <x:c r="I75" s="26" t="str">
        <x:v>☐ 未测试</x:v>
      </x:c>
      <x:c r="J75" s="26" t="str">
        <x:v>☐ 未测试</x:v>
      </x:c>
      <x:c r="K75" s="26" t="str">
        <x:v>☐ 未测试</x:v>
      </x:c>
    </x:row>
    <x:row r="76" ht="48" customHeight="1">
      <x:c r="A76" s="6" t="str">
        <x:v>REC-02</x:v>
      </x:c>
      <x:c r="B76" s="20" t="str">
        <x:v>H. 停机、掉线、故障与恢复</x:v>
      </x:c>
      <x:c r="C76" s="20" t="str">
        <x:v>P0 / 全部</x:v>
      </x:c>
      <x:c r="D76" s="20" t="str">
        <x:v>在台架重启PLC运行时、重新下载/激活工程，并测试平台允许的在线变更</x:v>
      </x:c>
      <x:c r="E76" s="20" t="str">
        <x:v>实际总线与轴反应被单独记录；重新初始化和运行授权明确，不等同一次断网试验</x:v>
      </x:c>
      <x:c r="F76" s="6" t="str">
        <x:v>E1、E2、E3、E4</x:v>
      </x:c>
      <x:c r="G76" s="23" t="str">
        <x:v>☐ 未测试</x:v>
      </x:c>
      <x:c r="H76" s="23" t="str">
        <x:v>☐ 未测试</x:v>
      </x:c>
      <x:c r="I76" s="23" t="str">
        <x:v>☐ 未测试</x:v>
      </x:c>
      <x:c r="J76" s="23" t="str">
        <x:v>☐ 未测试</x:v>
      </x:c>
      <x:c r="K76" s="23" t="str">
        <x:v>☐ 未测试</x:v>
      </x:c>
    </x:row>
    <x:row r="77" ht="48" customHeight="1">
      <x:c r="A77" s="29" t="str">
        <x:v>REC-03</x:v>
      </x:c>
      <x:c r="B77" s="30" t="str">
        <x:v>H. 停机、掉线、故障与恢复</x:v>
      </x:c>
      <x:c r="C77" s="30" t="str">
        <x:v>P0 / 周期目标控制</x:v>
      </x:c>
      <x:c r="D77" s="30" t="str">
        <x:v>停止轨迹计算但持续发送旧PDO；分别保留非零速度/转矩等适用目标，验证检测至实际处理的全链路</x:v>
      </x:c>
      <x:c r="E77" s="30" t="str">
        <x:v>按T_stale由指定责任方检测并处理；保持的物理量、持续时间和运动范围符合Hold_policy，不能只依赖WKC/watchdog</x:v>
      </x:c>
      <x:c r="F77" s="29" t="str">
        <x:v>E1、E2、E3、E4</x:v>
      </x:c>
      <x:c r="G77" s="23" t="str">
        <x:v>☐ 未测试</x:v>
      </x:c>
      <x:c r="H77" s="23" t="str">
        <x:v>☐ 未测试</x:v>
      </x:c>
      <x:c r="I77" s="23" t="str">
        <x:v>☐ 未测试</x:v>
      </x:c>
      <x:c r="J77" s="23" t="str">
        <x:v>☐ 未测试</x:v>
      </x:c>
      <x:c r="K77" s="23" t="str">
        <x:v>☐ 未测试</x:v>
      </x:c>
    </x:row>
    <x:row r="78" ht="48" customHeight="1">
      <x:c r="A78" s="6" t="str">
        <x:v>REC-04</x:v>
      </x:c>
      <x:c r="B78" s="20" t="str">
        <x:v>H. 停机、掉线、故障与恢复</x:v>
      </x:c>
      <x:c r="C78" s="20" t="str">
        <x:v>P0 / 全部</x:v>
      </x:c>
      <x:c r="D78" s="20" t="str">
        <x:v>在静止、运动、回零时受控断开链路；记录最后有效帧、失联检测、驱动反应与恢复</x:v>
      </x:c>
      <x:c r="E78" s="20" t="str">
        <x:v>T_watch、T_react、S_stop达标；不把缓存反馈作停止证明；网络恢复后遵守重新使能/运动条件</x:v>
      </x:c>
      <x:c r="F78" s="6" t="str">
        <x:v>E2、E3、E4</x:v>
      </x:c>
      <x:c r="G78" s="23" t="str">
        <x:v>☐ 未测试</x:v>
      </x:c>
      <x:c r="H78" s="23" t="str">
        <x:v>☐ 未测试</x:v>
      </x:c>
      <x:c r="I78" s="23" t="str">
        <x:v>☐ 未测试</x:v>
      </x:c>
      <x:c r="J78" s="23" t="str">
        <x:v>☐ 未测试</x:v>
      </x:c>
      <x:c r="K78" s="23" t="str">
        <x:v>☐ 未测试</x:v>
      </x:c>
    </x:row>
    <x:row r="79" ht="48" customHeight="1">
      <x:c r="A79" s="29" t="str">
        <x:v>REC-05</x:v>
      </x:c>
      <x:c r="B79" s="30" t="str">
        <x:v>H. 停机、掉线、故障与恢复</x:v>
      </x:c>
      <x:c r="C79" s="30" t="str">
        <x:v>P1 / 通信异常</x:v>
      </x:c>
      <x:c r="D79" s="30" t="str">
        <x:v>通过受控工具产生间歇断链或丢帧；有相应工具时分别注入损坏帧</x:v>
      </x:c>
      <x:c r="E79" s="30" t="str">
        <x:v>链路/WKC/端口计数与异常时间相关；反应符合策略；每类注入单独记录，未测不合并判通过</x:v>
      </x:c>
      <x:c r="F79" s="29" t="str">
        <x:v>E3、E4</x:v>
      </x:c>
      <x:c r="G79" s="23" t="str">
        <x:v>☐ 未测试</x:v>
      </x:c>
      <x:c r="H79" s="23" t="str">
        <x:v>☐ 未测试</x:v>
      </x:c>
      <x:c r="I79" s="23" t="str">
        <x:v>☐ 未测试</x:v>
      </x:c>
      <x:c r="J79" s="23" t="str">
        <x:v>☐ 未测试</x:v>
      </x:c>
      <x:c r="K79" s="23" t="str">
        <x:v>☐ 未测试</x:v>
      </x:c>
    </x:row>
    <x:row r="80" ht="48" customHeight="1">
      <x:c r="A80" s="6" t="str">
        <x:v>REC-06</x:v>
      </x:c>
      <x:c r="B80" s="20" t="str">
        <x:v>H. 停机、掉线、故障与恢复</x:v>
      </x:c>
      <x:c r="C80" s="20" t="str">
        <x:v>P0 / 同步运动</x:v>
      </x:c>
      <x:c r="D80" s="20" t="str">
        <x:v>使用台架/主站允许的方式制造DC失锁、周期不匹配或调度超限，再恢复正确设置</x:v>
      </x:c>
      <x:c r="E80" s="20" t="str">
        <x:v>失同步与单纯通信失联可区分；反应及恢复可预测，错误期间不继续执行无效轨迹</x:v>
      </x:c>
      <x:c r="F80" s="6" t="str">
        <x:v>E2、E3、E4</x:v>
      </x:c>
      <x:c r="G80" s="23" t="str">
        <x:v>☐ 未测试</x:v>
      </x:c>
      <x:c r="H80" s="23" t="str">
        <x:v>☐ 未测试</x:v>
      </x:c>
      <x:c r="I80" s="23" t="str">
        <x:v>☐ 未测试</x:v>
      </x:c>
      <x:c r="J80" s="23" t="str">
        <x:v>☐ 未测试</x:v>
      </x:c>
      <x:c r="K80" s="23" t="str">
        <x:v>☐ 未测试</x:v>
      </x:c>
    </x:row>
    <x:row r="81" ht="48" customHeight="1">
      <x:c r="A81" s="29" t="str">
        <x:v>REC-07</x:v>
      </x:c>
      <x:c r="B81" s="30" t="str">
        <x:v>H. 停机、掉线、故障与恢复</x:v>
      </x:c>
      <x:c r="C81" s="30" t="str">
        <x:v>P0 / 分离动力电与控制电</x:v>
      </x:c>
      <x:c r="D81" s="30" t="str">
        <x:v>保持控制电与通信，受控切断主回路电源，再恢复</x:v>
      </x:c>
      <x:c r="E81" s="30" t="str">
        <x:v>主电状态/报警可见；功率、制动器、坐标保持符合负载策略，恢复主电不意外再跑</x:v>
      </x:c>
      <x:c r="F81" s="29" t="str">
        <x:v>E2、E3、E4</x:v>
      </x:c>
      <x:c r="G81" s="23" t="str">
        <x:v>☐ 未测试</x:v>
      </x:c>
      <x:c r="H81" s="23" t="str">
        <x:v>☐ 未测试</x:v>
      </x:c>
      <x:c r="I81" s="23" t="str">
        <x:v>☐ 未测试</x:v>
      </x:c>
      <x:c r="J81" s="23" t="str">
        <x:v>☐ 未测试</x:v>
      </x:c>
      <x:c r="K81" s="23" t="str">
        <x:v>☐ 未测试</x:v>
      </x:c>
    </x:row>
    <x:row r="82" ht="48" customHeight="1">
      <x:c r="A82" s="6" t="str">
        <x:v>REC-08</x:v>
      </x:c>
      <x:c r="B82" s="20" t="str">
        <x:v>H. 停机、掉线、故障与恢复</x:v>
      </x:c>
      <x:c r="C82" s="20" t="str">
        <x:v>P0 / 全部</x:v>
      </x:c>
      <x:c r="D82" s="20" t="str">
        <x:v>受控关闭单台驱动控制电再恢复，观察本轴及下游从站</x:v>
      </x:c>
      <x:c r="E82" s="20" t="str">
        <x:v>本轴和网络影响符合实际拓扑；重新上线、故障、位置和参数状态清楚，下游轴不误恢复运动</x:v>
      </x:c>
      <x:c r="F82" s="6" t="str">
        <x:v>E2、E3、E4</x:v>
      </x:c>
      <x:c r="G82" s="23" t="str">
        <x:v>☐ 未测试</x:v>
      </x:c>
      <x:c r="H82" s="23" t="str">
        <x:v>☐ 未测试</x:v>
      </x:c>
      <x:c r="I82" s="23" t="str">
        <x:v>☐ 未测试</x:v>
      </x:c>
      <x:c r="J82" s="23" t="str">
        <x:v>☐ 未测试</x:v>
      </x:c>
      <x:c r="K82" s="23" t="str">
        <x:v>☐ 未测试</x:v>
      </x:c>
    </x:row>
    <x:row r="83" ht="48" customHeight="1">
      <x:c r="A83" s="29" t="str">
        <x:v>REC-09</x:v>
      </x:c>
      <x:c r="B83" s="30" t="str">
        <x:v>H. 停机、掉线、故障与恢复</x:v>
      </x:c>
      <x:c r="C83" s="30" t="str">
        <x:v>P0 / 全部</x:v>
      </x:c>
      <x:c r="D83" s="30" t="str">
        <x:v>对PLC、控制电、动力电的所有允许先后顺序上电，并覆盖延迟到电</x:v>
      </x:c>
      <x:c r="E83" s="30" t="str">
        <x:v>等待条件明确，T_boot/T_enable从规定起点计时；不永久卡住或因迟到电执行残留目标</x:v>
      </x:c>
      <x:c r="F83" s="29" t="str">
        <x:v>E2、E3、E4</x:v>
      </x:c>
      <x:c r="G83" s="23" t="str">
        <x:v>☐ 未测试</x:v>
      </x:c>
      <x:c r="H83" s="23" t="str">
        <x:v>☐ 未测试</x:v>
      </x:c>
      <x:c r="I83" s="23" t="str">
        <x:v>☐ 未测试</x:v>
      </x:c>
      <x:c r="J83" s="23" t="str">
        <x:v>☐ 未测试</x:v>
      </x:c>
      <x:c r="K83" s="23" t="str">
        <x:v>☐ 未测试</x:v>
      </x:c>
    </x:row>
    <x:row r="84" ht="48" customHeight="1">
      <x:c r="A84" s="6" t="str">
        <x:v>REC-10</x:v>
      </x:c>
      <x:c r="B84" s="20" t="str">
        <x:v>H. 停机、掉线、故障与恢复</x:v>
      </x:c>
      <x:c r="C84" s="20" t="str">
        <x:v>P0 / 驱动报警</x:v>
      </x:c>
      <x:c r="D84" s="20" t="str">
        <x:v>以驱动允许的测试方法触发代表性故障，如受控跟随超限/模拟反馈故障；保存首发原因</x:v>
      </x:c>
      <x:c r="E84" s="20" t="str">
        <x:v>驱动、PLC轴及功能块错误可关联；停机符合策略，报警文本足以指导下一步</x:v>
      </x:c>
      <x:c r="F84" s="6" t="str">
        <x:v>E2、E3、E4</x:v>
      </x:c>
      <x:c r="G84" s="23" t="str">
        <x:v>☐ 未测试</x:v>
      </x:c>
      <x:c r="H84" s="23" t="str">
        <x:v>☐ 未测试</x:v>
      </x:c>
      <x:c r="I84" s="23" t="str">
        <x:v>☐ 未测试</x:v>
      </x:c>
      <x:c r="J84" s="23" t="str">
        <x:v>☐ 未测试</x:v>
      </x:c>
      <x:c r="K84" s="23" t="str">
        <x:v>☐ 未测试</x:v>
      </x:c>
    </x:row>
    <x:row r="85" ht="48" customHeight="1">
      <x:c r="A85" s="29" t="str">
        <x:v>REC-11</x:v>
      </x:c>
      <x:c r="B85" s="30" t="str">
        <x:v>H. 停机、掉线、故障与恢复</x:v>
      </x:c>
      <x:c r="C85" s="30" t="str">
        <x:v>P0 / 全部</x:v>
      </x:c>
      <x:c r="D85" s="30" t="str">
        <x:v>故障仍存在时Reset，再清除原因后分别做总线、驱动、PLC轴复位与重新使能</x:v>
      </x:c>
      <x:c r="E85" s="30" t="str">
        <x:v>各层复位边界清楚，T_reset/T_recover达标；无假恢复、无必须靠不明重启的情况</x:v>
      </x:c>
      <x:c r="F85" s="29" t="str">
        <x:v>E2、E3</x:v>
      </x:c>
      <x:c r="G85" s="23" t="str">
        <x:v>☐ 未测试</x:v>
      </x:c>
      <x:c r="H85" s="23" t="str">
        <x:v>☐ 未测试</x:v>
      </x:c>
      <x:c r="I85" s="23" t="str">
        <x:v>☐ 未测试</x:v>
      </x:c>
      <x:c r="J85" s="23" t="str">
        <x:v>☐ 未测试</x:v>
      </x:c>
      <x:c r="K85" s="23" t="str">
        <x:v>☐ 未测试</x:v>
      </x:c>
    </x:row>
    <x:row r="86" ht="48" customHeight="1">
      <x:c r="A86" s="6" t="str">
        <x:v>REC-12</x:v>
      </x:c>
      <x:c r="B86" s="20" t="str">
        <x:v>H. 停机、掉线、故障与恢复</x:v>
      </x:c>
      <x:c r="C86" s="20" t="str">
        <x:v>P1 / 诊断</x:v>
      </x:c>
      <x:c r="D86" s="20" t="str">
        <x:v>制造首发故障及其后续报警，再断电/重连；按实际实现读取错误码、EMCY或历史</x:v>
      </x:c>
      <x:c r="E86" s="20" t="str">
        <x:v>首发与派生错误可区分；易失/保持范围明确，复位前可导出所需信息</x:v>
      </x:c>
      <x:c r="F86" s="6" t="str">
        <x:v>E2、E3、E5</x:v>
      </x:c>
      <x:c r="G86" s="23" t="str">
        <x:v>☐ 未测试</x:v>
      </x:c>
      <x:c r="H86" s="23" t="str">
        <x:v>☐ 未测试</x:v>
      </x:c>
      <x:c r="I86" s="23" t="str">
        <x:v>☐ 未测试</x:v>
      </x:c>
      <x:c r="J86" s="23" t="str">
        <x:v>☐ 未测试</x:v>
      </x:c>
      <x:c r="K86" s="23" t="str">
        <x:v>☐ 未测试</x:v>
      </x:c>
    </x:row>
    <x:row r="87" ht="48" customHeight="1">
      <x:c r="A87" s="29" t="str">
        <x:v>REC-13</x:v>
      </x:c>
      <x:c r="B87" s="30" t="str">
        <x:v>H. 停机、掉线、故障与恢复</x:v>
      </x:c>
      <x:c r="C87" s="30" t="str">
        <x:v>P0 / 恢复运动</x:v>
      </x:c>
      <x:c r="D87" s="30" t="str">
        <x:v>通信/电源/故障恢复时保留原Enable/Execute/旧目标；实际位置在许可台架条件下改变</x:v>
      </x:c>
      <x:c r="E87" s="30" t="str">
        <x:v>网络恢复、轴重建、故障清除与运动授权分别成立；旧目标不突跳，未获授权不续跑</x:v>
      </x:c>
      <x:c r="F87" s="29" t="str">
        <x:v>E2、E3、E4</x:v>
      </x:c>
      <x:c r="G87" s="23" t="str">
        <x:v>☐ 未测试</x:v>
      </x:c>
      <x:c r="H87" s="23" t="str">
        <x:v>☐ 未测试</x:v>
      </x:c>
      <x:c r="I87" s="23" t="str">
        <x:v>☐ 未测试</x:v>
      </x:c>
      <x:c r="J87" s="23" t="str">
        <x:v>☐ 未测试</x:v>
      </x:c>
      <x:c r="K87" s="23" t="str">
        <x:v>☐ 未测试</x:v>
      </x:c>
    </x:row>
    <x:row r="88" ht="48" customHeight="1">
      <x:c r="A88" s="6" t="str">
        <x:v>REC-14</x:v>
      </x:c>
      <x:c r="B88" s="20" t="str">
        <x:v>H. 停机、掉线、故障与恢复</x:v>
      </x:c>
      <x:c r="C88" s="20" t="str">
        <x:v>P0 / STO或FSoE已提供</x:v>
      </x:c>
      <x:c r="D88" s="20" t="str">
        <x:v>仅对本机实际提供的硬接线安全路径、FSoE安全路径按专用安全手册分别验证触发/复位，建立子记录</x:v>
      </x:c>
      <x:c r="E88" s="20" t="str">
        <x:v>对应安全功能已有独立适用验证，普通CiA402控制链的反应与恢复一致；通信恢复不等于安全/运动授权</x:v>
      </x:c>
      <x:c r="F88" s="6" t="str">
        <x:v>E0、E2、E4、独立安全记录</x:v>
      </x:c>
      <x:c r="G88" s="23" t="str">
        <x:v>☐ 未测试</x:v>
      </x:c>
      <x:c r="H88" s="23" t="str">
        <x:v>☐ 未测试</x:v>
      </x:c>
      <x:c r="I88" s="23" t="str">
        <x:v>☐ 未测试</x:v>
      </x:c>
      <x:c r="J88" s="23" t="str">
        <x:v>☐ 未测试</x:v>
      </x:c>
      <x:c r="K88" s="23" t="str">
        <x:v>☐ 未测试</x:v>
      </x:c>
    </x:row>
    <x:row r="89" ht="48" customHeight="1">
      <x:c r="A89" s="33" t="str">
        <x:v>ADV-01</x:v>
      </x:c>
      <x:c r="B89" s="34" t="str">
        <x:v>I. 高级运动、扩展网络与负载</x:v>
      </x:c>
      <x:c r="C89" s="32" t="str">
        <x:v>P1 / Touch probe</x:v>
      </x:c>
      <x:c r="D89" s="32" t="str">
        <x:v>对承诺通道、边沿、输入源、单次/连续模式分别锁存；清除重装载、重复触发及无触发</x:v>
      </x:c>
      <x:c r="E89" s="32" t="str">
        <x:v>控制/状态/锁存位置对应；锁存延迟/误差满足冻结指标，无旧值误报新事件</x:v>
      </x:c>
      <x:c r="F89" s="31" t="str">
        <x:v>E1、E2、E4</x:v>
      </x:c>
      <x:c r="G89" s="26" t="str">
        <x:v>☐ 未测试</x:v>
      </x:c>
      <x:c r="H89" s="26" t="str">
        <x:v>☐ 未测试</x:v>
      </x:c>
      <x:c r="I89" s="26" t="str">
        <x:v>☐ 未测试</x:v>
      </x:c>
      <x:c r="J89" s="26" t="str">
        <x:v>☐ 未测试</x:v>
      </x:c>
      <x:c r="K89" s="26" t="str">
        <x:v>☐ 未测试</x:v>
      </x:c>
    </x:row>
    <x:row r="90" ht="48" customHeight="1">
      <x:c r="A90" s="6" t="str">
        <x:v>ADV-02</x:v>
      </x:c>
      <x:c r="B90" s="20" t="str">
        <x:v>I. 高级运动、扩展网络与负载</x:v>
      </x:c>
      <x:c r="C90" s="20" t="str">
        <x:v>P1 / 中断定位或触发运动</x:v>
      </x:c>
      <x:c r="D90" s="20" t="str">
        <x:v>PLC使用实际锁存结果完成中断定位/测量；覆盖Drive/Controller等支持路径</x:v>
      </x:c>
      <x:c r="E90" s="20" t="str">
        <x:v>从物理触发到锁存到PLC动作闭环可测；各模式所需PDO齐全，丢事件/超时可诊断</x:v>
      </x:c>
      <x:c r="F90" s="6" t="str">
        <x:v>E1、E2、E4</x:v>
      </x:c>
      <x:c r="G90" s="23" t="str">
        <x:v>☐ 未测试</x:v>
      </x:c>
      <x:c r="H90" s="23" t="str">
        <x:v>☐ 未测试</x:v>
      </x:c>
      <x:c r="I90" s="23" t="str">
        <x:v>☐ 未测试</x:v>
      </x:c>
      <x:c r="J90" s="23" t="str">
        <x:v>☐ 未测试</x:v>
      </x:c>
      <x:c r="K90" s="23" t="str">
        <x:v>☐ 未测试</x:v>
      </x:c>
    </x:row>
    <x:row r="91" ht="48" customHeight="1">
      <x:c r="A91" s="29" t="str">
        <x:v>ADV-03</x:v>
      </x:c>
      <x:c r="B91" s="30" t="str">
        <x:v>I. 高级运动、扩展网络与负载</x:v>
      </x:c>
      <x:c r="C91" s="30" t="str">
        <x:v>P1 / 多轴同步</x:v>
      </x:c>
      <x:c r="D91" s="30" t="str">
        <x:v>在实际最大轴数和负载下同步启停、反向及连续轨迹；测各轴误差</x:v>
      </x:c>
      <x:c r="E91" s="30" t="str">
        <x:v>E_sync/E_follow、周期与同步指标达标；从站排列改变后身份与同步不混淆</x:v>
      </x:c>
      <x:c r="F91" s="29" t="str">
        <x:v>E1、E2、E3、E4</x:v>
      </x:c>
      <x:c r="G91" s="23" t="str">
        <x:v>☐ 未测试</x:v>
      </x:c>
      <x:c r="H91" s="23" t="str">
        <x:v>☐ 未测试</x:v>
      </x:c>
      <x:c r="I91" s="23" t="str">
        <x:v>☐ 未测试</x:v>
      </x:c>
      <x:c r="J91" s="23" t="str">
        <x:v>☐ 未测试</x:v>
      </x:c>
      <x:c r="K91" s="23" t="str">
        <x:v>☐ 未测试</x:v>
      </x:c>
    </x:row>
    <x:row r="92" ht="48" customHeight="1">
      <x:c r="A92" s="6" t="str">
        <x:v>ADV-04</x:v>
      </x:c>
      <x:c r="B92" s="20" t="str">
        <x:v>I. 高级运动、扩展网络与负载</x:v>
      </x:c>
      <x:c r="C92" s="20" t="str">
        <x:v>P2 / 齿轮、凸轮、插补已承诺</x:v>
      </x:c>
      <x:c r="D92" s="20" t="str">
        <x:v>每种承诺功能分别运行接入/退出、主轴停转/反转及从轴故障；建立独立子记录</x:v>
      </x:c>
      <x:c r="E92" s="20" t="str">
        <x:v>各功能的相位/比例/轨迹及故障联动达标；重新同步步骤和限制已交付</x:v>
      </x:c>
      <x:c r="F92" s="6" t="str">
        <x:v>E1、E2、E4</x:v>
      </x:c>
      <x:c r="G92" s="23" t="str">
        <x:v>☐ 未测试</x:v>
      </x:c>
      <x:c r="H92" s="23" t="str">
        <x:v>☐ 未测试</x:v>
      </x:c>
      <x:c r="I92" s="23" t="str">
        <x:v>☐ 未测试</x:v>
      </x:c>
      <x:c r="J92" s="23" t="str">
        <x:v>☐ 未测试</x:v>
      </x:c>
      <x:c r="K92" s="23" t="str">
        <x:v>☐ 未测试</x:v>
      </x:c>
    </x:row>
    <x:row r="93" ht="48" customHeight="1">
      <x:c r="A93" s="29" t="str">
        <x:v>ADV-05</x:v>
      </x:c>
      <x:c r="B93" s="30" t="str">
        <x:v>I. 高级运动、扩展网络与负载</x:v>
      </x:c>
      <x:c r="C93" s="30" t="str">
        <x:v>P1 / 多轴或混合网络</x:v>
      </x:c>
      <x:c r="D93" s="30" t="str">
        <x:v>最大交付轴数＋实际I/O、目标周期、HMI和正常后台通信同时运行</x:v>
      </x:c>
      <x:c r="E93" s="30" t="str">
        <x:v>主站负载、J_max/D_max及运动指标均达标，网络容量承诺有实测依据</x:v>
      </x:c>
      <x:c r="F93" s="29" t="str">
        <x:v>E1、E2、E3</x:v>
      </x:c>
      <x:c r="G93" s="23" t="str">
        <x:v>☐ 未测试</x:v>
      </x:c>
      <x:c r="H93" s="23" t="str">
        <x:v>☐ 未测试</x:v>
      </x:c>
      <x:c r="I93" s="23" t="str">
        <x:v>☐ 未测试</x:v>
      </x:c>
      <x:c r="J93" s="23" t="str">
        <x:v>☐ 未测试</x:v>
      </x:c>
      <x:c r="K93" s="23" t="str">
        <x:v>☐ 未测试</x:v>
      </x:c>
    </x:row>
    <x:row r="94" ht="48" customHeight="1">
      <x:c r="A94" s="6" t="str">
        <x:v>ADV-06</x:v>
      </x:c>
      <x:c r="B94" s="20" t="str">
        <x:v>I. 高级运动、扩展网络与负载</x:v>
      </x:c>
      <x:c r="C94" s="20" t="str">
        <x:v>P1 / 多轴联动</x:v>
      </x:c>
      <x:c r="D94" s="20" t="str">
        <x:v>使一轴受控故障/掉电；观察其他轴、组状态及再次组使能</x:v>
      </x:c>
      <x:c r="E94" s="20" t="str">
        <x:v>停单轴/停组策略符合应用约定；组错误可解除且不会错序重启</x:v>
      </x:c>
      <x:c r="F94" s="6" t="str">
        <x:v>E2、E3、E4</x:v>
      </x:c>
      <x:c r="G94" s="23" t="str">
        <x:v>☐ 未测试</x:v>
      </x:c>
      <x:c r="H94" s="23" t="str">
        <x:v>☐ 未测试</x:v>
      </x:c>
      <x:c r="I94" s="23" t="str">
        <x:v>☐ 未测试</x:v>
      </x:c>
      <x:c r="J94" s="23" t="str">
        <x:v>☐ 未测试</x:v>
      </x:c>
      <x:c r="K94" s="23" t="str">
        <x:v>☐ 未测试</x:v>
      </x:c>
    </x:row>
    <x:row r="95" ht="48" customHeight="1">
      <x:c r="A95" s="29" t="str">
        <x:v>ADV-07</x:v>
      </x:c>
      <x:c r="B95" s="30" t="str">
        <x:v>I. 高级运动、扩展网络与负载</x:v>
      </x:c>
      <x:c r="C95" s="30" t="str">
        <x:v>P1 / 单从站多轴设备</x:v>
      </x:c>
      <x:c r="D95" s="30" t="str">
        <x:v>分别配置/控制各通道，验证各轴对象偏移、PDO、身份关联及单通道报警</x:v>
      </x:c>
      <x:c r="E95" s="30" t="str">
        <x:v>数据与报警不串轴；共享资源限制明确，各种发布通道组合可重启重建</x:v>
      </x:c>
      <x:c r="F95" s="29" t="str">
        <x:v>E1、E2、E3</x:v>
      </x:c>
      <x:c r="G95" s="23" t="str">
        <x:v>☐ 未测试</x:v>
      </x:c>
      <x:c r="H95" s="23" t="str">
        <x:v>☐ 未测试</x:v>
      </x:c>
      <x:c r="I95" s="23" t="str">
        <x:v>☐ 未测试</x:v>
      </x:c>
      <x:c r="J95" s="23" t="str">
        <x:v>☐ 未测试</x:v>
      </x:c>
      <x:c r="K95" s="23" t="str">
        <x:v>☐ 未测试</x:v>
      </x:c>
    </x:row>
    <x:row r="96" ht="48" customHeight="1">
      <x:c r="A96" s="6" t="str">
        <x:v>ADV-08</x:v>
      </x:c>
      <x:c r="B96" s="20" t="str">
        <x:v>I. 高级运动、扩展网络与负载</x:v>
      </x:c>
      <x:c r="C96" s="20" t="str">
        <x:v>P2 / EoE、热连接、冗余等已承诺</x:v>
      </x:c>
      <x:c r="D96" s="20" t="str">
        <x:v>每种扩展分别建立子记录，测配置、负载、失效与恢复；未承诺项明确标界</x:v>
      </x:c>
      <x:c r="E96" s="20" t="str">
        <x:v>每个承诺扩展都有专用通过证据，对运动/时序影响达标；不能因EtherCAT本身支持就宣称本机支持</x:v>
      </x:c>
      <x:c r="F96" s="6" t="str">
        <x:v>E0、E1、E2、E3</x:v>
      </x:c>
      <x:c r="G96" s="23" t="str">
        <x:v>☐ 未测试</x:v>
      </x:c>
      <x:c r="H96" s="23" t="str">
        <x:v>☐ 未测试</x:v>
      </x:c>
      <x:c r="I96" s="23" t="str">
        <x:v>☐ 未测试</x:v>
      </x:c>
      <x:c r="J96" s="23" t="str">
        <x:v>☐ 未测试</x:v>
      </x:c>
      <x:c r="K96" s="23" t="str">
        <x:v>☐ 未测试</x:v>
      </x:c>
    </x:row>
    <x:row r="97" ht="48" customHeight="1">
      <x:c r="A97" s="33" t="str">
        <x:v>LIF-01</x:v>
      </x:c>
      <x:c r="B97" s="34" t="str">
        <x:v>J. 参数保存、项目迁移、备件与升级</x:v>
      </x:c>
      <x:c r="C97" s="32" t="str">
        <x:v>P0 / 全部</x:v>
      </x:c>
      <x:c r="D97" s="32" t="str">
        <x:v>在线改参数后分别PLC重启、驱动重启和完整冷启动；比较启动前后读回</x:v>
      </x:c>
      <x:c r="E97" s="32" t="str">
        <x:v>按参数所有权表保留/覆盖，实际生效值可解释且重复一致</x:v>
      </x:c>
      <x:c r="F97" s="31" t="str">
        <x:v>E1、E2</x:v>
      </x:c>
      <x:c r="G97" s="26" t="str">
        <x:v>☐ 未测试</x:v>
      </x:c>
      <x:c r="H97" s="26" t="str">
        <x:v>☐ 未测试</x:v>
      </x:c>
      <x:c r="I97" s="26" t="str">
        <x:v>☐ 未测试</x:v>
      </x:c>
      <x:c r="J97" s="26" t="str">
        <x:v>☐ 未测试</x:v>
      </x:c>
      <x:c r="K97" s="26" t="str">
        <x:v>☐ 未测试</x:v>
      </x:c>
    </x:row>
    <x:row r="98" ht="48" customHeight="1">
      <x:c r="A98" s="6" t="str">
        <x:v>LIF-02</x:v>
      </x:c>
      <x:c r="B98" s="20" t="str">
        <x:v>J. 参数保存、项目迁移、备件与升级</x:v>
      </x:c>
      <x:c r="C98" s="20" t="str">
        <x:v>P1 / 可非易失保存</x:v>
      </x:c>
      <x:c r="D98" s="20" t="str">
        <x:v>保存完成后断电重上；另按预先确认的允许方法测试保存中断，分别留证；核对保存频次规则</x:v>
      </x:c>
      <x:c r="E98" s="20" t="str">
        <x:v>完成时保持正确；中断后用旧/新完整配置或明确要求恢复，不静默使用半套关键参数；禁止每扫描周期保存</x:v>
      </x:c>
      <x:c r="F98" s="6" t="str">
        <x:v>E1、E3</x:v>
      </x:c>
      <x:c r="G98" s="23" t="str">
        <x:v>☐ 未测试</x:v>
      </x:c>
      <x:c r="H98" s="23" t="str">
        <x:v>☐ 未测试</x:v>
      </x:c>
      <x:c r="I98" s="23" t="str">
        <x:v>☐ 未测试</x:v>
      </x:c>
      <x:c r="J98" s="23" t="str">
        <x:v>☐ 未测试</x:v>
      </x:c>
      <x:c r="K98" s="23" t="str">
        <x:v>☐ 未测试</x:v>
      </x:c>
    </x:row>
    <x:row r="99" ht="48" customHeight="1">
      <x:c r="A99" s="29" t="str">
        <x:v>LIF-03</x:v>
      </x:c>
      <x:c r="B99" s="30" t="str">
        <x:v>J. 参数保存、项目迁移、备件与升级</x:v>
      </x:c>
      <x:c r="C99" s="30" t="str">
        <x:v>P0 / 默认恢复路径</x:v>
      </x:c>
      <x:c r="D99" s="30" t="str">
        <x:v>恢复出厂默认，再按交付流程还原电机、编码器、单位、限值和通信参数</x:v>
      </x:c>
      <x:c r="E99" s="30" t="str">
        <x:v>恢复范围明确；关键参数未完成前不能误允许运动，之后可完成主路径</x:v>
      </x:c>
      <x:c r="F99" s="29" t="str">
        <x:v>E1、E2、E4</x:v>
      </x:c>
      <x:c r="G99" s="23" t="str">
        <x:v>☐ 未测试</x:v>
      </x:c>
      <x:c r="H99" s="23" t="str">
        <x:v>☐ 未测试</x:v>
      </x:c>
      <x:c r="I99" s="23" t="str">
        <x:v>☐ 未测试</x:v>
      </x:c>
      <x:c r="J99" s="23" t="str">
        <x:v>☐ 未测试</x:v>
      </x:c>
      <x:c r="K99" s="23" t="str">
        <x:v>☐ 未测试</x:v>
      </x:c>
    </x:row>
    <x:row r="100" ht="48" customHeight="1">
      <x:c r="A100" s="6" t="str">
        <x:v>LIF-04</x:v>
      </x:c>
      <x:c r="B100" s="20" t="str">
        <x:v>J. 参数保存、项目迁移、备件与升级</x:v>
      </x:c>
      <x:c r="C100" s="20" t="str">
        <x:v>P0 / 全部</x:v>
      </x:c>
      <x:c r="D100" s="20" t="str">
        <x:v>仅凭交付备份在另一工程电脑/PLC恢复工程与运行参数</x:v>
      </x:c>
      <x:c r="E100" s="20" t="str">
        <x:v>能编译下载、建轴和复现动作；备份同时覆盖PLC启动参数与驱动有效值</x:v>
      </x:c>
      <x:c r="F100" s="6" t="str">
        <x:v>E1、E5</x:v>
      </x:c>
      <x:c r="G100" s="23" t="str">
        <x:v>☐ 未测试</x:v>
      </x:c>
      <x:c r="H100" s="23" t="str">
        <x:v>☐ 未测试</x:v>
      </x:c>
      <x:c r="I100" s="23" t="str">
        <x:v>☐ 未测试</x:v>
      </x:c>
      <x:c r="J100" s="23" t="str">
        <x:v>☐ 未测试</x:v>
      </x:c>
      <x:c r="K100" s="23" t="str">
        <x:v>☐ 未测试</x:v>
      </x:c>
    </x:row>
    <x:row r="101" ht="48" customHeight="1">
      <x:c r="A101" s="29" t="str">
        <x:v>LIF-05</x:v>
      </x:c>
      <x:c r="B101" s="30" t="str">
        <x:v>J. 参数保存、项目迁移、备件与升级</x:v>
      </x:c>
      <x:c r="C101" s="30" t="str">
        <x:v>P0 / 备件替换</x:v>
      </x:c>
      <x:c r="D101" s="30" t="str">
        <x:v>用出厂状态同型备件按手册替换，核对轴身份、电机、参数和原点</x:v>
      </x:c>
      <x:c r="E101" s="30" t="str">
        <x:v>T_restore内恢复约定功能，无错轴；需回零/标定之处明确，无开发者隐藏步骤</x:v>
      </x:c>
      <x:c r="F101" s="29" t="str">
        <x:v>E1、E2、E4、E5</x:v>
      </x:c>
      <x:c r="G101" s="23" t="str">
        <x:v>☐ 未测试</x:v>
      </x:c>
      <x:c r="H101" s="23" t="str">
        <x:v>☐ 未测试</x:v>
      </x:c>
      <x:c r="I101" s="23" t="str">
        <x:v>☐ 未测试</x:v>
      </x:c>
      <x:c r="J101" s="23" t="str">
        <x:v>☐ 未测试</x:v>
      </x:c>
      <x:c r="K101" s="23" t="str">
        <x:v>☐ 未测试</x:v>
      </x:c>
    </x:row>
    <x:row r="102" ht="48" customHeight="1">
      <x:c r="A102" s="6" t="str">
        <x:v>LIF-06</x:v>
      </x:c>
      <x:c r="B102" s="20" t="str">
        <x:v>J. 参数保存、项目迁移、备件与升级</x:v>
      </x:c>
      <x:c r="C102" s="20" t="str">
        <x:v>P0 / 版本替换</x:v>
      </x:c>
      <x:c r="D102" s="20" t="str">
        <x:v>分别更换声明兼容与不兼容的硬件/Revision/固件/ESI组合</x:v>
      </x:c>
      <x:c r="E102" s="20" t="str">
        <x:v>兼容组合通过差异回归；不兼容项清晰拒绝或要求迁移，不绕过身份校验盲用</x:v>
      </x:c>
      <x:c r="F102" s="6" t="str">
        <x:v>E0、E1、E3</x:v>
      </x:c>
      <x:c r="G102" s="23" t="str">
        <x:v>☐ 未测试</x:v>
      </x:c>
      <x:c r="H102" s="23" t="str">
        <x:v>☐ 未测试</x:v>
      </x:c>
      <x:c r="I102" s="23" t="str">
        <x:v>☐ 未测试</x:v>
      </x:c>
      <x:c r="J102" s="23" t="str">
        <x:v>☐ 未测试</x:v>
      </x:c>
      <x:c r="K102" s="23" t="str">
        <x:v>☐ 未测试</x:v>
      </x:c>
    </x:row>
    <x:row r="103" ht="48" customHeight="1">
      <x:c r="A103" s="29" t="str">
        <x:v>LIF-07</x:v>
      </x:c>
      <x:c r="B103" s="30" t="str">
        <x:v>J. 参数保存、项目迁移、备件与升级</x:v>
      </x:c>
      <x:c r="C103" s="30" t="str">
        <x:v>P1 / 固件升级</x:v>
      </x:c>
      <x:c r="D103" s="30" t="str">
        <x:v>按实际支持方式升级（FoE仅在支持时）；核对身份、参数迁移、PDO与全部受影响功能</x:v>
      </x:c>
      <x:c r="E103" s="30" t="str">
        <x:v>升级包版本/校验正确，迁移规则明确；升级后关键P0与受影响项目通过</x:v>
      </x:c>
      <x:c r="F103" s="29" t="str">
        <x:v>E1、E2、E3、E5</x:v>
      </x:c>
      <x:c r="G103" s="23" t="str">
        <x:v>☐ 未测试</x:v>
      </x:c>
      <x:c r="H103" s="23" t="str">
        <x:v>☐ 未测试</x:v>
      </x:c>
      <x:c r="I103" s="23" t="str">
        <x:v>☐ 未测试</x:v>
      </x:c>
      <x:c r="J103" s="23" t="str">
        <x:v>☐ 未测试</x:v>
      </x:c>
      <x:c r="K103" s="23" t="str">
        <x:v>☐ 未测试</x:v>
      </x:c>
    </x:row>
    <x:row r="104" ht="48" customHeight="1">
      <x:c r="A104" s="6" t="str">
        <x:v>LIF-08</x:v>
      </x:c>
      <x:c r="B104" s="20" t="str">
        <x:v>J. 参数保存、项目迁移、备件与升级</x:v>
      </x:c>
      <x:c r="C104" s="20" t="str">
        <x:v>P1 / 更新恢复或降级</x:v>
      </x:c>
      <x:c r="D104" s="20" t="str">
        <x:v>在可恢复台架按厂家允许方法中断升级，并测试承诺的降级/恢复入口；分别子记录</x:v>
      </x:c>
      <x:c r="E104" s="20" t="str">
        <x:v>恢复办法可重复且身份/参数有效；不支持降级明确阻止；未声明的任意断电刷写不盲测</x:v>
      </x:c>
      <x:c r="F104" s="6" t="str">
        <x:v>E1、E3、E5</x:v>
      </x:c>
      <x:c r="G104" s="23" t="str">
        <x:v>☐ 未测试</x:v>
      </x:c>
      <x:c r="H104" s="23" t="str">
        <x:v>☐ 未测试</x:v>
      </x:c>
      <x:c r="I104" s="23" t="str">
        <x:v>☐ 未测试</x:v>
      </x:c>
      <x:c r="J104" s="23" t="str">
        <x:v>☐ 未测试</x:v>
      </x:c>
      <x:c r="K104" s="23" t="str">
        <x:v>☐ 未测试</x:v>
      </x:c>
    </x:row>
    <x:row r="105" ht="48" customHeight="1">
      <x:c r="A105" s="29" t="str">
        <x:v>LIF-09</x:v>
      </x:c>
      <x:c r="B105" s="30" t="str">
        <x:v>J. 参数保存、项目迁移、备件与升级</x:v>
      </x:c>
      <x:c r="C105" s="30" t="str">
        <x:v>P1 / 工程或平台升级</x:v>
      </x:c>
      <x:c r="D105" s="30" t="str">
        <x:v>在新的受支持工程软件/运行时/运动库中打开旧客户工程；检查设备库、自动参数与编译差异</x:v>
      </x:c>
      <x:c r="E105" s="30" t="str">
        <x:v>有影响清单和迁移工程；通信、模式、回零、复位与恢复均完成差异回归</x:v>
      </x:c>
      <x:c r="F105" s="29" t="str">
        <x:v>E0、E1、E2、E5</x:v>
      </x:c>
      <x:c r="G105" s="23" t="str">
        <x:v>☐ 未测试</x:v>
      </x:c>
      <x:c r="H105" s="23" t="str">
        <x:v>☐ 未测试</x:v>
      </x:c>
      <x:c r="I105" s="23" t="str">
        <x:v>☐ 未测试</x:v>
      </x:c>
      <x:c r="J105" s="23" t="str">
        <x:v>☐ 未测试</x:v>
      </x:c>
      <x:c r="K105" s="23" t="str">
        <x:v>☐ 未测试</x:v>
      </x:c>
    </x:row>
    <x:row r="106" ht="48" customHeight="1">
      <x:c r="A106" s="6" t="str">
        <x:v>LIF-10</x:v>
      </x:c>
      <x:c r="B106" s="20" t="str">
        <x:v>J. 参数保存、项目迁移、备件与升级</x:v>
      </x:c>
      <x:c r="C106" s="20" t="str">
        <x:v>P1 / 全部</x:v>
      </x:c>
      <x:c r="D106" s="20" t="str">
        <x:v>按N_repeat/H_soak/Duty执行反复启停、定位、允许的恢复和持续运行</x:v>
      </x:c>
      <x:c r="E106" s="20" t="str">
        <x:v>完成冻结次数/时长，各指标达标，无未解释故障；报告失败次数与最长恢复时间，非仅平均值</x:v>
      </x:c>
      <x:c r="F106" s="6" t="str">
        <x:v>E2、E3、E4、E5</x:v>
      </x:c>
      <x:c r="G106" s="23" t="str">
        <x:v>☐ 未测试</x:v>
      </x:c>
      <x:c r="H106" s="23" t="str">
        <x:v>☐ 未测试</x:v>
      </x:c>
      <x:c r="I106" s="23" t="str">
        <x:v>☐ 未测试</x:v>
      </x:c>
      <x:c r="J106" s="23" t="str">
        <x:v>☐ 未测试</x:v>
      </x:c>
      <x:c r="K106" s="23" t="str">
        <x:v>☐ 未测试</x:v>
      </x:c>
    </x:row>
    <x:row r="107" ht="48" customHeight="1">
      <x:c r="A107" s="33" t="str">
        <x:v>SUP-01</x:v>
      </x:c>
      <x:c r="B107" s="34" t="str">
        <x:v>K. 客户自助与售后可解决性</x:v>
      </x:c>
      <x:c r="C107" s="32" t="str">
        <x:v>P0 / 全部</x:v>
      </x:c>
      <x:c r="D107" s="32" t="str">
        <x:v>让未参与开发的应用工程师仅凭交付包，从空工程到第一次受控运动</x:v>
      </x:c>
      <x:c r="E107" s="32" t="str">
        <x:v>T_first_motion内完成；所有追问和隐含步骤已修正文档并复验</x:v>
      </x:c>
      <x:c r="F107" s="31" t="str">
        <x:v>E1、E5</x:v>
      </x:c>
      <x:c r="G107" s="26" t="str">
        <x:v>☐ 未测试</x:v>
      </x:c>
      <x:c r="H107" s="26" t="str">
        <x:v>☐ 未测试</x:v>
      </x:c>
      <x:c r="I107" s="26" t="str">
        <x:v>☐ 未测试</x:v>
      </x:c>
      <x:c r="J107" s="26" t="str">
        <x:v>☐ 未测试</x:v>
      </x:c>
      <x:c r="K107" s="26" t="str">
        <x:v>☐ 未测试</x:v>
      </x:c>
    </x:row>
    <x:row r="108" ht="48" customHeight="1">
      <x:c r="A108" s="6" t="str">
        <x:v>SUP-02</x:v>
      </x:c>
      <x:c r="B108" s="20" t="str">
        <x:v>K. 客户自助与售后可解决性</x:v>
      </x:c>
      <x:c r="C108" s="20" t="str">
        <x:v>P1 / 全部</x:v>
      </x:c>
      <x:c r="D108" s="20" t="str">
        <x:v>向应用/支持人员提供预设ESI/PDO/模式/单位错误，按排查卡定位</x:v>
      </x:c>
      <x:c r="E108" s="20" t="str">
        <x:v>T_triage内定位到正确层和原因，能给出确定修正步骤，不依赖固件开发者远程接管</x:v>
      </x:c>
      <x:c r="F108" s="6" t="str">
        <x:v>E3、E5</x:v>
      </x:c>
      <x:c r="G108" s="23" t="str">
        <x:v>☐ 未测试</x:v>
      </x:c>
      <x:c r="H108" s="23" t="str">
        <x:v>☐ 未测试</x:v>
      </x:c>
      <x:c r="I108" s="23" t="str">
        <x:v>☐ 未测试</x:v>
      </x:c>
      <x:c r="J108" s="23" t="str">
        <x:v>☐ 未测试</x:v>
      </x:c>
      <x:c r="K108" s="23" t="str">
        <x:v>☐ 未测试</x:v>
      </x:c>
    </x:row>
    <x:row r="109" ht="48" customHeight="1">
      <x:c r="A109" s="29" t="str">
        <x:v>SUP-03</x:v>
      </x:c>
      <x:c r="B109" s="30" t="str">
        <x:v>K. 客户自助与售后可解决性</x:v>
      </x:c>
      <x:c r="C109" s="30" t="str">
        <x:v>P0 / 全部</x:v>
      </x:c>
      <x:c r="D109" s="30" t="str">
        <x:v>按现场问题单采集一次真实或台架故障，复位前保存证据</x:v>
      </x:c>
      <x:c r="E109" s="30" t="str">
        <x:v>包含版本、拓扑、工程、首发错误、动作时间线、有效波形；另一人可复现</x:v>
      </x:c>
      <x:c r="F109" s="29" t="str">
        <x:v>E0、E1、E2、E3、E5</x:v>
      </x:c>
      <x:c r="G109" s="23" t="str">
        <x:v>☐ 未测试</x:v>
      </x:c>
      <x:c r="H109" s="23" t="str">
        <x:v>☐ 未测试</x:v>
      </x:c>
      <x:c r="I109" s="23" t="str">
        <x:v>☐ 未测试</x:v>
      </x:c>
      <x:c r="J109" s="23" t="str">
        <x:v>☐ 未测试</x:v>
      </x:c>
      <x:c r="K109" s="23" t="str">
        <x:v>☐ 未测试</x:v>
      </x:c>
    </x:row>
    <x:row r="110" ht="48" customHeight="1">
      <x:c r="A110" s="6" t="str">
        <x:v>SUP-04</x:v>
      </x:c>
      <x:c r="B110" s="20" t="str">
        <x:v>K. 客户自助与售后可解决性</x:v>
      </x:c>
      <x:c r="C110" s="20" t="str">
        <x:v>P1 / 全部</x:v>
      </x:c>
      <x:c r="D110" s="20" t="str">
        <x:v>对每个常见PLC/驱动错误核对手册、HMI文案和恢复步骤</x:v>
      </x:c>
      <x:c r="E110" s="20" t="str">
        <x:v>能找到对象/错误码、原因、检查入口与复位条件；没有“重启试试”作为唯一办法</x:v>
      </x:c>
      <x:c r="F110" s="6" t="str">
        <x:v>E3、E5</x:v>
      </x:c>
      <x:c r="G110" s="23" t="str">
        <x:v>☐ 未测试</x:v>
      </x:c>
      <x:c r="H110" s="23" t="str">
        <x:v>☐ 未测试</x:v>
      </x:c>
      <x:c r="I110" s="23" t="str">
        <x:v>☐ 未测试</x:v>
      </x:c>
      <x:c r="J110" s="23" t="str">
        <x:v>☐ 未测试</x:v>
      </x:c>
      <x:c r="K110" s="23" t="str">
        <x:v>☐ 未测试</x:v>
      </x:c>
    </x:row>
    <x:row r="111" ht="48" customHeight="1">
      <x:c r="A111" s="29" t="str">
        <x:v>SUP-05</x:v>
      </x:c>
      <x:c r="B111" s="30" t="str">
        <x:v>K. 客户自助与售后可解决性</x:v>
      </x:c>
      <x:c r="C111" s="30" t="str">
        <x:v>P0 / 已有现场问题</x:v>
      </x:c>
      <x:c r="D111" s="30" t="str">
        <x:v>将用户提供的每个真实故障固化为独立回归记录，在原组合与修复版本执行</x:v>
      </x:c>
      <x:c r="E111" s="30" t="str">
        <x:v>原问题可复现，修复后有通过证据，受影响组合已回归；仅口头“修好”不关闭</x:v>
      </x:c>
      <x:c r="F111" s="29" t="str">
        <x:v>E1、E2、E3、E5</x:v>
      </x:c>
      <x:c r="G111" s="23" t="str">
        <x:v>☐ 未测试</x:v>
      </x:c>
      <x:c r="H111" s="23" t="str">
        <x:v>☐ 未测试</x:v>
      </x:c>
      <x:c r="I111" s="23" t="str">
        <x:v>☐ 未测试</x:v>
      </x:c>
      <x:c r="J111" s="23" t="str">
        <x:v>☐ 未测试</x:v>
      </x:c>
      <x:c r="K111" s="23" t="str">
        <x:v>☐ 未测试</x:v>
      </x:c>
    </x:row>
    <x:row r="112" ht="48" customHeight="1">
      <x:c r="A112" s="6" t="str">
        <x:v>SUP-06</x:v>
      </x:c>
      <x:c r="B112" s="20" t="str">
        <x:v>K. 客户自助与售后可解决性</x:v>
      </x:c>
      <x:c r="C112" s="20" t="str">
        <x:v>P1 / 全部</x:v>
      </x:c>
      <x:c r="D112" s="20" t="str">
        <x:v>发布前核对配置矩阵、已知限制、版本说明、示例、排查卡、恢复包、报告与负责人</x:v>
      </x:c>
      <x:c r="E112" s="20" t="str">
        <x:v>同一发布包内资料一致、来源可追溯；交接对象和问题升级路径明确</x:v>
      </x:c>
      <x:c r="F112" s="6" t="str">
        <x:v>E0、E5</x:v>
      </x:c>
      <x:c r="G112" s="23" t="str">
        <x:v>☐ 未测试</x:v>
      </x:c>
      <x:c r="H112" s="23" t="str">
        <x:v>☐ 未测试</x:v>
      </x:c>
      <x:c r="I112" s="23" t="str">
        <x:v>☐ 未测试</x:v>
      </x:c>
      <x:c r="J112" s="23" t="str">
        <x:v>☐ 未测试</x:v>
      </x:c>
      <x:c r="K112" s="23" t="str">
        <x:v>☐ 未测试</x:v>
      </x:c>
    </x:row>
    <x:row r="113" ht="49.5" customHeight="1">
      <x:c r="A113" s="33" t="str">
        <x:v>PLC-01</x:v>
      </x:c>
      <x:c r="B113" s="34" t="str">
        <x:v>L. 平台专项：只有该平台在交付范围内才执行</x:v>
      </x:c>
      <x:c r="C113" s="32" t="str">
        <x:v>P0 / TwinCAT NC</x:v>
      </x:c>
      <x:c r="D113" s="32" t="str">
        <x:v>从空工程关联NC轴↔I/O，再将PLC AXIS_REF↔NC轴关联；分别面板与PLC操作</x:v>
      </x:c>
      <x:c r="E113" s="32" t="str">
        <x:v>两层绑定正确且不串轴；面板点动和PLC程序动作都有证据</x:v>
      </x:c>
      <x:c r="F113" s="31" t="str">
        <x:v>E1、E2、E4</x:v>
      </x:c>
      <x:c r="G113" s="26" t="str">
        <x:v>☐ 未测试</x:v>
      </x:c>
      <x:c r="H113" s="26" t="str">
        <x:v>☐ 未测试</x:v>
      </x:c>
      <x:c r="I113" s="26" t="str">
        <x:v>☐ 未测试</x:v>
      </x:c>
      <x:c r="J113" s="26" t="str">
        <x:v>☐ 未测试</x:v>
      </x:c>
      <x:c r="K113" s="26" t="str">
        <x:v>☐ 未测试</x:v>
      </x:c>
    </x:row>
    <x:row r="114" ht="49.5" customHeight="1">
      <x:c r="A114" s="6" t="str">
        <x:v>PLC-02</x:v>
      </x:c>
      <x:c r="B114" s="20" t="str">
        <x:v>L. 平台专项：只有该平台在交付范围内才执行</x:v>
      </x:c>
      <x:c r="C114" s="20" t="str">
        <x:v>P0 / TwinCAT NC</x:v>
      </x:c>
      <x:c r="D114" s="20" t="str">
        <x:v>若承诺回零，按实际入口执行NC MC_Home/Reference Mode或已交付的驱动HM流程；另对驱动报警调用MC_Reset及所需驱动复位</x:v>
      </x:c>
      <x:c r="E114" s="20" t="str">
        <x:v>所选回零路径通过；NC复位和驱动复位结果分别验证，恢复后可受控定位</x:v>
      </x:c>
      <x:c r="F114" s="6" t="str">
        <x:v>E1、E2、E3</x:v>
      </x:c>
      <x:c r="G114" s="23" t="str">
        <x:v>☐ 未测试</x:v>
      </x:c>
      <x:c r="H114" s="23" t="str">
        <x:v>☐ 未测试</x:v>
      </x:c>
      <x:c r="I114" s="23" t="str">
        <x:v>☐ 未测试</x:v>
      </x:c>
      <x:c r="J114" s="23" t="str">
        <x:v>☐ 未测试</x:v>
      </x:c>
      <x:c r="K114" s="23" t="str">
        <x:v>☐ 未测试</x:v>
      </x:c>
    </x:row>
    <x:row r="115" ht="49.5" customHeight="1">
      <x:c r="A115" s="29" t="str">
        <x:v>PLC-03</x:v>
      </x:c>
      <x:c r="B115" s="30" t="str">
        <x:v>L. 平台专项：只有该平台在交付范围内才执行</x:v>
      </x:c>
      <x:c r="C115" s="30" t="str">
        <x:v>P0 / CODESYS SoftMotion</x:v>
      </x:c>
      <x:c r="D115" s="30" t="str">
        <x:v>使用实际运行时、设备包与专用/Generic CiA402轴，验证Profile/轴通道/握手配置</x:v>
      </x:c>
      <x:c r="E115" s="30" t="str">
        <x:v>设备描述与对象满足该驱动包要求；所有适配参数有依据，不靠关闭检查掩盖不兼容</x:v>
      </x:c>
      <x:c r="F115" s="29" t="str">
        <x:v>E0、E1、E2</x:v>
      </x:c>
      <x:c r="G115" s="23" t="str">
        <x:v>☐ 未测试</x:v>
      </x:c>
      <x:c r="H115" s="23" t="str">
        <x:v>☐ 未测试</x:v>
      </x:c>
      <x:c r="I115" s="23" t="str">
        <x:v>☐ 未测试</x:v>
      </x:c>
      <x:c r="J115" s="23" t="str">
        <x:v>☐ 未测试</x:v>
      </x:c>
      <x:c r="K115" s="23" t="str">
        <x:v>☐ 未测试</x:v>
      </x:c>
    </x:row>
    <x:row r="116" ht="49.5" customHeight="1">
      <x:c r="A116" s="6" t="str">
        <x:v>PLC-04</x:v>
      </x:c>
      <x:c r="B116" s="20" t="str">
        <x:v>L. 平台专项：只有该平台在交付范围内才执行</x:v>
      </x:c>
      <x:c r="C116" s="20" t="str">
        <x:v>P0 / CODESYS SoftMotion</x:v>
      </x:c>
      <x:c r="D116" s="20" t="str">
        <x:v>核对运动块所在任务、MC_Home/SMC_Homing路径及实际版本重初始化策略，执行断网恢复</x:v>
      </x:c>
      <x:c r="E116" s="20" t="str">
        <x:v>任务归属正确；所用回零和自动/手动重初始化分别通过；通信恢复不误授权运动</x:v>
      </x:c>
      <x:c r="F116" s="6" t="str">
        <x:v>E1、E2、E3</x:v>
      </x:c>
      <x:c r="G116" s="23" t="str">
        <x:v>☐ 未测试</x:v>
      </x:c>
      <x:c r="H116" s="23" t="str">
        <x:v>☐ 未测试</x:v>
      </x:c>
      <x:c r="I116" s="23" t="str">
        <x:v>☐ 未测试</x:v>
      </x:c>
      <x:c r="J116" s="23" t="str">
        <x:v>☐ 未测试</x:v>
      </x:c>
      <x:c r="K116" s="23" t="str">
        <x:v>☐ 未测试</x:v>
      </x:c>
    </x:row>
    <x:row r="117" ht="49.5" customHeight="1">
      <x:c r="A117" s="29" t="str">
        <x:v>PLC-05</x:v>
      </x:c>
      <x:c r="B117" s="30" t="str">
        <x:v>L. 平台专项：只有该平台在交付范围内才执行</x:v>
      </x:c>
      <x:c r="C117" s="30" t="str">
        <x:v>P0 / Omron Sysmac</x:v>
      </x:c>
      <x:c r="D117" s="30" t="str">
        <x:v>按实际CPU版本为每个客户MC指令建“模式＋PDO＋输入＋轴设置”矩阵，再逐项执行</x:v>
      </x:c>
      <x:c r="E117" s="30" t="str">
        <x:v>基本轴和各功能所需对象齐全；6060/6061配置遵循版本/指令要求；速度块不混同CSV</x:v>
      </x:c>
      <x:c r="F117" s="29" t="str">
        <x:v>E0、E1、E2</x:v>
      </x:c>
      <x:c r="G117" s="23" t="str">
        <x:v>☐ 未测试</x:v>
      </x:c>
      <x:c r="H117" s="23" t="str">
        <x:v>☐ 未测试</x:v>
      </x:c>
      <x:c r="I117" s="23" t="str">
        <x:v>☐ 未测试</x:v>
      </x:c>
      <x:c r="J117" s="23" t="str">
        <x:v>☐ 未测试</x:v>
      </x:c>
      <x:c r="K117" s="23" t="str">
        <x:v>☐ 未测试</x:v>
      </x:c>
    </x:row>
    <x:row r="118" ht="49.5" customHeight="1">
      <x:c r="A118" s="6" t="str">
        <x:v>PLC-06</x:v>
      </x:c>
      <x:c r="B118" s="20" t="str">
        <x:v>L. 平台专项：只有该平台在交付范围内才执行</x:v>
      </x:c>
      <x:c r="C118" s="20" t="str">
        <x:v>P0 / Omron NJ/NX</x:v>
      </x:c>
      <x:c r="D118" s="20" t="str">
        <x:v>按实际NJ或NX配置参考时钟/任务周期，验证回零/TouchProbe输入源及Drive/Controller路径</x:v>
      </x:c>
      <x:c r="E118" s="20" t="str">
        <x:v>时钟来源与该CPU系列匹配；回零编号、锁存和诊断按该版本手册，不能照搬另一平台</x:v>
      </x:c>
      <x:c r="F118" s="6" t="str">
        <x:v>E1、E2、E3、E4</x:v>
      </x:c>
      <x:c r="G118" s="23" t="str">
        <x:v>☐ 未测试</x:v>
      </x:c>
      <x:c r="H118" s="23" t="str">
        <x:v>☐ 未测试</x:v>
      </x:c>
      <x:c r="I118" s="23" t="str">
        <x:v>☐ 未测试</x:v>
      </x:c>
      <x:c r="J118" s="23" t="str">
        <x:v>☐ 未测试</x:v>
      </x:c>
      <x:c r="K118" s="23" t="str">
        <x:v>☐ 未测试</x:v>
      </x:c>
    </x:row>
  </x:sheetData>
  <x:conditionalFormatting sqref="G10:K118">
    <x:cfRule type="containsText" dxfId="0" priority="1" operator="containsText" text="阻塞"/>
    <x:cfRule type="containsText" dxfId="1" priority="2" operator="containsText" text="不适用"/>
    <x:cfRule type="containsText" dxfId="2" priority="3" operator="containsText" text="已实测"/>
  </x:conditionalFormatting>
  <x:dataValidations count="1">
    <x:dataValidation type="list" sqref="G10:K118">
      <x:formula1>"☐ 未测试,☑ 已实测,— 不适用,△ 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2c4340008343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6.25" hidden="0" customWidth="1"/>
    <x:col min="2" max="2" width="15.75" hidden="0" customWidth="1"/>
    <x:col min="3" max="3" width="11.75" hidden="0" customWidth="1"/>
    <x:col min="4" max="4" width="17.5" hidden="0" customWidth="1"/>
    <x:col min="5" max="5" width="13" hidden="0" customWidth="1"/>
    <x:col min="6" max="6" width="15.630000114440918" hidden="0" customWidth="1"/>
    <x:col min="7" max="7" width="13.75" hidden="0" customWidth="1"/>
    <x:col min="8" max="8" width="18.75" hidden="0" customWidth="1"/>
    <x:col min="9" max="9" width="48.130001068115234" hidden="0" customWidth="1"/>
    <x:col min="10" max="10" width="34.380001068115234" hidden="0" customWidth="1"/>
    <x:col min="11" max="11" width="35.630001068115234" hidden="0" customWidth="1"/>
    <x:col min="12" max="12" width="16.5" hidden="0" customWidth="1"/>
  </x:cols>
  <x:sheetData>
    <x:row r="1" ht="20.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品牌实测记录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0.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0.25" customHeight="1">
      <x:c r="A4" s="2" t="str">
        <x:v>按品牌、编号筛选后填写黄色区域。测试人、日期、实测结论、实际表现及证据必须齐全，才能作为勾选凭据。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0.25" customHeight="1">
      <x:c r="A5" s="2" t="str">
        <x:v>“不支持（实测）”需记录实际尝试与设备响应。资料确认、阻塞、不适用不算上机实测，原因写在备注。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0.25" customHeight="1">
      <x:c r="A6" s="2" t="str">
        <x:v>模式、周期、PDO、负载或操作步骤有差异时，在实际表现中写清。详细波形、子用例及复测记录可用链接或文件编号关联。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0.25" customHeight="1">
      <x:c r="A7" s="2" t="str">
        <x:v>日期填写Excel日期。多人或多次测试可在备注注明，主记录保留本轮测试人与结论。更换基线组合另存整本。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0.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1.5" customHeight="1">
      <x:c r="A9" s="17" t="str">
        <x:v>记录键</x:v>
      </x:c>
      <x:c r="B9" s="18" t="str">
        <x:v>品牌</x:v>
      </x:c>
      <x:c r="C9" s="18" t="str">
        <x:v>检查项编号</x:v>
      </x:c>
      <x:c r="D9" s="18" t="str">
        <x:v>基线编号</x:v>
      </x:c>
      <x:c r="E9" s="18" t="str">
        <x:v>测试人</x:v>
      </x:c>
      <x:c r="F9" s="18" t="str">
        <x:v>岗位</x:v>
      </x:c>
      <x:c r="G9" s="18" t="str">
        <x:v>测试日期</x:v>
      </x:c>
      <x:c r="H9" s="18" t="str">
        <x:v>实测结论</x:v>
      </x:c>
      <x:c r="I9" s="18" t="str">
        <x:v>实际表现 / 数值 / 使用差异</x:v>
      </x:c>
      <x:c r="J9" s="18" t="str">
        <x:v>证据链接 / 文件编号</x:v>
      </x:c>
      <x:c r="K9" s="18" t="str">
        <x:v>备注 / 不适用原因 / 复测</x:v>
      </x:c>
      <x:c r="L9" s="19" t="str">
        <x:v>记录状态（自动）</x:v>
      </x:c>
    </x:row>
    <x:row r="10" ht="48" customHeight="1">
      <x:c r="A10" s="36" t="str">
        <x:v>BAS-01/CDHD</x:v>
      </x:c>
      <x:c r="B10" s="36" t="str">
        <x:v>CDHD</x:v>
      </x:c>
      <x:c r="C10" s="36" t="str">
        <x:v>BAS-01</x:v>
      </x:c>
      <x:c r="D10" s="36" t="str">
        <x:v>CDHD-01</x:v>
      </x:c>
      <x:c r="E10" s="22"/>
      <x:c r="F10" s="22"/>
      <x:c r="G10" s="37"/>
      <x:c r="H10" s="22"/>
      <x:c r="I10" s="22"/>
      <x:c r="J10" s="22"/>
      <x:c r="K10" s="22"/>
      <x:c r="L10" s="6" t="str">
        <x:f>IF(COUNTA(E10:K10)=0,"",IF(OR(H10="不适用",H10="阻塞",H10="资料确认（未实测）"),"非实测记录",IF(AND(E10&lt;&gt;"",ISNUMBER(G10),G10&gt;0,H10&lt;&gt;"",I10&lt;&gt;"",J10&lt;&gt;""),"记录齐全","待补记录")))</x:f>
      </x:c>
    </x:row>
    <x:row r="11" ht="48" customHeight="1">
      <x:c r="A11" s="36" t="str">
        <x:v>BAS-01/台达</x:v>
      </x:c>
      <x:c r="B11" s="36" t="str">
        <x:v>台达</x:v>
      </x:c>
      <x:c r="C11" s="36" t="str">
        <x:v>BAS-01</x:v>
      </x:c>
      <x:c r="D11" s="36" t="str">
        <x:v>台达-01</x:v>
      </x:c>
      <x:c r="E11" s="22"/>
      <x:c r="F11" s="22"/>
      <x:c r="G11" s="37"/>
      <x:c r="H11" s="22"/>
      <x:c r="I11" s="22"/>
      <x:c r="J11" s="22"/>
      <x:c r="K11" s="22"/>
      <x:c r="L11" s="6" t="str">
        <x:f>IF(COUNTA(E11:K11)=0,"",IF(OR(H11="不适用",H11="阻塞",H11="资料确认（未实测）"),"非实测记录",IF(AND(E11&lt;&gt;"",ISNUMBER(G11),G11&gt;0,H11&lt;&gt;"",I11&lt;&gt;"",J11&lt;&gt;""),"记录齐全","待补记录")))</x:f>
      </x:c>
    </x:row>
    <x:row r="12" ht="48" customHeight="1">
      <x:c r="A12" s="36" t="str">
        <x:v>BAS-01/繁易</x:v>
      </x:c>
      <x:c r="B12" s="36" t="str">
        <x:v>繁易</x:v>
      </x:c>
      <x:c r="C12" s="36" t="str">
        <x:v>BAS-01</x:v>
      </x:c>
      <x:c r="D12" s="36" t="str">
        <x:v>繁易-01</x:v>
      </x:c>
      <x:c r="E12" s="22"/>
      <x:c r="F12" s="22"/>
      <x:c r="G12" s="37"/>
      <x:c r="H12" s="22"/>
      <x:c r="I12" s="22"/>
      <x:c r="J12" s="22"/>
      <x:c r="K12" s="22"/>
      <x:c r="L12" s="6" t="str">
        <x:f>IF(COUNTA(E12:K12)=0,"",IF(OR(H12="不适用",H12="阻塞",H12="资料确认（未实测）"),"非实测记录",IF(AND(E12&lt;&gt;"",ISNUMBER(G12),G12&gt;0,H12&lt;&gt;"",I12&lt;&gt;"",J12&lt;&gt;""),"记录齐全","待补记录")))</x:f>
      </x:c>
    </x:row>
    <x:row r="13" ht="48" customHeight="1">
      <x:c r="A13" s="36" t="str">
        <x:v>BAS-01/Elmo</x:v>
      </x:c>
      <x:c r="B13" s="36" t="str">
        <x:v>Elmo</x:v>
      </x:c>
      <x:c r="C13" s="36" t="str">
        <x:v>BAS-01</x:v>
      </x:c>
      <x:c r="D13" s="36" t="str">
        <x:v>Elmo-01</x:v>
      </x:c>
      <x:c r="E13" s="22"/>
      <x:c r="F13" s="22"/>
      <x:c r="G13" s="37"/>
      <x:c r="H13" s="22"/>
      <x:c r="I13" s="22"/>
      <x:c r="J13" s="22"/>
      <x:c r="K13" s="22"/>
      <x:c r="L13" s="6" t="str">
        <x:f>IF(COUNTA(E13:K13)=0,"",IF(OR(H13="不适用",H13="阻塞",H13="资料确认（未实测）"),"非实测记录",IF(AND(E13&lt;&gt;"",ISNUMBER(G13),G13&gt;0,H13&lt;&gt;"",I13&lt;&gt;"",J13&lt;&gt;""),"记录齐全","待补记录")))</x:f>
      </x:c>
    </x:row>
    <x:row r="14" ht="48" customHeight="1">
      <x:c r="A14" s="36" t="str">
        <x:v>BAS-01/KEBA（可选）</x:v>
      </x:c>
      <x:c r="B14" s="36" t="str">
        <x:v>KEBA（可选）</x:v>
      </x:c>
      <x:c r="C14" s="36" t="str">
        <x:v>BAS-01</x:v>
      </x:c>
      <x:c r="D14" s="36" t="str">
        <x:v>KEBA-01</x:v>
      </x:c>
      <x:c r="E14" s="22"/>
      <x:c r="F14" s="22"/>
      <x:c r="G14" s="37"/>
      <x:c r="H14" s="22"/>
      <x:c r="I14" s="22"/>
      <x:c r="J14" s="22"/>
      <x:c r="K14" s="22"/>
      <x:c r="L14" s="6" t="str">
        <x:f>IF(COUNTA(E14:K14)=0,"",IF(OR(H14="不适用",H14="阻塞",H14="资料确认（未实测）"),"非实测记录",IF(AND(E14&lt;&gt;"",ISNUMBER(G14),G14&gt;0,H14&lt;&gt;"",I14&lt;&gt;"",J14&lt;&gt;""),"记录齐全","待补记录")))</x:f>
      </x:c>
    </x:row>
    <x:row r="15" ht="48" customHeight="1">
      <x:c r="A15" s="36" t="str">
        <x:v>BAS-02/CDHD</x:v>
      </x:c>
      <x:c r="B15" s="36" t="str">
        <x:v>CDHD</x:v>
      </x:c>
      <x:c r="C15" s="36" t="str">
        <x:v>BAS-02</x:v>
      </x:c>
      <x:c r="D15" s="36" t="str">
        <x:v>CDHD-01</x:v>
      </x:c>
      <x:c r="E15" s="22"/>
      <x:c r="F15" s="22"/>
      <x:c r="G15" s="37"/>
      <x:c r="H15" s="22"/>
      <x:c r="I15" s="22"/>
      <x:c r="J15" s="22"/>
      <x:c r="K15" s="22"/>
      <x:c r="L15" s="6" t="str">
        <x:f>IF(COUNTA(E15:K15)=0,"",IF(OR(H15="不适用",H15="阻塞",H15="资料确认（未实测）"),"非实测记录",IF(AND(E15&lt;&gt;"",ISNUMBER(G15),G15&gt;0,H15&lt;&gt;"",I15&lt;&gt;"",J15&lt;&gt;""),"记录齐全","待补记录")))</x:f>
      </x:c>
    </x:row>
    <x:row r="16" ht="48" customHeight="1">
      <x:c r="A16" s="36" t="str">
        <x:v>BAS-02/台达</x:v>
      </x:c>
      <x:c r="B16" s="36" t="str">
        <x:v>台达</x:v>
      </x:c>
      <x:c r="C16" s="36" t="str">
        <x:v>BAS-02</x:v>
      </x:c>
      <x:c r="D16" s="36" t="str">
        <x:v>台达-01</x:v>
      </x:c>
      <x:c r="E16" s="22"/>
      <x:c r="F16" s="22"/>
      <x:c r="G16" s="37"/>
      <x:c r="H16" s="22"/>
      <x:c r="I16" s="22"/>
      <x:c r="J16" s="22"/>
      <x:c r="K16" s="22"/>
      <x:c r="L16" s="6" t="str">
        <x:f>IF(COUNTA(E16:K16)=0,"",IF(OR(H16="不适用",H16="阻塞",H16="资料确认（未实测）"),"非实测记录",IF(AND(E16&lt;&gt;"",ISNUMBER(G16),G16&gt;0,H16&lt;&gt;"",I16&lt;&gt;"",J16&lt;&gt;""),"记录齐全","待补记录")))</x:f>
      </x:c>
    </x:row>
    <x:row r="17" ht="48" customHeight="1">
      <x:c r="A17" s="36" t="str">
        <x:v>BAS-02/繁易</x:v>
      </x:c>
      <x:c r="B17" s="36" t="str">
        <x:v>繁易</x:v>
      </x:c>
      <x:c r="C17" s="36" t="str">
        <x:v>BAS-02</x:v>
      </x:c>
      <x:c r="D17" s="36" t="str">
        <x:v>繁易-01</x:v>
      </x:c>
      <x:c r="E17" s="22"/>
      <x:c r="F17" s="22"/>
      <x:c r="G17" s="37"/>
      <x:c r="H17" s="22"/>
      <x:c r="I17" s="22"/>
      <x:c r="J17" s="22"/>
      <x:c r="K17" s="22"/>
      <x:c r="L17" s="6" t="str">
        <x:f>IF(COUNTA(E17:K17)=0,"",IF(OR(H17="不适用",H17="阻塞",H17="资料确认（未实测）"),"非实测记录",IF(AND(E17&lt;&gt;"",ISNUMBER(G17),G17&gt;0,H17&lt;&gt;"",I17&lt;&gt;"",J17&lt;&gt;""),"记录齐全","待补记录")))</x:f>
      </x:c>
    </x:row>
    <x:row r="18" ht="48" customHeight="1">
      <x:c r="A18" s="36" t="str">
        <x:v>BAS-02/Elmo</x:v>
      </x:c>
      <x:c r="B18" s="36" t="str">
        <x:v>Elmo</x:v>
      </x:c>
      <x:c r="C18" s="36" t="str">
        <x:v>BAS-02</x:v>
      </x:c>
      <x:c r="D18" s="36" t="str">
        <x:v>Elmo-01</x:v>
      </x:c>
      <x:c r="E18" s="22"/>
      <x:c r="F18" s="22"/>
      <x:c r="G18" s="37"/>
      <x:c r="H18" s="22"/>
      <x:c r="I18" s="22"/>
      <x:c r="J18" s="22"/>
      <x:c r="K18" s="22"/>
      <x:c r="L18" s="6" t="str">
        <x:f>IF(COUNTA(E18:K18)=0,"",IF(OR(H18="不适用",H18="阻塞",H18="资料确认（未实测）"),"非实测记录",IF(AND(E18&lt;&gt;"",ISNUMBER(G18),G18&gt;0,H18&lt;&gt;"",I18&lt;&gt;"",J18&lt;&gt;""),"记录齐全","待补记录")))</x:f>
      </x:c>
    </x:row>
    <x:row r="19" ht="48" customHeight="1">
      <x:c r="A19" s="36" t="str">
        <x:v>BAS-02/KEBA（可选）</x:v>
      </x:c>
      <x:c r="B19" s="36" t="str">
        <x:v>KEBA（可选）</x:v>
      </x:c>
      <x:c r="C19" s="36" t="str">
        <x:v>BAS-02</x:v>
      </x:c>
      <x:c r="D19" s="36" t="str">
        <x:v>KEBA-01</x:v>
      </x:c>
      <x:c r="E19" s="22"/>
      <x:c r="F19" s="22"/>
      <x:c r="G19" s="37"/>
      <x:c r="H19" s="22"/>
      <x:c r="I19" s="22"/>
      <x:c r="J19" s="22"/>
      <x:c r="K19" s="22"/>
      <x:c r="L19" s="6" t="str">
        <x:f>IF(COUNTA(E19:K19)=0,"",IF(OR(H19="不适用",H19="阻塞",H19="资料确认（未实测）"),"非实测记录",IF(AND(E19&lt;&gt;"",ISNUMBER(G19),G19&gt;0,H19&lt;&gt;"",I19&lt;&gt;"",J19&lt;&gt;""),"记录齐全","待补记录")))</x:f>
      </x:c>
    </x:row>
    <x:row r="20" ht="48" customHeight="1">
      <x:c r="A20" s="36" t="str">
        <x:v>BAS-03/CDHD</x:v>
      </x:c>
      <x:c r="B20" s="36" t="str">
        <x:v>CDHD</x:v>
      </x:c>
      <x:c r="C20" s="36" t="str">
        <x:v>BAS-03</x:v>
      </x:c>
      <x:c r="D20" s="36" t="str">
        <x:v>CDHD-01</x:v>
      </x:c>
      <x:c r="E20" s="22"/>
      <x:c r="F20" s="22"/>
      <x:c r="G20" s="37"/>
      <x:c r="H20" s="22"/>
      <x:c r="I20" s="22"/>
      <x:c r="J20" s="22"/>
      <x:c r="K20" s="22"/>
      <x:c r="L20" s="6" t="str">
        <x:f>IF(COUNTA(E20:K20)=0,"",IF(OR(H20="不适用",H20="阻塞",H20="资料确认（未实测）"),"非实测记录",IF(AND(E20&lt;&gt;"",ISNUMBER(G20),G20&gt;0,H20&lt;&gt;"",I20&lt;&gt;"",J20&lt;&gt;""),"记录齐全","待补记录")))</x:f>
      </x:c>
    </x:row>
    <x:row r="21" ht="48" customHeight="1">
      <x:c r="A21" s="36" t="str">
        <x:v>BAS-03/台达</x:v>
      </x:c>
      <x:c r="B21" s="36" t="str">
        <x:v>台达</x:v>
      </x:c>
      <x:c r="C21" s="36" t="str">
        <x:v>BAS-03</x:v>
      </x:c>
      <x:c r="D21" s="36" t="str">
        <x:v>台达-01</x:v>
      </x:c>
      <x:c r="E21" s="22"/>
      <x:c r="F21" s="22"/>
      <x:c r="G21" s="37"/>
      <x:c r="H21" s="22"/>
      <x:c r="I21" s="22"/>
      <x:c r="J21" s="22"/>
      <x:c r="K21" s="22"/>
      <x:c r="L21" s="6" t="str">
        <x:f>IF(COUNTA(E21:K21)=0,"",IF(OR(H21="不适用",H21="阻塞",H21="资料确认（未实测）"),"非实测记录",IF(AND(E21&lt;&gt;"",ISNUMBER(G21),G21&gt;0,H21&lt;&gt;"",I21&lt;&gt;"",J21&lt;&gt;""),"记录齐全","待补记录")))</x:f>
      </x:c>
    </x:row>
    <x:row r="22" ht="48" customHeight="1">
      <x:c r="A22" s="36" t="str">
        <x:v>BAS-03/繁易</x:v>
      </x:c>
      <x:c r="B22" s="36" t="str">
        <x:v>繁易</x:v>
      </x:c>
      <x:c r="C22" s="36" t="str">
        <x:v>BAS-03</x:v>
      </x:c>
      <x:c r="D22" s="36" t="str">
        <x:v>繁易-01</x:v>
      </x:c>
      <x:c r="E22" s="22"/>
      <x:c r="F22" s="22"/>
      <x:c r="G22" s="37"/>
      <x:c r="H22" s="22"/>
      <x:c r="I22" s="22"/>
      <x:c r="J22" s="22"/>
      <x:c r="K22" s="22"/>
      <x:c r="L22" s="6" t="str">
        <x:f>IF(COUNTA(E22:K22)=0,"",IF(OR(H22="不适用",H22="阻塞",H22="资料确认（未实测）"),"非实测记录",IF(AND(E22&lt;&gt;"",ISNUMBER(G22),G22&gt;0,H22&lt;&gt;"",I22&lt;&gt;"",J22&lt;&gt;""),"记录齐全","待补记录")))</x:f>
      </x:c>
    </x:row>
    <x:row r="23" ht="48" customHeight="1">
      <x:c r="A23" s="36" t="str">
        <x:v>BAS-03/Elmo</x:v>
      </x:c>
      <x:c r="B23" s="36" t="str">
        <x:v>Elmo</x:v>
      </x:c>
      <x:c r="C23" s="36" t="str">
        <x:v>BAS-03</x:v>
      </x:c>
      <x:c r="D23" s="36" t="str">
        <x:v>Elmo-01</x:v>
      </x:c>
      <x:c r="E23" s="22"/>
      <x:c r="F23" s="22"/>
      <x:c r="G23" s="37"/>
      <x:c r="H23" s="22"/>
      <x:c r="I23" s="22"/>
      <x:c r="J23" s="22"/>
      <x:c r="K23" s="22"/>
      <x:c r="L23" s="6" t="str">
        <x:f>IF(COUNTA(E23:K23)=0,"",IF(OR(H23="不适用",H23="阻塞",H23="资料确认（未实测）"),"非实测记录",IF(AND(E23&lt;&gt;"",ISNUMBER(G23),G23&gt;0,H23&lt;&gt;"",I23&lt;&gt;"",J23&lt;&gt;""),"记录齐全","待补记录")))</x:f>
      </x:c>
    </x:row>
    <x:row r="24" ht="48" customHeight="1">
      <x:c r="A24" s="36" t="str">
        <x:v>BAS-03/KEBA（可选）</x:v>
      </x:c>
      <x:c r="B24" s="36" t="str">
        <x:v>KEBA（可选）</x:v>
      </x:c>
      <x:c r="C24" s="36" t="str">
        <x:v>BAS-03</x:v>
      </x:c>
      <x:c r="D24" s="36" t="str">
        <x:v>KEBA-01</x:v>
      </x:c>
      <x:c r="E24" s="22"/>
      <x:c r="F24" s="22"/>
      <x:c r="G24" s="37"/>
      <x:c r="H24" s="22"/>
      <x:c r="I24" s="22"/>
      <x:c r="J24" s="22"/>
      <x:c r="K24" s="22"/>
      <x:c r="L24" s="6" t="str">
        <x:f>IF(COUNTA(E24:K24)=0,"",IF(OR(H24="不适用",H24="阻塞",H24="资料确认（未实测）"),"非实测记录",IF(AND(E24&lt;&gt;"",ISNUMBER(G24),G24&gt;0,H24&lt;&gt;"",I24&lt;&gt;"",J24&lt;&gt;""),"记录齐全","待补记录")))</x:f>
      </x:c>
    </x:row>
    <x:row r="25" ht="48" customHeight="1">
      <x:c r="A25" s="36" t="str">
        <x:v>BAS-04/CDHD</x:v>
      </x:c>
      <x:c r="B25" s="36" t="str">
        <x:v>CDHD</x:v>
      </x:c>
      <x:c r="C25" s="36" t="str">
        <x:v>BAS-04</x:v>
      </x:c>
      <x:c r="D25" s="36" t="str">
        <x:v>CDHD-01</x:v>
      </x:c>
      <x:c r="E25" s="22"/>
      <x:c r="F25" s="22"/>
      <x:c r="G25" s="37"/>
      <x:c r="H25" s="22"/>
      <x:c r="I25" s="22"/>
      <x:c r="J25" s="22"/>
      <x:c r="K25" s="22"/>
      <x:c r="L25" s="6" t="str">
        <x:f>IF(COUNTA(E25:K25)=0,"",IF(OR(H25="不适用",H25="阻塞",H25="资料确认（未实测）"),"非实测记录",IF(AND(E25&lt;&gt;"",ISNUMBER(G25),G25&gt;0,H25&lt;&gt;"",I25&lt;&gt;"",J25&lt;&gt;""),"记录齐全","待补记录")))</x:f>
      </x:c>
    </x:row>
    <x:row r="26" ht="48" customHeight="1">
      <x:c r="A26" s="36" t="str">
        <x:v>BAS-04/台达</x:v>
      </x:c>
      <x:c r="B26" s="36" t="str">
        <x:v>台达</x:v>
      </x:c>
      <x:c r="C26" s="36" t="str">
        <x:v>BAS-04</x:v>
      </x:c>
      <x:c r="D26" s="36" t="str">
        <x:v>台达-01</x:v>
      </x:c>
      <x:c r="E26" s="22"/>
      <x:c r="F26" s="22"/>
      <x:c r="G26" s="37"/>
      <x:c r="H26" s="22"/>
      <x:c r="I26" s="22"/>
      <x:c r="J26" s="22"/>
      <x:c r="K26" s="22"/>
      <x:c r="L26" s="6" t="str">
        <x:f>IF(COUNTA(E26:K26)=0,"",IF(OR(H26="不适用",H26="阻塞",H26="资料确认（未实测）"),"非实测记录",IF(AND(E26&lt;&gt;"",ISNUMBER(G26),G26&gt;0,H26&lt;&gt;"",I26&lt;&gt;"",J26&lt;&gt;""),"记录齐全","待补记录")))</x:f>
      </x:c>
    </x:row>
    <x:row r="27" ht="48" customHeight="1">
      <x:c r="A27" s="36" t="str">
        <x:v>BAS-04/繁易</x:v>
      </x:c>
      <x:c r="B27" s="36" t="str">
        <x:v>繁易</x:v>
      </x:c>
      <x:c r="C27" s="36" t="str">
        <x:v>BAS-04</x:v>
      </x:c>
      <x:c r="D27" s="36" t="str">
        <x:v>繁易-01</x:v>
      </x:c>
      <x:c r="E27" s="22"/>
      <x:c r="F27" s="22"/>
      <x:c r="G27" s="37"/>
      <x:c r="H27" s="22"/>
      <x:c r="I27" s="22"/>
      <x:c r="J27" s="22"/>
      <x:c r="K27" s="22"/>
      <x:c r="L27" s="6" t="str">
        <x:f>IF(COUNTA(E27:K27)=0,"",IF(OR(H27="不适用",H27="阻塞",H27="资料确认（未实测）"),"非实测记录",IF(AND(E27&lt;&gt;"",ISNUMBER(G27),G27&gt;0,H27&lt;&gt;"",I27&lt;&gt;"",J27&lt;&gt;""),"记录齐全","待补记录")))</x:f>
      </x:c>
    </x:row>
    <x:row r="28" ht="48" customHeight="1">
      <x:c r="A28" s="36" t="str">
        <x:v>BAS-04/Elmo</x:v>
      </x:c>
      <x:c r="B28" s="36" t="str">
        <x:v>Elmo</x:v>
      </x:c>
      <x:c r="C28" s="36" t="str">
        <x:v>BAS-04</x:v>
      </x:c>
      <x:c r="D28" s="36" t="str">
        <x:v>Elmo-01</x:v>
      </x:c>
      <x:c r="E28" s="22"/>
      <x:c r="F28" s="22"/>
      <x:c r="G28" s="37"/>
      <x:c r="H28" s="22"/>
      <x:c r="I28" s="22"/>
      <x:c r="J28" s="22"/>
      <x:c r="K28" s="22"/>
      <x:c r="L28" s="6" t="str">
        <x:f>IF(COUNTA(E28:K28)=0,"",IF(OR(H28="不适用",H28="阻塞",H28="资料确认（未实测）"),"非实测记录",IF(AND(E28&lt;&gt;"",ISNUMBER(G28),G28&gt;0,H28&lt;&gt;"",I28&lt;&gt;"",J28&lt;&gt;""),"记录齐全","待补记录")))</x:f>
      </x:c>
    </x:row>
    <x:row r="29" ht="48" customHeight="1">
      <x:c r="A29" s="36" t="str">
        <x:v>BAS-04/KEBA（可选）</x:v>
      </x:c>
      <x:c r="B29" s="36" t="str">
        <x:v>KEBA（可选）</x:v>
      </x:c>
      <x:c r="C29" s="36" t="str">
        <x:v>BAS-04</x:v>
      </x:c>
      <x:c r="D29" s="36" t="str">
        <x:v>KEBA-01</x:v>
      </x:c>
      <x:c r="E29" s="22"/>
      <x:c r="F29" s="22"/>
      <x:c r="G29" s="37"/>
      <x:c r="H29" s="22"/>
      <x:c r="I29" s="22"/>
      <x:c r="J29" s="22"/>
      <x:c r="K29" s="22"/>
      <x:c r="L29" s="6" t="str">
        <x:f>IF(COUNTA(E29:K29)=0,"",IF(OR(H29="不适用",H29="阻塞",H29="资料确认（未实测）"),"非实测记录",IF(AND(E29&lt;&gt;"",ISNUMBER(G29),G29&gt;0,H29&lt;&gt;"",I29&lt;&gt;"",J29&lt;&gt;""),"记录齐全","待补记录")))</x:f>
      </x:c>
    </x:row>
    <x:row r="30" ht="48" customHeight="1">
      <x:c r="A30" s="36" t="str">
        <x:v>BAS-05/CDHD</x:v>
      </x:c>
      <x:c r="B30" s="36" t="str">
        <x:v>CDHD</x:v>
      </x:c>
      <x:c r="C30" s="36" t="str">
        <x:v>BAS-05</x:v>
      </x:c>
      <x:c r="D30" s="36" t="str">
        <x:v>CDHD-01</x:v>
      </x:c>
      <x:c r="E30" s="22"/>
      <x:c r="F30" s="22"/>
      <x:c r="G30" s="37"/>
      <x:c r="H30" s="22"/>
      <x:c r="I30" s="22"/>
      <x:c r="J30" s="22"/>
      <x:c r="K30" s="22"/>
      <x:c r="L30" s="6" t="str">
        <x:f>IF(COUNTA(E30:K30)=0,"",IF(OR(H30="不适用",H30="阻塞",H30="资料确认（未实测）"),"非实测记录",IF(AND(E30&lt;&gt;"",ISNUMBER(G30),G30&gt;0,H30&lt;&gt;"",I30&lt;&gt;"",J30&lt;&gt;""),"记录齐全","待补记录")))</x:f>
      </x:c>
    </x:row>
    <x:row r="31" ht="48" customHeight="1">
      <x:c r="A31" s="36" t="str">
        <x:v>BAS-05/台达</x:v>
      </x:c>
      <x:c r="B31" s="36" t="str">
        <x:v>台达</x:v>
      </x:c>
      <x:c r="C31" s="36" t="str">
        <x:v>BAS-05</x:v>
      </x:c>
      <x:c r="D31" s="36" t="str">
        <x:v>台达-01</x:v>
      </x:c>
      <x:c r="E31" s="22"/>
      <x:c r="F31" s="22"/>
      <x:c r="G31" s="37"/>
      <x:c r="H31" s="22"/>
      <x:c r="I31" s="22"/>
      <x:c r="J31" s="22"/>
      <x:c r="K31" s="22"/>
      <x:c r="L31" s="6" t="str">
        <x:f>IF(COUNTA(E31:K31)=0,"",IF(OR(H31="不适用",H31="阻塞",H31="资料确认（未实测）"),"非实测记录",IF(AND(E31&lt;&gt;"",ISNUMBER(G31),G31&gt;0,H31&lt;&gt;"",I31&lt;&gt;"",J31&lt;&gt;""),"记录齐全","待补记录")))</x:f>
      </x:c>
    </x:row>
    <x:row r="32" ht="48" customHeight="1">
      <x:c r="A32" s="36" t="str">
        <x:v>BAS-05/繁易</x:v>
      </x:c>
      <x:c r="B32" s="36" t="str">
        <x:v>繁易</x:v>
      </x:c>
      <x:c r="C32" s="36" t="str">
        <x:v>BAS-05</x:v>
      </x:c>
      <x:c r="D32" s="36" t="str">
        <x:v>繁易-01</x:v>
      </x:c>
      <x:c r="E32" s="22"/>
      <x:c r="F32" s="22"/>
      <x:c r="G32" s="37"/>
      <x:c r="H32" s="22"/>
      <x:c r="I32" s="22"/>
      <x:c r="J32" s="22"/>
      <x:c r="K32" s="22"/>
      <x:c r="L32" s="6" t="str">
        <x:f>IF(COUNTA(E32:K32)=0,"",IF(OR(H32="不适用",H32="阻塞",H32="资料确认（未实测）"),"非实测记录",IF(AND(E32&lt;&gt;"",ISNUMBER(G32),G32&gt;0,H32&lt;&gt;"",I32&lt;&gt;"",J32&lt;&gt;""),"记录齐全","待补记录")))</x:f>
      </x:c>
    </x:row>
    <x:row r="33" ht="48" customHeight="1">
      <x:c r="A33" s="36" t="str">
        <x:v>BAS-05/Elmo</x:v>
      </x:c>
      <x:c r="B33" s="36" t="str">
        <x:v>Elmo</x:v>
      </x:c>
      <x:c r="C33" s="36" t="str">
        <x:v>BAS-05</x:v>
      </x:c>
      <x:c r="D33" s="36" t="str">
        <x:v>Elmo-01</x:v>
      </x:c>
      <x:c r="E33" s="22"/>
      <x:c r="F33" s="22"/>
      <x:c r="G33" s="37"/>
      <x:c r="H33" s="22"/>
      <x:c r="I33" s="22"/>
      <x:c r="J33" s="22"/>
      <x:c r="K33" s="22"/>
      <x:c r="L33" s="6" t="str">
        <x:f>IF(COUNTA(E33:K33)=0,"",IF(OR(H33="不适用",H33="阻塞",H33="资料确认（未实测）"),"非实测记录",IF(AND(E33&lt;&gt;"",ISNUMBER(G33),G33&gt;0,H33&lt;&gt;"",I33&lt;&gt;"",J33&lt;&gt;""),"记录齐全","待补记录")))</x:f>
      </x:c>
    </x:row>
    <x:row r="34" ht="48" customHeight="1">
      <x:c r="A34" s="36" t="str">
        <x:v>BAS-05/KEBA（可选）</x:v>
      </x:c>
      <x:c r="B34" s="36" t="str">
        <x:v>KEBA（可选）</x:v>
      </x:c>
      <x:c r="C34" s="36" t="str">
        <x:v>BAS-05</x:v>
      </x:c>
      <x:c r="D34" s="36" t="str">
        <x:v>KEBA-01</x:v>
      </x:c>
      <x:c r="E34" s="22"/>
      <x:c r="F34" s="22"/>
      <x:c r="G34" s="37"/>
      <x:c r="H34" s="22"/>
      <x:c r="I34" s="22"/>
      <x:c r="J34" s="22"/>
      <x:c r="K34" s="22"/>
      <x:c r="L34" s="6" t="str">
        <x:f>IF(COUNTA(E34:K34)=0,"",IF(OR(H34="不适用",H34="阻塞",H34="资料确认（未实测）"),"非实测记录",IF(AND(E34&lt;&gt;"",ISNUMBER(G34),G34&gt;0,H34&lt;&gt;"",I34&lt;&gt;"",J34&lt;&gt;""),"记录齐全","待补记录")))</x:f>
      </x:c>
    </x:row>
    <x:row r="35" ht="48" customHeight="1">
      <x:c r="A35" s="36" t="str">
        <x:v>BAS-06/CDHD</x:v>
      </x:c>
      <x:c r="B35" s="36" t="str">
        <x:v>CDHD</x:v>
      </x:c>
      <x:c r="C35" s="36" t="str">
        <x:v>BAS-06</x:v>
      </x:c>
      <x:c r="D35" s="36" t="str">
        <x:v>CDHD-01</x:v>
      </x:c>
      <x:c r="E35" s="22"/>
      <x:c r="F35" s="22"/>
      <x:c r="G35" s="37"/>
      <x:c r="H35" s="22"/>
      <x:c r="I35" s="22"/>
      <x:c r="J35" s="22"/>
      <x:c r="K35" s="22"/>
      <x:c r="L35" s="6" t="str">
        <x:f>IF(COUNTA(E35:K35)=0,"",IF(OR(H35="不适用",H35="阻塞",H35="资料确认（未实测）"),"非实测记录",IF(AND(E35&lt;&gt;"",ISNUMBER(G35),G35&gt;0,H35&lt;&gt;"",I35&lt;&gt;"",J35&lt;&gt;""),"记录齐全","待补记录")))</x:f>
      </x:c>
    </x:row>
    <x:row r="36" ht="48" customHeight="1">
      <x:c r="A36" s="36" t="str">
        <x:v>BAS-06/台达</x:v>
      </x:c>
      <x:c r="B36" s="36" t="str">
        <x:v>台达</x:v>
      </x:c>
      <x:c r="C36" s="36" t="str">
        <x:v>BAS-06</x:v>
      </x:c>
      <x:c r="D36" s="36" t="str">
        <x:v>台达-01</x:v>
      </x:c>
      <x:c r="E36" s="22"/>
      <x:c r="F36" s="22"/>
      <x:c r="G36" s="37"/>
      <x:c r="H36" s="22"/>
      <x:c r="I36" s="22"/>
      <x:c r="J36" s="22"/>
      <x:c r="K36" s="22"/>
      <x:c r="L36" s="6" t="str">
        <x:f>IF(COUNTA(E36:K36)=0,"",IF(OR(H36="不适用",H36="阻塞",H36="资料确认（未实测）"),"非实测记录",IF(AND(E36&lt;&gt;"",ISNUMBER(G36),G36&gt;0,H36&lt;&gt;"",I36&lt;&gt;"",J36&lt;&gt;""),"记录齐全","待补记录")))</x:f>
      </x:c>
    </x:row>
    <x:row r="37" ht="48" customHeight="1">
      <x:c r="A37" s="36" t="str">
        <x:v>BAS-06/繁易</x:v>
      </x:c>
      <x:c r="B37" s="36" t="str">
        <x:v>繁易</x:v>
      </x:c>
      <x:c r="C37" s="36" t="str">
        <x:v>BAS-06</x:v>
      </x:c>
      <x:c r="D37" s="36" t="str">
        <x:v>繁易-01</x:v>
      </x:c>
      <x:c r="E37" s="22"/>
      <x:c r="F37" s="22"/>
      <x:c r="G37" s="37"/>
      <x:c r="H37" s="22"/>
      <x:c r="I37" s="22"/>
      <x:c r="J37" s="22"/>
      <x:c r="K37" s="22"/>
      <x:c r="L37" s="6" t="str">
        <x:f>IF(COUNTA(E37:K37)=0,"",IF(OR(H37="不适用",H37="阻塞",H37="资料确认（未实测）"),"非实测记录",IF(AND(E37&lt;&gt;"",ISNUMBER(G37),G37&gt;0,H37&lt;&gt;"",I37&lt;&gt;"",J37&lt;&gt;""),"记录齐全","待补记录")))</x:f>
      </x:c>
    </x:row>
    <x:row r="38" ht="48" customHeight="1">
      <x:c r="A38" s="36" t="str">
        <x:v>BAS-06/Elmo</x:v>
      </x:c>
      <x:c r="B38" s="36" t="str">
        <x:v>Elmo</x:v>
      </x:c>
      <x:c r="C38" s="36" t="str">
        <x:v>BAS-06</x:v>
      </x:c>
      <x:c r="D38" s="36" t="str">
        <x:v>Elmo-01</x:v>
      </x:c>
      <x:c r="E38" s="22"/>
      <x:c r="F38" s="22"/>
      <x:c r="G38" s="37"/>
      <x:c r="H38" s="22"/>
      <x:c r="I38" s="22"/>
      <x:c r="J38" s="22"/>
      <x:c r="K38" s="22"/>
      <x:c r="L38" s="6" t="str">
        <x:f>IF(COUNTA(E38:K38)=0,"",IF(OR(H38="不适用",H38="阻塞",H38="资料确认（未实测）"),"非实测记录",IF(AND(E38&lt;&gt;"",ISNUMBER(G38),G38&gt;0,H38&lt;&gt;"",I38&lt;&gt;"",J38&lt;&gt;""),"记录齐全","待补记录")))</x:f>
      </x:c>
    </x:row>
    <x:row r="39" ht="48" customHeight="1">
      <x:c r="A39" s="36" t="str">
        <x:v>BAS-06/KEBA（可选）</x:v>
      </x:c>
      <x:c r="B39" s="36" t="str">
        <x:v>KEBA（可选）</x:v>
      </x:c>
      <x:c r="C39" s="36" t="str">
        <x:v>BAS-06</x:v>
      </x:c>
      <x:c r="D39" s="36" t="str">
        <x:v>KEBA-01</x:v>
      </x:c>
      <x:c r="E39" s="22"/>
      <x:c r="F39" s="22"/>
      <x:c r="G39" s="37"/>
      <x:c r="H39" s="22"/>
      <x:c r="I39" s="22"/>
      <x:c r="J39" s="22"/>
      <x:c r="K39" s="22"/>
      <x:c r="L39" s="6" t="str">
        <x:f>IF(COUNTA(E39:K39)=0,"",IF(OR(H39="不适用",H39="阻塞",H39="资料确认（未实测）"),"非实测记录",IF(AND(E39&lt;&gt;"",ISNUMBER(G39),G39&gt;0,H39&lt;&gt;"",I39&lt;&gt;"",J39&lt;&gt;""),"记录齐全","待补记录")))</x:f>
      </x:c>
    </x:row>
    <x:row r="40" ht="48" customHeight="1">
      <x:c r="A40" s="36" t="str">
        <x:v>BAS-07/CDHD</x:v>
      </x:c>
      <x:c r="B40" s="36" t="str">
        <x:v>CDHD</x:v>
      </x:c>
      <x:c r="C40" s="36" t="str">
        <x:v>BAS-07</x:v>
      </x:c>
      <x:c r="D40" s="36" t="str">
        <x:v>CDHD-01</x:v>
      </x:c>
      <x:c r="E40" s="22"/>
      <x:c r="F40" s="22"/>
      <x:c r="G40" s="37"/>
      <x:c r="H40" s="22"/>
      <x:c r="I40" s="22"/>
      <x:c r="J40" s="22"/>
      <x:c r="K40" s="22"/>
      <x:c r="L40" s="6" t="str">
        <x:f>IF(COUNTA(E40:K40)=0,"",IF(OR(H40="不适用",H40="阻塞",H40="资料确认（未实测）"),"非实测记录",IF(AND(E40&lt;&gt;"",ISNUMBER(G40),G40&gt;0,H40&lt;&gt;"",I40&lt;&gt;"",J40&lt;&gt;""),"记录齐全","待补记录")))</x:f>
      </x:c>
    </x:row>
    <x:row r="41" ht="48" customHeight="1">
      <x:c r="A41" s="36" t="str">
        <x:v>BAS-07/台达</x:v>
      </x:c>
      <x:c r="B41" s="36" t="str">
        <x:v>台达</x:v>
      </x:c>
      <x:c r="C41" s="36" t="str">
        <x:v>BAS-07</x:v>
      </x:c>
      <x:c r="D41" s="36" t="str">
        <x:v>台达-01</x:v>
      </x:c>
      <x:c r="E41" s="22"/>
      <x:c r="F41" s="22"/>
      <x:c r="G41" s="37"/>
      <x:c r="H41" s="22"/>
      <x:c r="I41" s="22"/>
      <x:c r="J41" s="22"/>
      <x:c r="K41" s="22"/>
      <x:c r="L41" s="6" t="str">
        <x:f>IF(COUNTA(E41:K41)=0,"",IF(OR(H41="不适用",H41="阻塞",H41="资料确认（未实测）"),"非实测记录",IF(AND(E41&lt;&gt;"",ISNUMBER(G41),G41&gt;0,H41&lt;&gt;"",I41&lt;&gt;"",J41&lt;&gt;""),"记录齐全","待补记录")))</x:f>
      </x:c>
    </x:row>
    <x:row r="42" ht="48" customHeight="1">
      <x:c r="A42" s="36" t="str">
        <x:v>BAS-07/繁易</x:v>
      </x:c>
      <x:c r="B42" s="36" t="str">
        <x:v>繁易</x:v>
      </x:c>
      <x:c r="C42" s="36" t="str">
        <x:v>BAS-07</x:v>
      </x:c>
      <x:c r="D42" s="36" t="str">
        <x:v>繁易-01</x:v>
      </x:c>
      <x:c r="E42" s="22"/>
      <x:c r="F42" s="22"/>
      <x:c r="G42" s="37"/>
      <x:c r="H42" s="22"/>
      <x:c r="I42" s="22"/>
      <x:c r="J42" s="22"/>
      <x:c r="K42" s="22"/>
      <x:c r="L42" s="6" t="str">
        <x:f>IF(COUNTA(E42:K42)=0,"",IF(OR(H42="不适用",H42="阻塞",H42="资料确认（未实测）"),"非实测记录",IF(AND(E42&lt;&gt;"",ISNUMBER(G42),G42&gt;0,H42&lt;&gt;"",I42&lt;&gt;"",J42&lt;&gt;""),"记录齐全","待补记录")))</x:f>
      </x:c>
    </x:row>
    <x:row r="43" ht="48" customHeight="1">
      <x:c r="A43" s="36" t="str">
        <x:v>BAS-07/Elmo</x:v>
      </x:c>
      <x:c r="B43" s="36" t="str">
        <x:v>Elmo</x:v>
      </x:c>
      <x:c r="C43" s="36" t="str">
        <x:v>BAS-07</x:v>
      </x:c>
      <x:c r="D43" s="36" t="str">
        <x:v>Elmo-01</x:v>
      </x:c>
      <x:c r="E43" s="22"/>
      <x:c r="F43" s="22"/>
      <x:c r="G43" s="37"/>
      <x:c r="H43" s="22"/>
      <x:c r="I43" s="22"/>
      <x:c r="J43" s="22"/>
      <x:c r="K43" s="22"/>
      <x:c r="L43" s="6" t="str">
        <x:f>IF(COUNTA(E43:K43)=0,"",IF(OR(H43="不适用",H43="阻塞",H43="资料确认（未实测）"),"非实测记录",IF(AND(E43&lt;&gt;"",ISNUMBER(G43),G43&gt;0,H43&lt;&gt;"",I43&lt;&gt;"",J43&lt;&gt;""),"记录齐全","待补记录")))</x:f>
      </x:c>
    </x:row>
    <x:row r="44" ht="48" customHeight="1">
      <x:c r="A44" s="36" t="str">
        <x:v>BAS-07/KEBA（可选）</x:v>
      </x:c>
      <x:c r="B44" s="36" t="str">
        <x:v>KEBA（可选）</x:v>
      </x:c>
      <x:c r="C44" s="36" t="str">
        <x:v>BAS-07</x:v>
      </x:c>
      <x:c r="D44" s="36" t="str">
        <x:v>KEBA-01</x:v>
      </x:c>
      <x:c r="E44" s="22"/>
      <x:c r="F44" s="22"/>
      <x:c r="G44" s="37"/>
      <x:c r="H44" s="22"/>
      <x:c r="I44" s="22"/>
      <x:c r="J44" s="22"/>
      <x:c r="K44" s="22"/>
      <x:c r="L44" s="6" t="str">
        <x:f>IF(COUNTA(E44:K44)=0,"",IF(OR(H44="不适用",H44="阻塞",H44="资料确认（未实测）"),"非实测记录",IF(AND(E44&lt;&gt;"",ISNUMBER(G44),G44&gt;0,H44&lt;&gt;"",I44&lt;&gt;"",J44&lt;&gt;""),"记录齐全","待补记录")))</x:f>
      </x:c>
    </x:row>
    <x:row r="45" ht="48" customHeight="1">
      <x:c r="A45" s="36" t="str">
        <x:v>BAS-08/CDHD</x:v>
      </x:c>
      <x:c r="B45" s="36" t="str">
        <x:v>CDHD</x:v>
      </x:c>
      <x:c r="C45" s="36" t="str">
        <x:v>BAS-08</x:v>
      </x:c>
      <x:c r="D45" s="36" t="str">
        <x:v>CDHD-01</x:v>
      </x:c>
      <x:c r="E45" s="22"/>
      <x:c r="F45" s="22"/>
      <x:c r="G45" s="37"/>
      <x:c r="H45" s="22"/>
      <x:c r="I45" s="22"/>
      <x:c r="J45" s="22"/>
      <x:c r="K45" s="22"/>
      <x:c r="L45" s="6" t="str">
        <x:f>IF(COUNTA(E45:K45)=0,"",IF(OR(H45="不适用",H45="阻塞",H45="资料确认（未实测）"),"非实测记录",IF(AND(E45&lt;&gt;"",ISNUMBER(G45),G45&gt;0,H45&lt;&gt;"",I45&lt;&gt;"",J45&lt;&gt;""),"记录齐全","待补记录")))</x:f>
      </x:c>
    </x:row>
    <x:row r="46" ht="48" customHeight="1">
      <x:c r="A46" s="36" t="str">
        <x:v>BAS-08/台达</x:v>
      </x:c>
      <x:c r="B46" s="36" t="str">
        <x:v>台达</x:v>
      </x:c>
      <x:c r="C46" s="36" t="str">
        <x:v>BAS-08</x:v>
      </x:c>
      <x:c r="D46" s="36" t="str">
        <x:v>台达-01</x:v>
      </x:c>
      <x:c r="E46" s="22"/>
      <x:c r="F46" s="22"/>
      <x:c r="G46" s="37"/>
      <x:c r="H46" s="22"/>
      <x:c r="I46" s="22"/>
      <x:c r="J46" s="22"/>
      <x:c r="K46" s="22"/>
      <x:c r="L46" s="6" t="str">
        <x:f>IF(COUNTA(E46:K46)=0,"",IF(OR(H46="不适用",H46="阻塞",H46="资料确认（未实测）"),"非实测记录",IF(AND(E46&lt;&gt;"",ISNUMBER(G46),G46&gt;0,H46&lt;&gt;"",I46&lt;&gt;"",J46&lt;&gt;""),"记录齐全","待补记录")))</x:f>
      </x:c>
    </x:row>
    <x:row r="47" ht="48" customHeight="1">
      <x:c r="A47" s="36" t="str">
        <x:v>BAS-08/繁易</x:v>
      </x:c>
      <x:c r="B47" s="36" t="str">
        <x:v>繁易</x:v>
      </x:c>
      <x:c r="C47" s="36" t="str">
        <x:v>BAS-08</x:v>
      </x:c>
      <x:c r="D47" s="36" t="str">
        <x:v>繁易-01</x:v>
      </x:c>
      <x:c r="E47" s="22"/>
      <x:c r="F47" s="22"/>
      <x:c r="G47" s="37"/>
      <x:c r="H47" s="22"/>
      <x:c r="I47" s="22"/>
      <x:c r="J47" s="22"/>
      <x:c r="K47" s="22"/>
      <x:c r="L47" s="6" t="str">
        <x:f>IF(COUNTA(E47:K47)=0,"",IF(OR(H47="不适用",H47="阻塞",H47="资料确认（未实测）"),"非实测记录",IF(AND(E47&lt;&gt;"",ISNUMBER(G47),G47&gt;0,H47&lt;&gt;"",I47&lt;&gt;"",J47&lt;&gt;""),"记录齐全","待补记录")))</x:f>
      </x:c>
    </x:row>
    <x:row r="48" ht="48" customHeight="1">
      <x:c r="A48" s="36" t="str">
        <x:v>BAS-08/Elmo</x:v>
      </x:c>
      <x:c r="B48" s="36" t="str">
        <x:v>Elmo</x:v>
      </x:c>
      <x:c r="C48" s="36" t="str">
        <x:v>BAS-08</x:v>
      </x:c>
      <x:c r="D48" s="36" t="str">
        <x:v>Elmo-01</x:v>
      </x:c>
      <x:c r="E48" s="22"/>
      <x:c r="F48" s="22"/>
      <x:c r="G48" s="37"/>
      <x:c r="H48" s="22"/>
      <x:c r="I48" s="22"/>
      <x:c r="J48" s="22"/>
      <x:c r="K48" s="22"/>
      <x:c r="L48" s="6" t="str">
        <x:f>IF(COUNTA(E48:K48)=0,"",IF(OR(H48="不适用",H48="阻塞",H48="资料确认（未实测）"),"非实测记录",IF(AND(E48&lt;&gt;"",ISNUMBER(G48),G48&gt;0,H48&lt;&gt;"",I48&lt;&gt;"",J48&lt;&gt;""),"记录齐全","待补记录")))</x:f>
      </x:c>
    </x:row>
    <x:row r="49" ht="48" customHeight="1">
      <x:c r="A49" s="36" t="str">
        <x:v>BAS-08/KEBA（可选）</x:v>
      </x:c>
      <x:c r="B49" s="36" t="str">
        <x:v>KEBA（可选）</x:v>
      </x:c>
      <x:c r="C49" s="36" t="str">
        <x:v>BAS-08</x:v>
      </x:c>
      <x:c r="D49" s="36" t="str">
        <x:v>KEBA-01</x:v>
      </x:c>
      <x:c r="E49" s="22"/>
      <x:c r="F49" s="22"/>
      <x:c r="G49" s="37"/>
      <x:c r="H49" s="22"/>
      <x:c r="I49" s="22"/>
      <x:c r="J49" s="22"/>
      <x:c r="K49" s="22"/>
      <x:c r="L49" s="6" t="str">
        <x:f>IF(COUNTA(E49:K49)=0,"",IF(OR(H49="不适用",H49="阻塞",H49="资料确认（未实测）"),"非实测记录",IF(AND(E49&lt;&gt;"",ISNUMBER(G49),G49&gt;0,H49&lt;&gt;"",I49&lt;&gt;"",J49&lt;&gt;""),"记录齐全","待补记录")))</x:f>
      </x:c>
    </x:row>
    <x:row r="50" ht="48" customHeight="1">
      <x:c r="A50" s="36" t="str">
        <x:v>ESI-01/CDHD</x:v>
      </x:c>
      <x:c r="B50" s="36" t="str">
        <x:v>CDHD</x:v>
      </x:c>
      <x:c r="C50" s="36" t="str">
        <x:v>ESI-01</x:v>
      </x:c>
      <x:c r="D50" s="36" t="str">
        <x:v>CDHD-01</x:v>
      </x:c>
      <x:c r="E50" s="22"/>
      <x:c r="F50" s="22"/>
      <x:c r="G50" s="37"/>
      <x:c r="H50" s="22"/>
      <x:c r="I50" s="22"/>
      <x:c r="J50" s="22"/>
      <x:c r="K50" s="22"/>
      <x:c r="L50" s="6" t="str">
        <x:f>IF(COUNTA(E50:K50)=0,"",IF(OR(H50="不适用",H50="阻塞",H50="资料确认（未实测）"),"非实测记录",IF(AND(E50&lt;&gt;"",ISNUMBER(G50),G50&gt;0,H50&lt;&gt;"",I50&lt;&gt;"",J50&lt;&gt;""),"记录齐全","待补记录")))</x:f>
      </x:c>
    </x:row>
    <x:row r="51" ht="48" customHeight="1">
      <x:c r="A51" s="36" t="str">
        <x:v>ESI-01/台达</x:v>
      </x:c>
      <x:c r="B51" s="36" t="str">
        <x:v>台达</x:v>
      </x:c>
      <x:c r="C51" s="36" t="str">
        <x:v>ESI-01</x:v>
      </x:c>
      <x:c r="D51" s="36" t="str">
        <x:v>台达-01</x:v>
      </x:c>
      <x:c r="E51" s="22"/>
      <x:c r="F51" s="22"/>
      <x:c r="G51" s="37"/>
      <x:c r="H51" s="22"/>
      <x:c r="I51" s="22"/>
      <x:c r="J51" s="22"/>
      <x:c r="K51" s="22"/>
      <x:c r="L51" s="6" t="str">
        <x:f>IF(COUNTA(E51:K51)=0,"",IF(OR(H51="不适用",H51="阻塞",H51="资料确认（未实测）"),"非实测记录",IF(AND(E51&lt;&gt;"",ISNUMBER(G51),G51&gt;0,H51&lt;&gt;"",I51&lt;&gt;"",J51&lt;&gt;""),"记录齐全","待补记录")))</x:f>
      </x:c>
    </x:row>
    <x:row r="52" ht="48" customHeight="1">
      <x:c r="A52" s="36" t="str">
        <x:v>ESI-01/繁易</x:v>
      </x:c>
      <x:c r="B52" s="36" t="str">
        <x:v>繁易</x:v>
      </x:c>
      <x:c r="C52" s="36" t="str">
        <x:v>ESI-01</x:v>
      </x:c>
      <x:c r="D52" s="36" t="str">
        <x:v>繁易-01</x:v>
      </x:c>
      <x:c r="E52" s="22"/>
      <x:c r="F52" s="22"/>
      <x:c r="G52" s="37"/>
      <x:c r="H52" s="22"/>
      <x:c r="I52" s="22"/>
      <x:c r="J52" s="22"/>
      <x:c r="K52" s="22"/>
      <x:c r="L52" s="6" t="str">
        <x:f>IF(COUNTA(E52:K52)=0,"",IF(OR(H52="不适用",H52="阻塞",H52="资料确认（未实测）"),"非实测记录",IF(AND(E52&lt;&gt;"",ISNUMBER(G52),G52&gt;0,H52&lt;&gt;"",I52&lt;&gt;"",J52&lt;&gt;""),"记录齐全","待补记录")))</x:f>
      </x:c>
    </x:row>
    <x:row r="53" ht="48" customHeight="1">
      <x:c r="A53" s="36" t="str">
        <x:v>ESI-01/Elmo</x:v>
      </x:c>
      <x:c r="B53" s="36" t="str">
        <x:v>Elmo</x:v>
      </x:c>
      <x:c r="C53" s="36" t="str">
        <x:v>ESI-01</x:v>
      </x:c>
      <x:c r="D53" s="36" t="str">
        <x:v>Elmo-01</x:v>
      </x:c>
      <x:c r="E53" s="22"/>
      <x:c r="F53" s="22"/>
      <x:c r="G53" s="37"/>
      <x:c r="H53" s="22"/>
      <x:c r="I53" s="22"/>
      <x:c r="J53" s="22"/>
      <x:c r="K53" s="22"/>
      <x:c r="L53" s="6" t="str">
        <x:f>IF(COUNTA(E53:K53)=0,"",IF(OR(H53="不适用",H53="阻塞",H53="资料确认（未实测）"),"非实测记录",IF(AND(E53&lt;&gt;"",ISNUMBER(G53),G53&gt;0,H53&lt;&gt;"",I53&lt;&gt;"",J53&lt;&gt;""),"记录齐全","待补记录")))</x:f>
      </x:c>
    </x:row>
    <x:row r="54" ht="48" customHeight="1">
      <x:c r="A54" s="36" t="str">
        <x:v>ESI-01/KEBA（可选）</x:v>
      </x:c>
      <x:c r="B54" s="36" t="str">
        <x:v>KEBA（可选）</x:v>
      </x:c>
      <x:c r="C54" s="36" t="str">
        <x:v>ESI-01</x:v>
      </x:c>
      <x:c r="D54" s="36" t="str">
        <x:v>KEBA-01</x:v>
      </x:c>
      <x:c r="E54" s="22"/>
      <x:c r="F54" s="22"/>
      <x:c r="G54" s="37"/>
      <x:c r="H54" s="22"/>
      <x:c r="I54" s="22"/>
      <x:c r="J54" s="22"/>
      <x:c r="K54" s="22"/>
      <x:c r="L54" s="6" t="str">
        <x:f>IF(COUNTA(E54:K54)=0,"",IF(OR(H54="不适用",H54="阻塞",H54="资料确认（未实测）"),"非实测记录",IF(AND(E54&lt;&gt;"",ISNUMBER(G54),G54&gt;0,H54&lt;&gt;"",I54&lt;&gt;"",J54&lt;&gt;""),"记录齐全","待补记录")))</x:f>
      </x:c>
    </x:row>
    <x:row r="55" ht="48" customHeight="1">
      <x:c r="A55" s="36" t="str">
        <x:v>ESI-02/CDHD</x:v>
      </x:c>
      <x:c r="B55" s="36" t="str">
        <x:v>CDHD</x:v>
      </x:c>
      <x:c r="C55" s="36" t="str">
        <x:v>ESI-02</x:v>
      </x:c>
      <x:c r="D55" s="36" t="str">
        <x:v>CDHD-01</x:v>
      </x:c>
      <x:c r="E55" s="22"/>
      <x:c r="F55" s="22"/>
      <x:c r="G55" s="37"/>
      <x:c r="H55" s="22"/>
      <x:c r="I55" s="22"/>
      <x:c r="J55" s="22"/>
      <x:c r="K55" s="22"/>
      <x:c r="L55" s="6" t="str">
        <x:f>IF(COUNTA(E55:K55)=0,"",IF(OR(H55="不适用",H55="阻塞",H55="资料确认（未实测）"),"非实测记录",IF(AND(E55&lt;&gt;"",ISNUMBER(G55),G55&gt;0,H55&lt;&gt;"",I55&lt;&gt;"",J55&lt;&gt;""),"记录齐全","待补记录")))</x:f>
      </x:c>
    </x:row>
    <x:row r="56" ht="48" customHeight="1">
      <x:c r="A56" s="36" t="str">
        <x:v>ESI-02/台达</x:v>
      </x:c>
      <x:c r="B56" s="36" t="str">
        <x:v>台达</x:v>
      </x:c>
      <x:c r="C56" s="36" t="str">
        <x:v>ESI-02</x:v>
      </x:c>
      <x:c r="D56" s="36" t="str">
        <x:v>台达-01</x:v>
      </x:c>
      <x:c r="E56" s="22"/>
      <x:c r="F56" s="22"/>
      <x:c r="G56" s="37"/>
      <x:c r="H56" s="22"/>
      <x:c r="I56" s="22"/>
      <x:c r="J56" s="22"/>
      <x:c r="K56" s="22"/>
      <x:c r="L56" s="6" t="str">
        <x:f>IF(COUNTA(E56:K56)=0,"",IF(OR(H56="不适用",H56="阻塞",H56="资料确认（未实测）"),"非实测记录",IF(AND(E56&lt;&gt;"",ISNUMBER(G56),G56&gt;0,H56&lt;&gt;"",I56&lt;&gt;"",J56&lt;&gt;""),"记录齐全","待补记录")))</x:f>
      </x:c>
    </x:row>
    <x:row r="57" ht="48" customHeight="1">
      <x:c r="A57" s="36" t="str">
        <x:v>ESI-02/繁易</x:v>
      </x:c>
      <x:c r="B57" s="36" t="str">
        <x:v>繁易</x:v>
      </x:c>
      <x:c r="C57" s="36" t="str">
        <x:v>ESI-02</x:v>
      </x:c>
      <x:c r="D57" s="36" t="str">
        <x:v>繁易-01</x:v>
      </x:c>
      <x:c r="E57" s="22"/>
      <x:c r="F57" s="22"/>
      <x:c r="G57" s="37"/>
      <x:c r="H57" s="22"/>
      <x:c r="I57" s="22"/>
      <x:c r="J57" s="22"/>
      <x:c r="K57" s="22"/>
      <x:c r="L57" s="6" t="str">
        <x:f>IF(COUNTA(E57:K57)=0,"",IF(OR(H57="不适用",H57="阻塞",H57="资料确认（未实测）"),"非实测记录",IF(AND(E57&lt;&gt;"",ISNUMBER(G57),G57&gt;0,H57&lt;&gt;"",I57&lt;&gt;"",J57&lt;&gt;""),"记录齐全","待补记录")))</x:f>
      </x:c>
    </x:row>
    <x:row r="58" ht="48" customHeight="1">
      <x:c r="A58" s="36" t="str">
        <x:v>ESI-02/Elmo</x:v>
      </x:c>
      <x:c r="B58" s="36" t="str">
        <x:v>Elmo</x:v>
      </x:c>
      <x:c r="C58" s="36" t="str">
        <x:v>ESI-02</x:v>
      </x:c>
      <x:c r="D58" s="36" t="str">
        <x:v>Elmo-01</x:v>
      </x:c>
      <x:c r="E58" s="22"/>
      <x:c r="F58" s="22"/>
      <x:c r="G58" s="37"/>
      <x:c r="H58" s="22"/>
      <x:c r="I58" s="22"/>
      <x:c r="J58" s="22"/>
      <x:c r="K58" s="22"/>
      <x:c r="L58" s="6" t="str">
        <x:f>IF(COUNTA(E58:K58)=0,"",IF(OR(H58="不适用",H58="阻塞",H58="资料确认（未实测）"),"非实测记录",IF(AND(E58&lt;&gt;"",ISNUMBER(G58),G58&gt;0,H58&lt;&gt;"",I58&lt;&gt;"",J58&lt;&gt;""),"记录齐全","待补记录")))</x:f>
      </x:c>
    </x:row>
    <x:row r="59" ht="48" customHeight="1">
      <x:c r="A59" s="36" t="str">
        <x:v>ESI-02/KEBA（可选）</x:v>
      </x:c>
      <x:c r="B59" s="36" t="str">
        <x:v>KEBA（可选）</x:v>
      </x:c>
      <x:c r="C59" s="36" t="str">
        <x:v>ESI-02</x:v>
      </x:c>
      <x:c r="D59" s="36" t="str">
        <x:v>KEBA-01</x:v>
      </x:c>
      <x:c r="E59" s="22"/>
      <x:c r="F59" s="22"/>
      <x:c r="G59" s="37"/>
      <x:c r="H59" s="22"/>
      <x:c r="I59" s="22"/>
      <x:c r="J59" s="22"/>
      <x:c r="K59" s="22"/>
      <x:c r="L59" s="6" t="str">
        <x:f>IF(COUNTA(E59:K59)=0,"",IF(OR(H59="不适用",H59="阻塞",H59="资料确认（未实测）"),"非实测记录",IF(AND(E59&lt;&gt;"",ISNUMBER(G59),G59&gt;0,H59&lt;&gt;"",I59&lt;&gt;"",J59&lt;&gt;""),"记录齐全","待补记录")))</x:f>
      </x:c>
    </x:row>
    <x:row r="60" ht="48" customHeight="1">
      <x:c r="A60" s="36" t="str">
        <x:v>ESI-03/CDHD</x:v>
      </x:c>
      <x:c r="B60" s="36" t="str">
        <x:v>CDHD</x:v>
      </x:c>
      <x:c r="C60" s="36" t="str">
        <x:v>ESI-03</x:v>
      </x:c>
      <x:c r="D60" s="36" t="str">
        <x:v>CDHD-01</x:v>
      </x:c>
      <x:c r="E60" s="22"/>
      <x:c r="F60" s="22"/>
      <x:c r="G60" s="37"/>
      <x:c r="H60" s="22"/>
      <x:c r="I60" s="22"/>
      <x:c r="J60" s="22"/>
      <x:c r="K60" s="22"/>
      <x:c r="L60" s="6" t="str">
        <x:f>IF(COUNTA(E60:K60)=0,"",IF(OR(H60="不适用",H60="阻塞",H60="资料确认（未实测）"),"非实测记录",IF(AND(E60&lt;&gt;"",ISNUMBER(G60),G60&gt;0,H60&lt;&gt;"",I60&lt;&gt;"",J60&lt;&gt;""),"记录齐全","待补记录")))</x:f>
      </x:c>
    </x:row>
    <x:row r="61" ht="48" customHeight="1">
      <x:c r="A61" s="36" t="str">
        <x:v>ESI-03/台达</x:v>
      </x:c>
      <x:c r="B61" s="36" t="str">
        <x:v>台达</x:v>
      </x:c>
      <x:c r="C61" s="36" t="str">
        <x:v>ESI-03</x:v>
      </x:c>
      <x:c r="D61" s="36" t="str">
        <x:v>台达-01</x:v>
      </x:c>
      <x:c r="E61" s="22"/>
      <x:c r="F61" s="22"/>
      <x:c r="G61" s="37"/>
      <x:c r="H61" s="22"/>
      <x:c r="I61" s="22"/>
      <x:c r="J61" s="22"/>
      <x:c r="K61" s="22"/>
      <x:c r="L61" s="6" t="str">
        <x:f>IF(COUNTA(E61:K61)=0,"",IF(OR(H61="不适用",H61="阻塞",H61="资料确认（未实测）"),"非实测记录",IF(AND(E61&lt;&gt;"",ISNUMBER(G61),G61&gt;0,H61&lt;&gt;"",I61&lt;&gt;"",J61&lt;&gt;""),"记录齐全","待补记录")))</x:f>
      </x:c>
    </x:row>
    <x:row r="62" ht="48" customHeight="1">
      <x:c r="A62" s="36" t="str">
        <x:v>ESI-03/繁易</x:v>
      </x:c>
      <x:c r="B62" s="36" t="str">
        <x:v>繁易</x:v>
      </x:c>
      <x:c r="C62" s="36" t="str">
        <x:v>ESI-03</x:v>
      </x:c>
      <x:c r="D62" s="36" t="str">
        <x:v>繁易-01</x:v>
      </x:c>
      <x:c r="E62" s="22"/>
      <x:c r="F62" s="22"/>
      <x:c r="G62" s="37"/>
      <x:c r="H62" s="22"/>
      <x:c r="I62" s="22"/>
      <x:c r="J62" s="22"/>
      <x:c r="K62" s="22"/>
      <x:c r="L62" s="6" t="str">
        <x:f>IF(COUNTA(E62:K62)=0,"",IF(OR(H62="不适用",H62="阻塞",H62="资料确认（未实测）"),"非实测记录",IF(AND(E62&lt;&gt;"",ISNUMBER(G62),G62&gt;0,H62&lt;&gt;"",I62&lt;&gt;"",J62&lt;&gt;""),"记录齐全","待补记录")))</x:f>
      </x:c>
    </x:row>
    <x:row r="63" ht="48" customHeight="1">
      <x:c r="A63" s="36" t="str">
        <x:v>ESI-03/Elmo</x:v>
      </x:c>
      <x:c r="B63" s="36" t="str">
        <x:v>Elmo</x:v>
      </x:c>
      <x:c r="C63" s="36" t="str">
        <x:v>ESI-03</x:v>
      </x:c>
      <x:c r="D63" s="36" t="str">
        <x:v>Elmo-01</x:v>
      </x:c>
      <x:c r="E63" s="22"/>
      <x:c r="F63" s="22"/>
      <x:c r="G63" s="37"/>
      <x:c r="H63" s="22"/>
      <x:c r="I63" s="22"/>
      <x:c r="J63" s="22"/>
      <x:c r="K63" s="22"/>
      <x:c r="L63" s="6" t="str">
        <x:f>IF(COUNTA(E63:K63)=0,"",IF(OR(H63="不适用",H63="阻塞",H63="资料确认（未实测）"),"非实测记录",IF(AND(E63&lt;&gt;"",ISNUMBER(G63),G63&gt;0,H63&lt;&gt;"",I63&lt;&gt;"",J63&lt;&gt;""),"记录齐全","待补记录")))</x:f>
      </x:c>
    </x:row>
    <x:row r="64" ht="48" customHeight="1">
      <x:c r="A64" s="36" t="str">
        <x:v>ESI-03/KEBA（可选）</x:v>
      </x:c>
      <x:c r="B64" s="36" t="str">
        <x:v>KEBA（可选）</x:v>
      </x:c>
      <x:c r="C64" s="36" t="str">
        <x:v>ESI-03</x:v>
      </x:c>
      <x:c r="D64" s="36" t="str">
        <x:v>KEBA-01</x:v>
      </x:c>
      <x:c r="E64" s="22"/>
      <x:c r="F64" s="22"/>
      <x:c r="G64" s="37"/>
      <x:c r="H64" s="22"/>
      <x:c r="I64" s="22"/>
      <x:c r="J64" s="22"/>
      <x:c r="K64" s="22"/>
      <x:c r="L64" s="6" t="str">
        <x:f>IF(COUNTA(E64:K64)=0,"",IF(OR(H64="不适用",H64="阻塞",H64="资料确认（未实测）"),"非实测记录",IF(AND(E64&lt;&gt;"",ISNUMBER(G64),G64&gt;0,H64&lt;&gt;"",I64&lt;&gt;"",J64&lt;&gt;""),"记录齐全","待补记录")))</x:f>
      </x:c>
    </x:row>
    <x:row r="65" ht="48" customHeight="1">
      <x:c r="A65" s="36" t="str">
        <x:v>ESI-04/CDHD</x:v>
      </x:c>
      <x:c r="B65" s="36" t="str">
        <x:v>CDHD</x:v>
      </x:c>
      <x:c r="C65" s="36" t="str">
        <x:v>ESI-04</x:v>
      </x:c>
      <x:c r="D65" s="36" t="str">
        <x:v>CDHD-01</x:v>
      </x:c>
      <x:c r="E65" s="22"/>
      <x:c r="F65" s="22"/>
      <x:c r="G65" s="37"/>
      <x:c r="H65" s="22"/>
      <x:c r="I65" s="22"/>
      <x:c r="J65" s="22"/>
      <x:c r="K65" s="22"/>
      <x:c r="L65" s="6" t="str">
        <x:f>IF(COUNTA(E65:K65)=0,"",IF(OR(H65="不适用",H65="阻塞",H65="资料确认（未实测）"),"非实测记录",IF(AND(E65&lt;&gt;"",ISNUMBER(G65),G65&gt;0,H65&lt;&gt;"",I65&lt;&gt;"",J65&lt;&gt;""),"记录齐全","待补记录")))</x:f>
      </x:c>
    </x:row>
    <x:row r="66" ht="48" customHeight="1">
      <x:c r="A66" s="36" t="str">
        <x:v>ESI-04/台达</x:v>
      </x:c>
      <x:c r="B66" s="36" t="str">
        <x:v>台达</x:v>
      </x:c>
      <x:c r="C66" s="36" t="str">
        <x:v>ESI-04</x:v>
      </x:c>
      <x:c r="D66" s="36" t="str">
        <x:v>台达-01</x:v>
      </x:c>
      <x:c r="E66" s="22"/>
      <x:c r="F66" s="22"/>
      <x:c r="G66" s="37"/>
      <x:c r="H66" s="22"/>
      <x:c r="I66" s="22"/>
      <x:c r="J66" s="22"/>
      <x:c r="K66" s="22"/>
      <x:c r="L66" s="6" t="str">
        <x:f>IF(COUNTA(E66:K66)=0,"",IF(OR(H66="不适用",H66="阻塞",H66="资料确认（未实测）"),"非实测记录",IF(AND(E66&lt;&gt;"",ISNUMBER(G66),G66&gt;0,H66&lt;&gt;"",I66&lt;&gt;"",J66&lt;&gt;""),"记录齐全","待补记录")))</x:f>
      </x:c>
    </x:row>
    <x:row r="67" ht="48" customHeight="1">
      <x:c r="A67" s="36" t="str">
        <x:v>ESI-04/繁易</x:v>
      </x:c>
      <x:c r="B67" s="36" t="str">
        <x:v>繁易</x:v>
      </x:c>
      <x:c r="C67" s="36" t="str">
        <x:v>ESI-04</x:v>
      </x:c>
      <x:c r="D67" s="36" t="str">
        <x:v>繁易-01</x:v>
      </x:c>
      <x:c r="E67" s="22"/>
      <x:c r="F67" s="22"/>
      <x:c r="G67" s="37"/>
      <x:c r="H67" s="22"/>
      <x:c r="I67" s="22"/>
      <x:c r="J67" s="22"/>
      <x:c r="K67" s="22"/>
      <x:c r="L67" s="6" t="str">
        <x:f>IF(COUNTA(E67:K67)=0,"",IF(OR(H67="不适用",H67="阻塞",H67="资料确认（未实测）"),"非实测记录",IF(AND(E67&lt;&gt;"",ISNUMBER(G67),G67&gt;0,H67&lt;&gt;"",I67&lt;&gt;"",J67&lt;&gt;""),"记录齐全","待补记录")))</x:f>
      </x:c>
    </x:row>
    <x:row r="68" ht="48" customHeight="1">
      <x:c r="A68" s="36" t="str">
        <x:v>ESI-04/Elmo</x:v>
      </x:c>
      <x:c r="B68" s="36" t="str">
        <x:v>Elmo</x:v>
      </x:c>
      <x:c r="C68" s="36" t="str">
        <x:v>ESI-04</x:v>
      </x:c>
      <x:c r="D68" s="36" t="str">
        <x:v>Elmo-01</x:v>
      </x:c>
      <x:c r="E68" s="22"/>
      <x:c r="F68" s="22"/>
      <x:c r="G68" s="37"/>
      <x:c r="H68" s="22"/>
      <x:c r="I68" s="22"/>
      <x:c r="J68" s="22"/>
      <x:c r="K68" s="22"/>
      <x:c r="L68" s="6" t="str">
        <x:f>IF(COUNTA(E68:K68)=0,"",IF(OR(H68="不适用",H68="阻塞",H68="资料确认（未实测）"),"非实测记录",IF(AND(E68&lt;&gt;"",ISNUMBER(G68),G68&gt;0,H68&lt;&gt;"",I68&lt;&gt;"",J68&lt;&gt;""),"记录齐全","待补记录")))</x:f>
      </x:c>
    </x:row>
    <x:row r="69" ht="48" customHeight="1">
      <x:c r="A69" s="36" t="str">
        <x:v>ESI-04/KEBA（可选）</x:v>
      </x:c>
      <x:c r="B69" s="36" t="str">
        <x:v>KEBA（可选）</x:v>
      </x:c>
      <x:c r="C69" s="36" t="str">
        <x:v>ESI-04</x:v>
      </x:c>
      <x:c r="D69" s="36" t="str">
        <x:v>KEBA-01</x:v>
      </x:c>
      <x:c r="E69" s="22"/>
      <x:c r="F69" s="22"/>
      <x:c r="G69" s="37"/>
      <x:c r="H69" s="22"/>
      <x:c r="I69" s="22"/>
      <x:c r="J69" s="22"/>
      <x:c r="K69" s="22"/>
      <x:c r="L69" s="6" t="str">
        <x:f>IF(COUNTA(E69:K69)=0,"",IF(OR(H69="不适用",H69="阻塞",H69="资料确认（未实测）"),"非实测记录",IF(AND(E69&lt;&gt;"",ISNUMBER(G69),G69&gt;0,H69&lt;&gt;"",I69&lt;&gt;"",J69&lt;&gt;""),"记录齐全","待补记录")))</x:f>
      </x:c>
    </x:row>
    <x:row r="70" ht="48" customHeight="1">
      <x:c r="A70" s="36" t="str">
        <x:v>ESI-05/CDHD</x:v>
      </x:c>
      <x:c r="B70" s="36" t="str">
        <x:v>CDHD</x:v>
      </x:c>
      <x:c r="C70" s="36" t="str">
        <x:v>ESI-05</x:v>
      </x:c>
      <x:c r="D70" s="36" t="str">
        <x:v>CDHD-01</x:v>
      </x:c>
      <x:c r="E70" s="22"/>
      <x:c r="F70" s="22"/>
      <x:c r="G70" s="37"/>
      <x:c r="H70" s="22"/>
      <x:c r="I70" s="22"/>
      <x:c r="J70" s="22"/>
      <x:c r="K70" s="22"/>
      <x:c r="L70" s="6" t="str">
        <x:f>IF(COUNTA(E70:K70)=0,"",IF(OR(H70="不适用",H70="阻塞",H70="资料确认（未实测）"),"非实测记录",IF(AND(E70&lt;&gt;"",ISNUMBER(G70),G70&gt;0,H70&lt;&gt;"",I70&lt;&gt;"",J70&lt;&gt;""),"记录齐全","待补记录")))</x:f>
      </x:c>
    </x:row>
    <x:row r="71" ht="48" customHeight="1">
      <x:c r="A71" s="36" t="str">
        <x:v>ESI-05/台达</x:v>
      </x:c>
      <x:c r="B71" s="36" t="str">
        <x:v>台达</x:v>
      </x:c>
      <x:c r="C71" s="36" t="str">
        <x:v>ESI-05</x:v>
      </x:c>
      <x:c r="D71" s="36" t="str">
        <x:v>台达-01</x:v>
      </x:c>
      <x:c r="E71" s="22"/>
      <x:c r="F71" s="22"/>
      <x:c r="G71" s="37"/>
      <x:c r="H71" s="22"/>
      <x:c r="I71" s="22"/>
      <x:c r="J71" s="22"/>
      <x:c r="K71" s="22"/>
      <x:c r="L71" s="6" t="str">
        <x:f>IF(COUNTA(E71:K71)=0,"",IF(OR(H71="不适用",H71="阻塞",H71="资料确认（未实测）"),"非实测记录",IF(AND(E71&lt;&gt;"",ISNUMBER(G71),G71&gt;0,H71&lt;&gt;"",I71&lt;&gt;"",J71&lt;&gt;""),"记录齐全","待补记录")))</x:f>
      </x:c>
    </x:row>
    <x:row r="72" ht="48" customHeight="1">
      <x:c r="A72" s="36" t="str">
        <x:v>ESI-05/繁易</x:v>
      </x:c>
      <x:c r="B72" s="36" t="str">
        <x:v>繁易</x:v>
      </x:c>
      <x:c r="C72" s="36" t="str">
        <x:v>ESI-05</x:v>
      </x:c>
      <x:c r="D72" s="36" t="str">
        <x:v>繁易-01</x:v>
      </x:c>
      <x:c r="E72" s="22"/>
      <x:c r="F72" s="22"/>
      <x:c r="G72" s="37"/>
      <x:c r="H72" s="22"/>
      <x:c r="I72" s="22"/>
      <x:c r="J72" s="22"/>
      <x:c r="K72" s="22"/>
      <x:c r="L72" s="6" t="str">
        <x:f>IF(COUNTA(E72:K72)=0,"",IF(OR(H72="不适用",H72="阻塞",H72="资料确认（未实测）"),"非实测记录",IF(AND(E72&lt;&gt;"",ISNUMBER(G72),G72&gt;0,H72&lt;&gt;"",I72&lt;&gt;"",J72&lt;&gt;""),"记录齐全","待补记录")))</x:f>
      </x:c>
    </x:row>
    <x:row r="73" ht="48" customHeight="1">
      <x:c r="A73" s="36" t="str">
        <x:v>ESI-05/Elmo</x:v>
      </x:c>
      <x:c r="B73" s="36" t="str">
        <x:v>Elmo</x:v>
      </x:c>
      <x:c r="C73" s="36" t="str">
        <x:v>ESI-05</x:v>
      </x:c>
      <x:c r="D73" s="36" t="str">
        <x:v>Elmo-01</x:v>
      </x:c>
      <x:c r="E73" s="22"/>
      <x:c r="F73" s="22"/>
      <x:c r="G73" s="37"/>
      <x:c r="H73" s="22"/>
      <x:c r="I73" s="22"/>
      <x:c r="J73" s="22"/>
      <x:c r="K73" s="22"/>
      <x:c r="L73" s="6" t="str">
        <x:f>IF(COUNTA(E73:K73)=0,"",IF(OR(H73="不适用",H73="阻塞",H73="资料确认（未实测）"),"非实测记录",IF(AND(E73&lt;&gt;"",ISNUMBER(G73),G73&gt;0,H73&lt;&gt;"",I73&lt;&gt;"",J73&lt;&gt;""),"记录齐全","待补记录")))</x:f>
      </x:c>
    </x:row>
    <x:row r="74" ht="48" customHeight="1">
      <x:c r="A74" s="36" t="str">
        <x:v>ESI-05/KEBA（可选）</x:v>
      </x:c>
      <x:c r="B74" s="36" t="str">
        <x:v>KEBA（可选）</x:v>
      </x:c>
      <x:c r="C74" s="36" t="str">
        <x:v>ESI-05</x:v>
      </x:c>
      <x:c r="D74" s="36" t="str">
        <x:v>KEBA-01</x:v>
      </x:c>
      <x:c r="E74" s="22"/>
      <x:c r="F74" s="22"/>
      <x:c r="G74" s="37"/>
      <x:c r="H74" s="22"/>
      <x:c r="I74" s="22"/>
      <x:c r="J74" s="22"/>
      <x:c r="K74" s="22"/>
      <x:c r="L74" s="6" t="str">
        <x:f>IF(COUNTA(E74:K74)=0,"",IF(OR(H74="不适用",H74="阻塞",H74="资料确认（未实测）"),"非实测记录",IF(AND(E74&lt;&gt;"",ISNUMBER(G74),G74&gt;0,H74&lt;&gt;"",I74&lt;&gt;"",J74&lt;&gt;""),"记录齐全","待补记录")))</x:f>
      </x:c>
    </x:row>
    <x:row r="75" ht="48" customHeight="1">
      <x:c r="A75" s="36" t="str">
        <x:v>ESI-06/CDHD</x:v>
      </x:c>
      <x:c r="B75" s="36" t="str">
        <x:v>CDHD</x:v>
      </x:c>
      <x:c r="C75" s="36" t="str">
        <x:v>ESI-06</x:v>
      </x:c>
      <x:c r="D75" s="36" t="str">
        <x:v>CDHD-01</x:v>
      </x:c>
      <x:c r="E75" s="22"/>
      <x:c r="F75" s="22"/>
      <x:c r="G75" s="37"/>
      <x:c r="H75" s="22"/>
      <x:c r="I75" s="22"/>
      <x:c r="J75" s="22"/>
      <x:c r="K75" s="22"/>
      <x:c r="L75" s="6" t="str">
        <x:f>IF(COUNTA(E75:K75)=0,"",IF(OR(H75="不适用",H75="阻塞",H75="资料确认（未实测）"),"非实测记录",IF(AND(E75&lt;&gt;"",ISNUMBER(G75),G75&gt;0,H75&lt;&gt;"",I75&lt;&gt;"",J75&lt;&gt;""),"记录齐全","待补记录")))</x:f>
      </x:c>
    </x:row>
    <x:row r="76" ht="48" customHeight="1">
      <x:c r="A76" s="36" t="str">
        <x:v>ESI-06/台达</x:v>
      </x:c>
      <x:c r="B76" s="36" t="str">
        <x:v>台达</x:v>
      </x:c>
      <x:c r="C76" s="36" t="str">
        <x:v>ESI-06</x:v>
      </x:c>
      <x:c r="D76" s="36" t="str">
        <x:v>台达-01</x:v>
      </x:c>
      <x:c r="E76" s="22"/>
      <x:c r="F76" s="22"/>
      <x:c r="G76" s="37"/>
      <x:c r="H76" s="22"/>
      <x:c r="I76" s="22"/>
      <x:c r="J76" s="22"/>
      <x:c r="K76" s="22"/>
      <x:c r="L76" s="6" t="str">
        <x:f>IF(COUNTA(E76:K76)=0,"",IF(OR(H76="不适用",H76="阻塞",H76="资料确认（未实测）"),"非实测记录",IF(AND(E76&lt;&gt;"",ISNUMBER(G76),G76&gt;0,H76&lt;&gt;"",I76&lt;&gt;"",J76&lt;&gt;""),"记录齐全","待补记录")))</x:f>
      </x:c>
    </x:row>
    <x:row r="77" ht="48" customHeight="1">
      <x:c r="A77" s="36" t="str">
        <x:v>ESI-06/繁易</x:v>
      </x:c>
      <x:c r="B77" s="36" t="str">
        <x:v>繁易</x:v>
      </x:c>
      <x:c r="C77" s="36" t="str">
        <x:v>ESI-06</x:v>
      </x:c>
      <x:c r="D77" s="36" t="str">
        <x:v>繁易-01</x:v>
      </x:c>
      <x:c r="E77" s="22"/>
      <x:c r="F77" s="22"/>
      <x:c r="G77" s="37"/>
      <x:c r="H77" s="22"/>
      <x:c r="I77" s="22"/>
      <x:c r="J77" s="22"/>
      <x:c r="K77" s="22"/>
      <x:c r="L77" s="6" t="str">
        <x:f>IF(COUNTA(E77:K77)=0,"",IF(OR(H77="不适用",H77="阻塞",H77="资料确认（未实测）"),"非实测记录",IF(AND(E77&lt;&gt;"",ISNUMBER(G77),G77&gt;0,H77&lt;&gt;"",I77&lt;&gt;"",J77&lt;&gt;""),"记录齐全","待补记录")))</x:f>
      </x:c>
    </x:row>
    <x:row r="78" ht="48" customHeight="1">
      <x:c r="A78" s="36" t="str">
        <x:v>ESI-06/Elmo</x:v>
      </x:c>
      <x:c r="B78" s="36" t="str">
        <x:v>Elmo</x:v>
      </x:c>
      <x:c r="C78" s="36" t="str">
        <x:v>ESI-06</x:v>
      </x:c>
      <x:c r="D78" s="36" t="str">
        <x:v>Elmo-01</x:v>
      </x:c>
      <x:c r="E78" s="22"/>
      <x:c r="F78" s="22"/>
      <x:c r="G78" s="37"/>
      <x:c r="H78" s="22"/>
      <x:c r="I78" s="22"/>
      <x:c r="J78" s="22"/>
      <x:c r="K78" s="22"/>
      <x:c r="L78" s="6" t="str">
        <x:f>IF(COUNTA(E78:K78)=0,"",IF(OR(H78="不适用",H78="阻塞",H78="资料确认（未实测）"),"非实测记录",IF(AND(E78&lt;&gt;"",ISNUMBER(G78),G78&gt;0,H78&lt;&gt;"",I78&lt;&gt;"",J78&lt;&gt;""),"记录齐全","待补记录")))</x:f>
      </x:c>
    </x:row>
    <x:row r="79" ht="48" customHeight="1">
      <x:c r="A79" s="36" t="str">
        <x:v>ESI-06/KEBA（可选）</x:v>
      </x:c>
      <x:c r="B79" s="36" t="str">
        <x:v>KEBA（可选）</x:v>
      </x:c>
      <x:c r="C79" s="36" t="str">
        <x:v>ESI-06</x:v>
      </x:c>
      <x:c r="D79" s="36" t="str">
        <x:v>KEBA-01</x:v>
      </x:c>
      <x:c r="E79" s="22"/>
      <x:c r="F79" s="22"/>
      <x:c r="G79" s="37"/>
      <x:c r="H79" s="22"/>
      <x:c r="I79" s="22"/>
      <x:c r="J79" s="22"/>
      <x:c r="K79" s="22"/>
      <x:c r="L79" s="6" t="str">
        <x:f>IF(COUNTA(E79:K79)=0,"",IF(OR(H79="不适用",H79="阻塞",H79="资料确认（未实测）"),"非实测记录",IF(AND(E79&lt;&gt;"",ISNUMBER(G79),G79&gt;0,H79&lt;&gt;"",I79&lt;&gt;"",J79&lt;&gt;""),"记录齐全","待补记录")))</x:f>
      </x:c>
    </x:row>
    <x:row r="80" ht="48" customHeight="1">
      <x:c r="A80" s="36" t="str">
        <x:v>ESI-07/CDHD</x:v>
      </x:c>
      <x:c r="B80" s="36" t="str">
        <x:v>CDHD</x:v>
      </x:c>
      <x:c r="C80" s="36" t="str">
        <x:v>ESI-07</x:v>
      </x:c>
      <x:c r="D80" s="36" t="str">
        <x:v>CDHD-01</x:v>
      </x:c>
      <x:c r="E80" s="22"/>
      <x:c r="F80" s="22"/>
      <x:c r="G80" s="37"/>
      <x:c r="H80" s="22"/>
      <x:c r="I80" s="22"/>
      <x:c r="J80" s="22"/>
      <x:c r="K80" s="22"/>
      <x:c r="L80" s="6" t="str">
        <x:f>IF(COUNTA(E80:K80)=0,"",IF(OR(H80="不适用",H80="阻塞",H80="资料确认（未实测）"),"非实测记录",IF(AND(E80&lt;&gt;"",ISNUMBER(G80),G80&gt;0,H80&lt;&gt;"",I80&lt;&gt;"",J80&lt;&gt;""),"记录齐全","待补记录")))</x:f>
      </x:c>
    </x:row>
    <x:row r="81" ht="48" customHeight="1">
      <x:c r="A81" s="36" t="str">
        <x:v>ESI-07/台达</x:v>
      </x:c>
      <x:c r="B81" s="36" t="str">
        <x:v>台达</x:v>
      </x:c>
      <x:c r="C81" s="36" t="str">
        <x:v>ESI-07</x:v>
      </x:c>
      <x:c r="D81" s="36" t="str">
        <x:v>台达-01</x:v>
      </x:c>
      <x:c r="E81" s="22"/>
      <x:c r="F81" s="22"/>
      <x:c r="G81" s="37"/>
      <x:c r="H81" s="22"/>
      <x:c r="I81" s="22"/>
      <x:c r="J81" s="22"/>
      <x:c r="K81" s="22"/>
      <x:c r="L81" s="6" t="str">
        <x:f>IF(COUNTA(E81:K81)=0,"",IF(OR(H81="不适用",H81="阻塞",H81="资料确认（未实测）"),"非实测记录",IF(AND(E81&lt;&gt;"",ISNUMBER(G81),G81&gt;0,H81&lt;&gt;"",I81&lt;&gt;"",J81&lt;&gt;""),"记录齐全","待补记录")))</x:f>
      </x:c>
    </x:row>
    <x:row r="82" ht="48" customHeight="1">
      <x:c r="A82" s="36" t="str">
        <x:v>ESI-07/繁易</x:v>
      </x:c>
      <x:c r="B82" s="36" t="str">
        <x:v>繁易</x:v>
      </x:c>
      <x:c r="C82" s="36" t="str">
        <x:v>ESI-07</x:v>
      </x:c>
      <x:c r="D82" s="36" t="str">
        <x:v>繁易-01</x:v>
      </x:c>
      <x:c r="E82" s="22"/>
      <x:c r="F82" s="22"/>
      <x:c r="G82" s="37"/>
      <x:c r="H82" s="22"/>
      <x:c r="I82" s="22"/>
      <x:c r="J82" s="22"/>
      <x:c r="K82" s="22"/>
      <x:c r="L82" s="6" t="str">
        <x:f>IF(COUNTA(E82:K82)=0,"",IF(OR(H82="不适用",H82="阻塞",H82="资料确认（未实测）"),"非实测记录",IF(AND(E82&lt;&gt;"",ISNUMBER(G82),G82&gt;0,H82&lt;&gt;"",I82&lt;&gt;"",J82&lt;&gt;""),"记录齐全","待补记录")))</x:f>
      </x:c>
    </x:row>
    <x:row r="83" ht="48" customHeight="1">
      <x:c r="A83" s="36" t="str">
        <x:v>ESI-07/Elmo</x:v>
      </x:c>
      <x:c r="B83" s="36" t="str">
        <x:v>Elmo</x:v>
      </x:c>
      <x:c r="C83" s="36" t="str">
        <x:v>ESI-07</x:v>
      </x:c>
      <x:c r="D83" s="36" t="str">
        <x:v>Elmo-01</x:v>
      </x:c>
      <x:c r="E83" s="22"/>
      <x:c r="F83" s="22"/>
      <x:c r="G83" s="37"/>
      <x:c r="H83" s="22"/>
      <x:c r="I83" s="22"/>
      <x:c r="J83" s="22"/>
      <x:c r="K83" s="22"/>
      <x:c r="L83" s="6" t="str">
        <x:f>IF(COUNTA(E83:K83)=0,"",IF(OR(H83="不适用",H83="阻塞",H83="资料确认（未实测）"),"非实测记录",IF(AND(E83&lt;&gt;"",ISNUMBER(G83),G83&gt;0,H83&lt;&gt;"",I83&lt;&gt;"",J83&lt;&gt;""),"记录齐全","待补记录")))</x:f>
      </x:c>
    </x:row>
    <x:row r="84" ht="48" customHeight="1">
      <x:c r="A84" s="36" t="str">
        <x:v>ESI-07/KEBA（可选）</x:v>
      </x:c>
      <x:c r="B84" s="36" t="str">
        <x:v>KEBA（可选）</x:v>
      </x:c>
      <x:c r="C84" s="36" t="str">
        <x:v>ESI-07</x:v>
      </x:c>
      <x:c r="D84" s="36" t="str">
        <x:v>KEBA-01</x:v>
      </x:c>
      <x:c r="E84" s="22"/>
      <x:c r="F84" s="22"/>
      <x:c r="G84" s="37"/>
      <x:c r="H84" s="22"/>
      <x:c r="I84" s="22"/>
      <x:c r="J84" s="22"/>
      <x:c r="K84" s="22"/>
      <x:c r="L84" s="6" t="str">
        <x:f>IF(COUNTA(E84:K84)=0,"",IF(OR(H84="不适用",H84="阻塞",H84="资料确认（未实测）"),"非实测记录",IF(AND(E84&lt;&gt;"",ISNUMBER(G84),G84&gt;0,H84&lt;&gt;"",I84&lt;&gt;"",J84&lt;&gt;""),"记录齐全","待补记录")))</x:f>
      </x:c>
    </x:row>
    <x:row r="85" ht="48" customHeight="1">
      <x:c r="A85" s="36" t="str">
        <x:v>ESI-08/CDHD</x:v>
      </x:c>
      <x:c r="B85" s="36" t="str">
        <x:v>CDHD</x:v>
      </x:c>
      <x:c r="C85" s="36" t="str">
        <x:v>ESI-08</x:v>
      </x:c>
      <x:c r="D85" s="36" t="str">
        <x:v>CDHD-01</x:v>
      </x:c>
      <x:c r="E85" s="22"/>
      <x:c r="F85" s="22"/>
      <x:c r="G85" s="37"/>
      <x:c r="H85" s="22"/>
      <x:c r="I85" s="22"/>
      <x:c r="J85" s="22"/>
      <x:c r="K85" s="22"/>
      <x:c r="L85" s="6" t="str">
        <x:f>IF(COUNTA(E85:K85)=0,"",IF(OR(H85="不适用",H85="阻塞",H85="资料确认（未实测）"),"非实测记录",IF(AND(E85&lt;&gt;"",ISNUMBER(G85),G85&gt;0,H85&lt;&gt;"",I85&lt;&gt;"",J85&lt;&gt;""),"记录齐全","待补记录")))</x:f>
      </x:c>
    </x:row>
    <x:row r="86" ht="48" customHeight="1">
      <x:c r="A86" s="36" t="str">
        <x:v>ESI-08/台达</x:v>
      </x:c>
      <x:c r="B86" s="36" t="str">
        <x:v>台达</x:v>
      </x:c>
      <x:c r="C86" s="36" t="str">
        <x:v>ESI-08</x:v>
      </x:c>
      <x:c r="D86" s="36" t="str">
        <x:v>台达-01</x:v>
      </x:c>
      <x:c r="E86" s="22"/>
      <x:c r="F86" s="22"/>
      <x:c r="G86" s="37"/>
      <x:c r="H86" s="22"/>
      <x:c r="I86" s="22"/>
      <x:c r="J86" s="22"/>
      <x:c r="K86" s="22"/>
      <x:c r="L86" s="6" t="str">
        <x:f>IF(COUNTA(E86:K86)=0,"",IF(OR(H86="不适用",H86="阻塞",H86="资料确认（未实测）"),"非实测记录",IF(AND(E86&lt;&gt;"",ISNUMBER(G86),G86&gt;0,H86&lt;&gt;"",I86&lt;&gt;"",J86&lt;&gt;""),"记录齐全","待补记录")))</x:f>
      </x:c>
    </x:row>
    <x:row r="87" ht="48" customHeight="1">
      <x:c r="A87" s="36" t="str">
        <x:v>ESI-08/繁易</x:v>
      </x:c>
      <x:c r="B87" s="36" t="str">
        <x:v>繁易</x:v>
      </x:c>
      <x:c r="C87" s="36" t="str">
        <x:v>ESI-08</x:v>
      </x:c>
      <x:c r="D87" s="36" t="str">
        <x:v>繁易-01</x:v>
      </x:c>
      <x:c r="E87" s="22"/>
      <x:c r="F87" s="22"/>
      <x:c r="G87" s="37"/>
      <x:c r="H87" s="22"/>
      <x:c r="I87" s="22"/>
      <x:c r="J87" s="22"/>
      <x:c r="K87" s="22"/>
      <x:c r="L87" s="6" t="str">
        <x:f>IF(COUNTA(E87:K87)=0,"",IF(OR(H87="不适用",H87="阻塞",H87="资料确认（未实测）"),"非实测记录",IF(AND(E87&lt;&gt;"",ISNUMBER(G87),G87&gt;0,H87&lt;&gt;"",I87&lt;&gt;"",J87&lt;&gt;""),"记录齐全","待补记录")))</x:f>
      </x:c>
    </x:row>
    <x:row r="88" ht="48" customHeight="1">
      <x:c r="A88" s="36" t="str">
        <x:v>ESI-08/Elmo</x:v>
      </x:c>
      <x:c r="B88" s="36" t="str">
        <x:v>Elmo</x:v>
      </x:c>
      <x:c r="C88" s="36" t="str">
        <x:v>ESI-08</x:v>
      </x:c>
      <x:c r="D88" s="36" t="str">
        <x:v>Elmo-01</x:v>
      </x:c>
      <x:c r="E88" s="22"/>
      <x:c r="F88" s="22"/>
      <x:c r="G88" s="37"/>
      <x:c r="H88" s="22"/>
      <x:c r="I88" s="22"/>
      <x:c r="J88" s="22"/>
      <x:c r="K88" s="22"/>
      <x:c r="L88" s="6" t="str">
        <x:f>IF(COUNTA(E88:K88)=0,"",IF(OR(H88="不适用",H88="阻塞",H88="资料确认（未实测）"),"非实测记录",IF(AND(E88&lt;&gt;"",ISNUMBER(G88),G88&gt;0,H88&lt;&gt;"",I88&lt;&gt;"",J88&lt;&gt;""),"记录齐全","待补记录")))</x:f>
      </x:c>
    </x:row>
    <x:row r="89" ht="48" customHeight="1">
      <x:c r="A89" s="36" t="str">
        <x:v>ESI-08/KEBA（可选）</x:v>
      </x:c>
      <x:c r="B89" s="36" t="str">
        <x:v>KEBA（可选）</x:v>
      </x:c>
      <x:c r="C89" s="36" t="str">
        <x:v>ESI-08</x:v>
      </x:c>
      <x:c r="D89" s="36" t="str">
        <x:v>KEBA-01</x:v>
      </x:c>
      <x:c r="E89" s="22"/>
      <x:c r="F89" s="22"/>
      <x:c r="G89" s="37"/>
      <x:c r="H89" s="22"/>
      <x:c r="I89" s="22"/>
      <x:c r="J89" s="22"/>
      <x:c r="K89" s="22"/>
      <x:c r="L89" s="6" t="str">
        <x:f>IF(COUNTA(E89:K89)=0,"",IF(OR(H89="不适用",H89="阻塞",H89="资料确认（未实测）"),"非实测记录",IF(AND(E89&lt;&gt;"",ISNUMBER(G89),G89&gt;0,H89&lt;&gt;"",I89&lt;&gt;"",J89&lt;&gt;""),"记录齐全","待补记录")))</x:f>
      </x:c>
    </x:row>
    <x:row r="90" ht="48" customHeight="1">
      <x:c r="A90" s="36" t="str">
        <x:v>COM-01/CDHD</x:v>
      </x:c>
      <x:c r="B90" s="36" t="str">
        <x:v>CDHD</x:v>
      </x:c>
      <x:c r="C90" s="36" t="str">
        <x:v>COM-01</x:v>
      </x:c>
      <x:c r="D90" s="36" t="str">
        <x:v>CDHD-01</x:v>
      </x:c>
      <x:c r="E90" s="22"/>
      <x:c r="F90" s="22"/>
      <x:c r="G90" s="37"/>
      <x:c r="H90" s="22"/>
      <x:c r="I90" s="22"/>
      <x:c r="J90" s="22"/>
      <x:c r="K90" s="22"/>
      <x:c r="L90" s="6" t="str">
        <x:f>IF(COUNTA(E90:K90)=0,"",IF(OR(H90="不适用",H90="阻塞",H90="资料确认（未实测）"),"非实测记录",IF(AND(E90&lt;&gt;"",ISNUMBER(G90),G90&gt;0,H90&lt;&gt;"",I90&lt;&gt;"",J90&lt;&gt;""),"记录齐全","待补记录")))</x:f>
      </x:c>
    </x:row>
    <x:row r="91" ht="48" customHeight="1">
      <x:c r="A91" s="36" t="str">
        <x:v>COM-01/台达</x:v>
      </x:c>
      <x:c r="B91" s="36" t="str">
        <x:v>台达</x:v>
      </x:c>
      <x:c r="C91" s="36" t="str">
        <x:v>COM-01</x:v>
      </x:c>
      <x:c r="D91" s="36" t="str">
        <x:v>台达-01</x:v>
      </x:c>
      <x:c r="E91" s="22"/>
      <x:c r="F91" s="22"/>
      <x:c r="G91" s="37"/>
      <x:c r="H91" s="22"/>
      <x:c r="I91" s="22"/>
      <x:c r="J91" s="22"/>
      <x:c r="K91" s="22"/>
      <x:c r="L91" s="6" t="str">
        <x:f>IF(COUNTA(E91:K91)=0,"",IF(OR(H91="不适用",H91="阻塞",H91="资料确认（未实测）"),"非实测记录",IF(AND(E91&lt;&gt;"",ISNUMBER(G91),G91&gt;0,H91&lt;&gt;"",I91&lt;&gt;"",J91&lt;&gt;""),"记录齐全","待补记录")))</x:f>
      </x:c>
    </x:row>
    <x:row r="92" ht="48" customHeight="1">
      <x:c r="A92" s="36" t="str">
        <x:v>COM-01/繁易</x:v>
      </x:c>
      <x:c r="B92" s="36" t="str">
        <x:v>繁易</x:v>
      </x:c>
      <x:c r="C92" s="36" t="str">
        <x:v>COM-01</x:v>
      </x:c>
      <x:c r="D92" s="36" t="str">
        <x:v>繁易-01</x:v>
      </x:c>
      <x:c r="E92" s="22"/>
      <x:c r="F92" s="22"/>
      <x:c r="G92" s="37"/>
      <x:c r="H92" s="22"/>
      <x:c r="I92" s="22"/>
      <x:c r="J92" s="22"/>
      <x:c r="K92" s="22"/>
      <x:c r="L92" s="6" t="str">
        <x:f>IF(COUNTA(E92:K92)=0,"",IF(OR(H92="不适用",H92="阻塞",H92="资料确认（未实测）"),"非实测记录",IF(AND(E92&lt;&gt;"",ISNUMBER(G92),G92&gt;0,H92&lt;&gt;"",I92&lt;&gt;"",J92&lt;&gt;""),"记录齐全","待补记录")))</x:f>
      </x:c>
    </x:row>
    <x:row r="93" ht="48" customHeight="1">
      <x:c r="A93" s="36" t="str">
        <x:v>COM-01/Elmo</x:v>
      </x:c>
      <x:c r="B93" s="36" t="str">
        <x:v>Elmo</x:v>
      </x:c>
      <x:c r="C93" s="36" t="str">
        <x:v>COM-01</x:v>
      </x:c>
      <x:c r="D93" s="36" t="str">
        <x:v>Elmo-01</x:v>
      </x:c>
      <x:c r="E93" s="22"/>
      <x:c r="F93" s="22"/>
      <x:c r="G93" s="37"/>
      <x:c r="H93" s="22"/>
      <x:c r="I93" s="22"/>
      <x:c r="J93" s="22"/>
      <x:c r="K93" s="22"/>
      <x:c r="L93" s="6" t="str">
        <x:f>IF(COUNTA(E93:K93)=0,"",IF(OR(H93="不适用",H93="阻塞",H93="资料确认（未实测）"),"非实测记录",IF(AND(E93&lt;&gt;"",ISNUMBER(G93),G93&gt;0,H93&lt;&gt;"",I93&lt;&gt;"",J93&lt;&gt;""),"记录齐全","待补记录")))</x:f>
      </x:c>
    </x:row>
    <x:row r="94" ht="48" customHeight="1">
      <x:c r="A94" s="36" t="str">
        <x:v>COM-01/KEBA（可选）</x:v>
      </x:c>
      <x:c r="B94" s="36" t="str">
        <x:v>KEBA（可选）</x:v>
      </x:c>
      <x:c r="C94" s="36" t="str">
        <x:v>COM-01</x:v>
      </x:c>
      <x:c r="D94" s="36" t="str">
        <x:v>KEBA-01</x:v>
      </x:c>
      <x:c r="E94" s="22"/>
      <x:c r="F94" s="22"/>
      <x:c r="G94" s="37"/>
      <x:c r="H94" s="22"/>
      <x:c r="I94" s="22"/>
      <x:c r="J94" s="22"/>
      <x:c r="K94" s="22"/>
      <x:c r="L94" s="6" t="str">
        <x:f>IF(COUNTA(E94:K94)=0,"",IF(OR(H94="不适用",H94="阻塞",H94="资料确认（未实测）"),"非实测记录",IF(AND(E94&lt;&gt;"",ISNUMBER(G94),G94&gt;0,H94&lt;&gt;"",I94&lt;&gt;"",J94&lt;&gt;""),"记录齐全","待补记录")))</x:f>
      </x:c>
    </x:row>
    <x:row r="95" ht="48" customHeight="1">
      <x:c r="A95" s="36" t="str">
        <x:v>COM-02/CDHD</x:v>
      </x:c>
      <x:c r="B95" s="36" t="str">
        <x:v>CDHD</x:v>
      </x:c>
      <x:c r="C95" s="36" t="str">
        <x:v>COM-02</x:v>
      </x:c>
      <x:c r="D95" s="36" t="str">
        <x:v>CDHD-01</x:v>
      </x:c>
      <x:c r="E95" s="22"/>
      <x:c r="F95" s="22"/>
      <x:c r="G95" s="37"/>
      <x:c r="H95" s="22"/>
      <x:c r="I95" s="22"/>
      <x:c r="J95" s="22"/>
      <x:c r="K95" s="22"/>
      <x:c r="L95" s="6" t="str">
        <x:f>IF(COUNTA(E95:K95)=0,"",IF(OR(H95="不适用",H95="阻塞",H95="资料确认（未实测）"),"非实测记录",IF(AND(E95&lt;&gt;"",ISNUMBER(G95),G95&gt;0,H95&lt;&gt;"",I95&lt;&gt;"",J95&lt;&gt;""),"记录齐全","待补记录")))</x:f>
      </x:c>
    </x:row>
    <x:row r="96" ht="48" customHeight="1">
      <x:c r="A96" s="36" t="str">
        <x:v>COM-02/台达</x:v>
      </x:c>
      <x:c r="B96" s="36" t="str">
        <x:v>台达</x:v>
      </x:c>
      <x:c r="C96" s="36" t="str">
        <x:v>COM-02</x:v>
      </x:c>
      <x:c r="D96" s="36" t="str">
        <x:v>台达-01</x:v>
      </x:c>
      <x:c r="E96" s="22"/>
      <x:c r="F96" s="22"/>
      <x:c r="G96" s="37"/>
      <x:c r="H96" s="22"/>
      <x:c r="I96" s="22"/>
      <x:c r="J96" s="22"/>
      <x:c r="K96" s="22"/>
      <x:c r="L96" s="6" t="str">
        <x:f>IF(COUNTA(E96:K96)=0,"",IF(OR(H96="不适用",H96="阻塞",H96="资料确认（未实测）"),"非实测记录",IF(AND(E96&lt;&gt;"",ISNUMBER(G96),G96&gt;0,H96&lt;&gt;"",I96&lt;&gt;"",J96&lt;&gt;""),"记录齐全","待补记录")))</x:f>
      </x:c>
    </x:row>
    <x:row r="97" ht="48" customHeight="1">
      <x:c r="A97" s="36" t="str">
        <x:v>COM-02/繁易</x:v>
      </x:c>
      <x:c r="B97" s="36" t="str">
        <x:v>繁易</x:v>
      </x:c>
      <x:c r="C97" s="36" t="str">
        <x:v>COM-02</x:v>
      </x:c>
      <x:c r="D97" s="36" t="str">
        <x:v>繁易-01</x:v>
      </x:c>
      <x:c r="E97" s="22"/>
      <x:c r="F97" s="22"/>
      <x:c r="G97" s="37"/>
      <x:c r="H97" s="22"/>
      <x:c r="I97" s="22"/>
      <x:c r="J97" s="22"/>
      <x:c r="K97" s="22"/>
      <x:c r="L97" s="6" t="str">
        <x:f>IF(COUNTA(E97:K97)=0,"",IF(OR(H97="不适用",H97="阻塞",H97="资料确认（未实测）"),"非实测记录",IF(AND(E97&lt;&gt;"",ISNUMBER(G97),G97&gt;0,H97&lt;&gt;"",I97&lt;&gt;"",J97&lt;&gt;""),"记录齐全","待补记录")))</x:f>
      </x:c>
    </x:row>
    <x:row r="98" ht="48" customHeight="1">
      <x:c r="A98" s="36" t="str">
        <x:v>COM-02/Elmo</x:v>
      </x:c>
      <x:c r="B98" s="36" t="str">
        <x:v>Elmo</x:v>
      </x:c>
      <x:c r="C98" s="36" t="str">
        <x:v>COM-02</x:v>
      </x:c>
      <x:c r="D98" s="36" t="str">
        <x:v>Elmo-01</x:v>
      </x:c>
      <x:c r="E98" s="22"/>
      <x:c r="F98" s="22"/>
      <x:c r="G98" s="37"/>
      <x:c r="H98" s="22"/>
      <x:c r="I98" s="22"/>
      <x:c r="J98" s="22"/>
      <x:c r="K98" s="22"/>
      <x:c r="L98" s="6" t="str">
        <x:f>IF(COUNTA(E98:K98)=0,"",IF(OR(H98="不适用",H98="阻塞",H98="资料确认（未实测）"),"非实测记录",IF(AND(E98&lt;&gt;"",ISNUMBER(G98),G98&gt;0,H98&lt;&gt;"",I98&lt;&gt;"",J98&lt;&gt;""),"记录齐全","待补记录")))</x:f>
      </x:c>
    </x:row>
    <x:row r="99" ht="48" customHeight="1">
      <x:c r="A99" s="36" t="str">
        <x:v>COM-02/KEBA（可选）</x:v>
      </x:c>
      <x:c r="B99" s="36" t="str">
        <x:v>KEBA（可选）</x:v>
      </x:c>
      <x:c r="C99" s="36" t="str">
        <x:v>COM-02</x:v>
      </x:c>
      <x:c r="D99" s="36" t="str">
        <x:v>KEBA-01</x:v>
      </x:c>
      <x:c r="E99" s="22"/>
      <x:c r="F99" s="22"/>
      <x:c r="G99" s="37"/>
      <x:c r="H99" s="22"/>
      <x:c r="I99" s="22"/>
      <x:c r="J99" s="22"/>
      <x:c r="K99" s="22"/>
      <x:c r="L99" s="6" t="str">
        <x:f>IF(COUNTA(E99:K99)=0,"",IF(OR(H99="不适用",H99="阻塞",H99="资料确认（未实测）"),"非实测记录",IF(AND(E99&lt;&gt;"",ISNUMBER(G99),G99&gt;0,H99&lt;&gt;"",I99&lt;&gt;"",J99&lt;&gt;""),"记录齐全","待补记录")))</x:f>
      </x:c>
    </x:row>
    <x:row r="100" ht="48" customHeight="1">
      <x:c r="A100" s="36" t="str">
        <x:v>COM-03/CDHD</x:v>
      </x:c>
      <x:c r="B100" s="36" t="str">
        <x:v>CDHD</x:v>
      </x:c>
      <x:c r="C100" s="36" t="str">
        <x:v>COM-03</x:v>
      </x:c>
      <x:c r="D100" s="36" t="str">
        <x:v>CDHD-01</x:v>
      </x:c>
      <x:c r="E100" s="22"/>
      <x:c r="F100" s="22"/>
      <x:c r="G100" s="37"/>
      <x:c r="H100" s="22"/>
      <x:c r="I100" s="22"/>
      <x:c r="J100" s="22"/>
      <x:c r="K100" s="22"/>
      <x:c r="L100" s="6" t="str">
        <x:f>IF(COUNTA(E100:K100)=0,"",IF(OR(H100="不适用",H100="阻塞",H100="资料确认（未实测）"),"非实测记录",IF(AND(E100&lt;&gt;"",ISNUMBER(G100),G100&gt;0,H100&lt;&gt;"",I100&lt;&gt;"",J100&lt;&gt;""),"记录齐全","待补记录")))</x:f>
      </x:c>
    </x:row>
    <x:row r="101" ht="48" customHeight="1">
      <x:c r="A101" s="36" t="str">
        <x:v>COM-03/台达</x:v>
      </x:c>
      <x:c r="B101" s="36" t="str">
        <x:v>台达</x:v>
      </x:c>
      <x:c r="C101" s="36" t="str">
        <x:v>COM-03</x:v>
      </x:c>
      <x:c r="D101" s="36" t="str">
        <x:v>台达-01</x:v>
      </x:c>
      <x:c r="E101" s="22"/>
      <x:c r="F101" s="22"/>
      <x:c r="G101" s="37"/>
      <x:c r="H101" s="22"/>
      <x:c r="I101" s="22"/>
      <x:c r="J101" s="22"/>
      <x:c r="K101" s="22"/>
      <x:c r="L101" s="6" t="str">
        <x:f>IF(COUNTA(E101:K101)=0,"",IF(OR(H101="不适用",H101="阻塞",H101="资料确认（未实测）"),"非实测记录",IF(AND(E101&lt;&gt;"",ISNUMBER(G101),G101&gt;0,H101&lt;&gt;"",I101&lt;&gt;"",J101&lt;&gt;""),"记录齐全","待补记录")))</x:f>
      </x:c>
    </x:row>
    <x:row r="102" ht="48" customHeight="1">
      <x:c r="A102" s="36" t="str">
        <x:v>COM-03/繁易</x:v>
      </x:c>
      <x:c r="B102" s="36" t="str">
        <x:v>繁易</x:v>
      </x:c>
      <x:c r="C102" s="36" t="str">
        <x:v>COM-03</x:v>
      </x:c>
      <x:c r="D102" s="36" t="str">
        <x:v>繁易-01</x:v>
      </x:c>
      <x:c r="E102" s="22"/>
      <x:c r="F102" s="22"/>
      <x:c r="G102" s="37"/>
      <x:c r="H102" s="22"/>
      <x:c r="I102" s="22"/>
      <x:c r="J102" s="22"/>
      <x:c r="K102" s="22"/>
      <x:c r="L102" s="6" t="str">
        <x:f>IF(COUNTA(E102:K102)=0,"",IF(OR(H102="不适用",H102="阻塞",H102="资料确认（未实测）"),"非实测记录",IF(AND(E102&lt;&gt;"",ISNUMBER(G102),G102&gt;0,H102&lt;&gt;"",I102&lt;&gt;"",J102&lt;&gt;""),"记录齐全","待补记录")))</x:f>
      </x:c>
    </x:row>
    <x:row r="103" ht="48" customHeight="1">
      <x:c r="A103" s="36" t="str">
        <x:v>COM-03/Elmo</x:v>
      </x:c>
      <x:c r="B103" s="36" t="str">
        <x:v>Elmo</x:v>
      </x:c>
      <x:c r="C103" s="36" t="str">
        <x:v>COM-03</x:v>
      </x:c>
      <x:c r="D103" s="36" t="str">
        <x:v>Elmo-01</x:v>
      </x:c>
      <x:c r="E103" s="22"/>
      <x:c r="F103" s="22"/>
      <x:c r="G103" s="37"/>
      <x:c r="H103" s="22"/>
      <x:c r="I103" s="22"/>
      <x:c r="J103" s="22"/>
      <x:c r="K103" s="22"/>
      <x:c r="L103" s="6" t="str">
        <x:f>IF(COUNTA(E103:K103)=0,"",IF(OR(H103="不适用",H103="阻塞",H103="资料确认（未实测）"),"非实测记录",IF(AND(E103&lt;&gt;"",ISNUMBER(G103),G103&gt;0,H103&lt;&gt;"",I103&lt;&gt;"",J103&lt;&gt;""),"记录齐全","待补记录")))</x:f>
      </x:c>
    </x:row>
    <x:row r="104" ht="48" customHeight="1">
      <x:c r="A104" s="36" t="str">
        <x:v>COM-03/KEBA（可选）</x:v>
      </x:c>
      <x:c r="B104" s="36" t="str">
        <x:v>KEBA（可选）</x:v>
      </x:c>
      <x:c r="C104" s="36" t="str">
        <x:v>COM-03</x:v>
      </x:c>
      <x:c r="D104" s="36" t="str">
        <x:v>KEBA-01</x:v>
      </x:c>
      <x:c r="E104" s="22"/>
      <x:c r="F104" s="22"/>
      <x:c r="G104" s="37"/>
      <x:c r="H104" s="22"/>
      <x:c r="I104" s="22"/>
      <x:c r="J104" s="22"/>
      <x:c r="K104" s="22"/>
      <x:c r="L104" s="6" t="str">
        <x:f>IF(COUNTA(E104:K104)=0,"",IF(OR(H104="不适用",H104="阻塞",H104="资料确认（未实测）"),"非实测记录",IF(AND(E104&lt;&gt;"",ISNUMBER(G104),G104&gt;0,H104&lt;&gt;"",I104&lt;&gt;"",J104&lt;&gt;""),"记录齐全","待补记录")))</x:f>
      </x:c>
    </x:row>
    <x:row r="105" ht="48" customHeight="1">
      <x:c r="A105" s="36" t="str">
        <x:v>COM-04/CDHD</x:v>
      </x:c>
      <x:c r="B105" s="36" t="str">
        <x:v>CDHD</x:v>
      </x:c>
      <x:c r="C105" s="36" t="str">
        <x:v>COM-04</x:v>
      </x:c>
      <x:c r="D105" s="36" t="str">
        <x:v>CDHD-01</x:v>
      </x:c>
      <x:c r="E105" s="22"/>
      <x:c r="F105" s="22"/>
      <x:c r="G105" s="37"/>
      <x:c r="H105" s="22"/>
      <x:c r="I105" s="22"/>
      <x:c r="J105" s="22"/>
      <x:c r="K105" s="22"/>
      <x:c r="L105" s="6" t="str">
        <x:f>IF(COUNTA(E105:K105)=0,"",IF(OR(H105="不适用",H105="阻塞",H105="资料确认（未实测）"),"非实测记录",IF(AND(E105&lt;&gt;"",ISNUMBER(G105),G105&gt;0,H105&lt;&gt;"",I105&lt;&gt;"",J105&lt;&gt;""),"记录齐全","待补记录")))</x:f>
      </x:c>
    </x:row>
    <x:row r="106" ht="48" customHeight="1">
      <x:c r="A106" s="36" t="str">
        <x:v>COM-04/台达</x:v>
      </x:c>
      <x:c r="B106" s="36" t="str">
        <x:v>台达</x:v>
      </x:c>
      <x:c r="C106" s="36" t="str">
        <x:v>COM-04</x:v>
      </x:c>
      <x:c r="D106" s="36" t="str">
        <x:v>台达-01</x:v>
      </x:c>
      <x:c r="E106" s="22"/>
      <x:c r="F106" s="22"/>
      <x:c r="G106" s="37"/>
      <x:c r="H106" s="22"/>
      <x:c r="I106" s="22"/>
      <x:c r="J106" s="22"/>
      <x:c r="K106" s="22"/>
      <x:c r="L106" s="6" t="str">
        <x:f>IF(COUNTA(E106:K106)=0,"",IF(OR(H106="不适用",H106="阻塞",H106="资料确认（未实测）"),"非实测记录",IF(AND(E106&lt;&gt;"",ISNUMBER(G106),G106&gt;0,H106&lt;&gt;"",I106&lt;&gt;"",J106&lt;&gt;""),"记录齐全","待补记录")))</x:f>
      </x:c>
    </x:row>
    <x:row r="107" ht="48" customHeight="1">
      <x:c r="A107" s="36" t="str">
        <x:v>COM-04/繁易</x:v>
      </x:c>
      <x:c r="B107" s="36" t="str">
        <x:v>繁易</x:v>
      </x:c>
      <x:c r="C107" s="36" t="str">
        <x:v>COM-04</x:v>
      </x:c>
      <x:c r="D107" s="36" t="str">
        <x:v>繁易-01</x:v>
      </x:c>
      <x:c r="E107" s="22"/>
      <x:c r="F107" s="22"/>
      <x:c r="G107" s="37"/>
      <x:c r="H107" s="22"/>
      <x:c r="I107" s="22"/>
      <x:c r="J107" s="22"/>
      <x:c r="K107" s="22"/>
      <x:c r="L107" s="6" t="str">
        <x:f>IF(COUNTA(E107:K107)=0,"",IF(OR(H107="不适用",H107="阻塞",H107="资料确认（未实测）"),"非实测记录",IF(AND(E107&lt;&gt;"",ISNUMBER(G107),G107&gt;0,H107&lt;&gt;"",I107&lt;&gt;"",J107&lt;&gt;""),"记录齐全","待补记录")))</x:f>
      </x:c>
    </x:row>
    <x:row r="108" ht="48" customHeight="1">
      <x:c r="A108" s="36" t="str">
        <x:v>COM-04/Elmo</x:v>
      </x:c>
      <x:c r="B108" s="36" t="str">
        <x:v>Elmo</x:v>
      </x:c>
      <x:c r="C108" s="36" t="str">
        <x:v>COM-04</x:v>
      </x:c>
      <x:c r="D108" s="36" t="str">
        <x:v>Elmo-01</x:v>
      </x:c>
      <x:c r="E108" s="22"/>
      <x:c r="F108" s="22"/>
      <x:c r="G108" s="37"/>
      <x:c r="H108" s="22"/>
      <x:c r="I108" s="22"/>
      <x:c r="J108" s="22"/>
      <x:c r="K108" s="22"/>
      <x:c r="L108" s="6" t="str">
        <x:f>IF(COUNTA(E108:K108)=0,"",IF(OR(H108="不适用",H108="阻塞",H108="资料确认（未实测）"),"非实测记录",IF(AND(E108&lt;&gt;"",ISNUMBER(G108),G108&gt;0,H108&lt;&gt;"",I108&lt;&gt;"",J108&lt;&gt;""),"记录齐全","待补记录")))</x:f>
      </x:c>
    </x:row>
    <x:row r="109" ht="48" customHeight="1">
      <x:c r="A109" s="36" t="str">
        <x:v>COM-04/KEBA（可选）</x:v>
      </x:c>
      <x:c r="B109" s="36" t="str">
        <x:v>KEBA（可选）</x:v>
      </x:c>
      <x:c r="C109" s="36" t="str">
        <x:v>COM-04</x:v>
      </x:c>
      <x:c r="D109" s="36" t="str">
        <x:v>KEBA-01</x:v>
      </x:c>
      <x:c r="E109" s="22"/>
      <x:c r="F109" s="22"/>
      <x:c r="G109" s="37"/>
      <x:c r="H109" s="22"/>
      <x:c r="I109" s="22"/>
      <x:c r="J109" s="22"/>
      <x:c r="K109" s="22"/>
      <x:c r="L109" s="6" t="str">
        <x:f>IF(COUNTA(E109:K109)=0,"",IF(OR(H109="不适用",H109="阻塞",H109="资料确认（未实测）"),"非实测记录",IF(AND(E109&lt;&gt;"",ISNUMBER(G109),G109&gt;0,H109&lt;&gt;"",I109&lt;&gt;"",J109&lt;&gt;""),"记录齐全","待补记录")))</x:f>
      </x:c>
    </x:row>
    <x:row r="110" ht="48" customHeight="1">
      <x:c r="A110" s="36" t="str">
        <x:v>COM-05/CDHD</x:v>
      </x:c>
      <x:c r="B110" s="36" t="str">
        <x:v>CDHD</x:v>
      </x:c>
      <x:c r="C110" s="36" t="str">
        <x:v>COM-05</x:v>
      </x:c>
      <x:c r="D110" s="36" t="str">
        <x:v>CDHD-01</x:v>
      </x:c>
      <x:c r="E110" s="22"/>
      <x:c r="F110" s="22"/>
      <x:c r="G110" s="37"/>
      <x:c r="H110" s="22"/>
      <x:c r="I110" s="22"/>
      <x:c r="J110" s="22"/>
      <x:c r="K110" s="22"/>
      <x:c r="L110" s="6" t="str">
        <x:f>IF(COUNTA(E110:K110)=0,"",IF(OR(H110="不适用",H110="阻塞",H110="资料确认（未实测）"),"非实测记录",IF(AND(E110&lt;&gt;"",ISNUMBER(G110),G110&gt;0,H110&lt;&gt;"",I110&lt;&gt;"",J110&lt;&gt;""),"记录齐全","待补记录")))</x:f>
      </x:c>
    </x:row>
    <x:row r="111" ht="48" customHeight="1">
      <x:c r="A111" s="36" t="str">
        <x:v>COM-05/台达</x:v>
      </x:c>
      <x:c r="B111" s="36" t="str">
        <x:v>台达</x:v>
      </x:c>
      <x:c r="C111" s="36" t="str">
        <x:v>COM-05</x:v>
      </x:c>
      <x:c r="D111" s="36" t="str">
        <x:v>台达-01</x:v>
      </x:c>
      <x:c r="E111" s="22"/>
      <x:c r="F111" s="22"/>
      <x:c r="G111" s="37"/>
      <x:c r="H111" s="22"/>
      <x:c r="I111" s="22"/>
      <x:c r="J111" s="22"/>
      <x:c r="K111" s="22"/>
      <x:c r="L111" s="6" t="str">
        <x:f>IF(COUNTA(E111:K111)=0,"",IF(OR(H111="不适用",H111="阻塞",H111="资料确认（未实测）"),"非实测记录",IF(AND(E111&lt;&gt;"",ISNUMBER(G111),G111&gt;0,H111&lt;&gt;"",I111&lt;&gt;"",J111&lt;&gt;""),"记录齐全","待补记录")))</x:f>
      </x:c>
    </x:row>
    <x:row r="112" ht="48" customHeight="1">
      <x:c r="A112" s="36" t="str">
        <x:v>COM-05/繁易</x:v>
      </x:c>
      <x:c r="B112" s="36" t="str">
        <x:v>繁易</x:v>
      </x:c>
      <x:c r="C112" s="36" t="str">
        <x:v>COM-05</x:v>
      </x:c>
      <x:c r="D112" s="36" t="str">
        <x:v>繁易-01</x:v>
      </x:c>
      <x:c r="E112" s="22"/>
      <x:c r="F112" s="22"/>
      <x:c r="G112" s="37"/>
      <x:c r="H112" s="22"/>
      <x:c r="I112" s="22"/>
      <x:c r="J112" s="22"/>
      <x:c r="K112" s="22"/>
      <x:c r="L112" s="6" t="str">
        <x:f>IF(COUNTA(E112:K112)=0,"",IF(OR(H112="不适用",H112="阻塞",H112="资料确认（未实测）"),"非实测记录",IF(AND(E112&lt;&gt;"",ISNUMBER(G112),G112&gt;0,H112&lt;&gt;"",I112&lt;&gt;"",J112&lt;&gt;""),"记录齐全","待补记录")))</x:f>
      </x:c>
    </x:row>
    <x:row r="113" ht="48" customHeight="1">
      <x:c r="A113" s="36" t="str">
        <x:v>COM-05/Elmo</x:v>
      </x:c>
      <x:c r="B113" s="36" t="str">
        <x:v>Elmo</x:v>
      </x:c>
      <x:c r="C113" s="36" t="str">
        <x:v>COM-05</x:v>
      </x:c>
      <x:c r="D113" s="36" t="str">
        <x:v>Elmo-01</x:v>
      </x:c>
      <x:c r="E113" s="22"/>
      <x:c r="F113" s="22"/>
      <x:c r="G113" s="37"/>
      <x:c r="H113" s="22"/>
      <x:c r="I113" s="22"/>
      <x:c r="J113" s="22"/>
      <x:c r="K113" s="22"/>
      <x:c r="L113" s="6" t="str">
        <x:f>IF(COUNTA(E113:K113)=0,"",IF(OR(H113="不适用",H113="阻塞",H113="资料确认（未实测）"),"非实测记录",IF(AND(E113&lt;&gt;"",ISNUMBER(G113),G113&gt;0,H113&lt;&gt;"",I113&lt;&gt;"",J113&lt;&gt;""),"记录齐全","待补记录")))</x:f>
      </x:c>
    </x:row>
    <x:row r="114" ht="48" customHeight="1">
      <x:c r="A114" s="36" t="str">
        <x:v>COM-05/KEBA（可选）</x:v>
      </x:c>
      <x:c r="B114" s="36" t="str">
        <x:v>KEBA（可选）</x:v>
      </x:c>
      <x:c r="C114" s="36" t="str">
        <x:v>COM-05</x:v>
      </x:c>
      <x:c r="D114" s="36" t="str">
        <x:v>KEBA-01</x:v>
      </x:c>
      <x:c r="E114" s="22"/>
      <x:c r="F114" s="22"/>
      <x:c r="G114" s="37"/>
      <x:c r="H114" s="22"/>
      <x:c r="I114" s="22"/>
      <x:c r="J114" s="22"/>
      <x:c r="K114" s="22"/>
      <x:c r="L114" s="6" t="str">
        <x:f>IF(COUNTA(E114:K114)=0,"",IF(OR(H114="不适用",H114="阻塞",H114="资料确认（未实测）"),"非实测记录",IF(AND(E114&lt;&gt;"",ISNUMBER(G114),G114&gt;0,H114&lt;&gt;"",I114&lt;&gt;"",J114&lt;&gt;""),"记录齐全","待补记录")))</x:f>
      </x:c>
    </x:row>
    <x:row r="115" ht="48" customHeight="1">
      <x:c r="A115" s="36" t="str">
        <x:v>COM-06/CDHD</x:v>
      </x:c>
      <x:c r="B115" s="36" t="str">
        <x:v>CDHD</x:v>
      </x:c>
      <x:c r="C115" s="36" t="str">
        <x:v>COM-06</x:v>
      </x:c>
      <x:c r="D115" s="36" t="str">
        <x:v>CDHD-01</x:v>
      </x:c>
      <x:c r="E115" s="22"/>
      <x:c r="F115" s="22"/>
      <x:c r="G115" s="37"/>
      <x:c r="H115" s="22"/>
      <x:c r="I115" s="22"/>
      <x:c r="J115" s="22"/>
      <x:c r="K115" s="22"/>
      <x:c r="L115" s="6" t="str">
        <x:f>IF(COUNTA(E115:K115)=0,"",IF(OR(H115="不适用",H115="阻塞",H115="资料确认（未实测）"),"非实测记录",IF(AND(E115&lt;&gt;"",ISNUMBER(G115),G115&gt;0,H115&lt;&gt;"",I115&lt;&gt;"",J115&lt;&gt;""),"记录齐全","待补记录")))</x:f>
      </x:c>
    </x:row>
    <x:row r="116" ht="48" customHeight="1">
      <x:c r="A116" s="36" t="str">
        <x:v>COM-06/台达</x:v>
      </x:c>
      <x:c r="B116" s="36" t="str">
        <x:v>台达</x:v>
      </x:c>
      <x:c r="C116" s="36" t="str">
        <x:v>COM-06</x:v>
      </x:c>
      <x:c r="D116" s="36" t="str">
        <x:v>台达-01</x:v>
      </x:c>
      <x:c r="E116" s="22"/>
      <x:c r="F116" s="22"/>
      <x:c r="G116" s="37"/>
      <x:c r="H116" s="22"/>
      <x:c r="I116" s="22"/>
      <x:c r="J116" s="22"/>
      <x:c r="K116" s="22"/>
      <x:c r="L116" s="6" t="str">
        <x:f>IF(COUNTA(E116:K116)=0,"",IF(OR(H116="不适用",H116="阻塞",H116="资料确认（未实测）"),"非实测记录",IF(AND(E116&lt;&gt;"",ISNUMBER(G116),G116&gt;0,H116&lt;&gt;"",I116&lt;&gt;"",J116&lt;&gt;""),"记录齐全","待补记录")))</x:f>
      </x:c>
    </x:row>
    <x:row r="117" ht="48" customHeight="1">
      <x:c r="A117" s="36" t="str">
        <x:v>COM-06/繁易</x:v>
      </x:c>
      <x:c r="B117" s="36" t="str">
        <x:v>繁易</x:v>
      </x:c>
      <x:c r="C117" s="36" t="str">
        <x:v>COM-06</x:v>
      </x:c>
      <x:c r="D117" s="36" t="str">
        <x:v>繁易-01</x:v>
      </x:c>
      <x:c r="E117" s="22"/>
      <x:c r="F117" s="22"/>
      <x:c r="G117" s="37"/>
      <x:c r="H117" s="22"/>
      <x:c r="I117" s="22"/>
      <x:c r="J117" s="22"/>
      <x:c r="K117" s="22"/>
      <x:c r="L117" s="6" t="str">
        <x:f>IF(COUNTA(E117:K117)=0,"",IF(OR(H117="不适用",H117="阻塞",H117="资料确认（未实测）"),"非实测记录",IF(AND(E117&lt;&gt;"",ISNUMBER(G117),G117&gt;0,H117&lt;&gt;"",I117&lt;&gt;"",J117&lt;&gt;""),"记录齐全","待补记录")))</x:f>
      </x:c>
    </x:row>
    <x:row r="118" ht="48" customHeight="1">
      <x:c r="A118" s="36" t="str">
        <x:v>COM-06/Elmo</x:v>
      </x:c>
      <x:c r="B118" s="36" t="str">
        <x:v>Elmo</x:v>
      </x:c>
      <x:c r="C118" s="36" t="str">
        <x:v>COM-06</x:v>
      </x:c>
      <x:c r="D118" s="36" t="str">
        <x:v>Elmo-01</x:v>
      </x:c>
      <x:c r="E118" s="22"/>
      <x:c r="F118" s="22"/>
      <x:c r="G118" s="37"/>
      <x:c r="H118" s="22"/>
      <x:c r="I118" s="22"/>
      <x:c r="J118" s="22"/>
      <x:c r="K118" s="22"/>
      <x:c r="L118" s="6" t="str">
        <x:f>IF(COUNTA(E118:K118)=0,"",IF(OR(H118="不适用",H118="阻塞",H118="资料确认（未实测）"),"非实测记录",IF(AND(E118&lt;&gt;"",ISNUMBER(G118),G118&gt;0,H118&lt;&gt;"",I118&lt;&gt;"",J118&lt;&gt;""),"记录齐全","待补记录")))</x:f>
      </x:c>
    </x:row>
    <x:row r="119" ht="48" customHeight="1">
      <x:c r="A119" s="36" t="str">
        <x:v>COM-06/KEBA（可选）</x:v>
      </x:c>
      <x:c r="B119" s="36" t="str">
        <x:v>KEBA（可选）</x:v>
      </x:c>
      <x:c r="C119" s="36" t="str">
        <x:v>COM-06</x:v>
      </x:c>
      <x:c r="D119" s="36" t="str">
        <x:v>KEBA-01</x:v>
      </x:c>
      <x:c r="E119" s="22"/>
      <x:c r="F119" s="22"/>
      <x:c r="G119" s="37"/>
      <x:c r="H119" s="22"/>
      <x:c r="I119" s="22"/>
      <x:c r="J119" s="22"/>
      <x:c r="K119" s="22"/>
      <x:c r="L119" s="6" t="str">
        <x:f>IF(COUNTA(E119:K119)=0,"",IF(OR(H119="不适用",H119="阻塞",H119="资料确认（未实测）"),"非实测记录",IF(AND(E119&lt;&gt;"",ISNUMBER(G119),G119&gt;0,H119&lt;&gt;"",I119&lt;&gt;"",J119&lt;&gt;""),"记录齐全","待补记录")))</x:f>
      </x:c>
    </x:row>
    <x:row r="120" ht="48" customHeight="1">
      <x:c r="A120" s="36" t="str">
        <x:v>COM-07/CDHD</x:v>
      </x:c>
      <x:c r="B120" s="36" t="str">
        <x:v>CDHD</x:v>
      </x:c>
      <x:c r="C120" s="36" t="str">
        <x:v>COM-07</x:v>
      </x:c>
      <x:c r="D120" s="36" t="str">
        <x:v>CDHD-01</x:v>
      </x:c>
      <x:c r="E120" s="22"/>
      <x:c r="F120" s="22"/>
      <x:c r="G120" s="37"/>
      <x:c r="H120" s="22"/>
      <x:c r="I120" s="22"/>
      <x:c r="J120" s="22"/>
      <x:c r="K120" s="22"/>
      <x:c r="L120" s="6" t="str">
        <x:f>IF(COUNTA(E120:K120)=0,"",IF(OR(H120="不适用",H120="阻塞",H120="资料确认（未实测）"),"非实测记录",IF(AND(E120&lt;&gt;"",ISNUMBER(G120),G120&gt;0,H120&lt;&gt;"",I120&lt;&gt;"",J120&lt;&gt;""),"记录齐全","待补记录")))</x:f>
      </x:c>
    </x:row>
    <x:row r="121" ht="48" customHeight="1">
      <x:c r="A121" s="36" t="str">
        <x:v>COM-07/台达</x:v>
      </x:c>
      <x:c r="B121" s="36" t="str">
        <x:v>台达</x:v>
      </x:c>
      <x:c r="C121" s="36" t="str">
        <x:v>COM-07</x:v>
      </x:c>
      <x:c r="D121" s="36" t="str">
        <x:v>台达-01</x:v>
      </x:c>
      <x:c r="E121" s="22"/>
      <x:c r="F121" s="22"/>
      <x:c r="G121" s="37"/>
      <x:c r="H121" s="22"/>
      <x:c r="I121" s="22"/>
      <x:c r="J121" s="22"/>
      <x:c r="K121" s="22"/>
      <x:c r="L121" s="6" t="str">
        <x:f>IF(COUNTA(E121:K121)=0,"",IF(OR(H121="不适用",H121="阻塞",H121="资料确认（未实测）"),"非实测记录",IF(AND(E121&lt;&gt;"",ISNUMBER(G121),G121&gt;0,H121&lt;&gt;"",I121&lt;&gt;"",J121&lt;&gt;""),"记录齐全","待补记录")))</x:f>
      </x:c>
    </x:row>
    <x:row r="122" ht="48" customHeight="1">
      <x:c r="A122" s="36" t="str">
        <x:v>COM-07/繁易</x:v>
      </x:c>
      <x:c r="B122" s="36" t="str">
        <x:v>繁易</x:v>
      </x:c>
      <x:c r="C122" s="36" t="str">
        <x:v>COM-07</x:v>
      </x:c>
      <x:c r="D122" s="36" t="str">
        <x:v>繁易-01</x:v>
      </x:c>
      <x:c r="E122" s="22"/>
      <x:c r="F122" s="22"/>
      <x:c r="G122" s="37"/>
      <x:c r="H122" s="22"/>
      <x:c r="I122" s="22"/>
      <x:c r="J122" s="22"/>
      <x:c r="K122" s="22"/>
      <x:c r="L122" s="6" t="str">
        <x:f>IF(COUNTA(E122:K122)=0,"",IF(OR(H122="不适用",H122="阻塞",H122="资料确认（未实测）"),"非实测记录",IF(AND(E122&lt;&gt;"",ISNUMBER(G122),G122&gt;0,H122&lt;&gt;"",I122&lt;&gt;"",J122&lt;&gt;""),"记录齐全","待补记录")))</x:f>
      </x:c>
    </x:row>
    <x:row r="123" ht="48" customHeight="1">
      <x:c r="A123" s="36" t="str">
        <x:v>COM-07/Elmo</x:v>
      </x:c>
      <x:c r="B123" s="36" t="str">
        <x:v>Elmo</x:v>
      </x:c>
      <x:c r="C123" s="36" t="str">
        <x:v>COM-07</x:v>
      </x:c>
      <x:c r="D123" s="36" t="str">
        <x:v>Elmo-01</x:v>
      </x:c>
      <x:c r="E123" s="22"/>
      <x:c r="F123" s="22"/>
      <x:c r="G123" s="37"/>
      <x:c r="H123" s="22"/>
      <x:c r="I123" s="22"/>
      <x:c r="J123" s="22"/>
      <x:c r="K123" s="22"/>
      <x:c r="L123" s="6" t="str">
        <x:f>IF(COUNTA(E123:K123)=0,"",IF(OR(H123="不适用",H123="阻塞",H123="资料确认（未实测）"),"非实测记录",IF(AND(E123&lt;&gt;"",ISNUMBER(G123),G123&gt;0,H123&lt;&gt;"",I123&lt;&gt;"",J123&lt;&gt;""),"记录齐全","待补记录")))</x:f>
      </x:c>
    </x:row>
    <x:row r="124" ht="48" customHeight="1">
      <x:c r="A124" s="36" t="str">
        <x:v>COM-07/KEBA（可选）</x:v>
      </x:c>
      <x:c r="B124" s="36" t="str">
        <x:v>KEBA（可选）</x:v>
      </x:c>
      <x:c r="C124" s="36" t="str">
        <x:v>COM-07</x:v>
      </x:c>
      <x:c r="D124" s="36" t="str">
        <x:v>KEBA-01</x:v>
      </x:c>
      <x:c r="E124" s="22"/>
      <x:c r="F124" s="22"/>
      <x:c r="G124" s="37"/>
      <x:c r="H124" s="22"/>
      <x:c r="I124" s="22"/>
      <x:c r="J124" s="22"/>
      <x:c r="K124" s="22"/>
      <x:c r="L124" s="6" t="str">
        <x:f>IF(COUNTA(E124:K124)=0,"",IF(OR(H124="不适用",H124="阻塞",H124="资料确认（未实测）"),"非实测记录",IF(AND(E124&lt;&gt;"",ISNUMBER(G124),G124&gt;0,H124&lt;&gt;"",I124&lt;&gt;"",J124&lt;&gt;""),"记录齐全","待补记录")))</x:f>
      </x:c>
    </x:row>
    <x:row r="125" ht="48" customHeight="1">
      <x:c r="A125" s="36" t="str">
        <x:v>COM-08/CDHD</x:v>
      </x:c>
      <x:c r="B125" s="36" t="str">
        <x:v>CDHD</x:v>
      </x:c>
      <x:c r="C125" s="36" t="str">
        <x:v>COM-08</x:v>
      </x:c>
      <x:c r="D125" s="36" t="str">
        <x:v>CDHD-01</x:v>
      </x:c>
      <x:c r="E125" s="22"/>
      <x:c r="F125" s="22"/>
      <x:c r="G125" s="37"/>
      <x:c r="H125" s="22"/>
      <x:c r="I125" s="22"/>
      <x:c r="J125" s="22"/>
      <x:c r="K125" s="22"/>
      <x:c r="L125" s="6" t="str">
        <x:f>IF(COUNTA(E125:K125)=0,"",IF(OR(H125="不适用",H125="阻塞",H125="资料确认（未实测）"),"非实测记录",IF(AND(E125&lt;&gt;"",ISNUMBER(G125),G125&gt;0,H125&lt;&gt;"",I125&lt;&gt;"",J125&lt;&gt;""),"记录齐全","待补记录")))</x:f>
      </x:c>
    </x:row>
    <x:row r="126" ht="48" customHeight="1">
      <x:c r="A126" s="36" t="str">
        <x:v>COM-08/台达</x:v>
      </x:c>
      <x:c r="B126" s="36" t="str">
        <x:v>台达</x:v>
      </x:c>
      <x:c r="C126" s="36" t="str">
        <x:v>COM-08</x:v>
      </x:c>
      <x:c r="D126" s="36" t="str">
        <x:v>台达-01</x:v>
      </x:c>
      <x:c r="E126" s="22"/>
      <x:c r="F126" s="22"/>
      <x:c r="G126" s="37"/>
      <x:c r="H126" s="22"/>
      <x:c r="I126" s="22"/>
      <x:c r="J126" s="22"/>
      <x:c r="K126" s="22"/>
      <x:c r="L126" s="6" t="str">
        <x:f>IF(COUNTA(E126:K126)=0,"",IF(OR(H126="不适用",H126="阻塞",H126="资料确认（未实测）"),"非实测记录",IF(AND(E126&lt;&gt;"",ISNUMBER(G126),G126&gt;0,H126&lt;&gt;"",I126&lt;&gt;"",J126&lt;&gt;""),"记录齐全","待补记录")))</x:f>
      </x:c>
    </x:row>
    <x:row r="127" ht="48" customHeight="1">
      <x:c r="A127" s="36" t="str">
        <x:v>COM-08/繁易</x:v>
      </x:c>
      <x:c r="B127" s="36" t="str">
        <x:v>繁易</x:v>
      </x:c>
      <x:c r="C127" s="36" t="str">
        <x:v>COM-08</x:v>
      </x:c>
      <x:c r="D127" s="36" t="str">
        <x:v>繁易-01</x:v>
      </x:c>
      <x:c r="E127" s="22"/>
      <x:c r="F127" s="22"/>
      <x:c r="G127" s="37"/>
      <x:c r="H127" s="22"/>
      <x:c r="I127" s="22"/>
      <x:c r="J127" s="22"/>
      <x:c r="K127" s="22"/>
      <x:c r="L127" s="6" t="str">
        <x:f>IF(COUNTA(E127:K127)=0,"",IF(OR(H127="不适用",H127="阻塞",H127="资料确认（未实测）"),"非实测记录",IF(AND(E127&lt;&gt;"",ISNUMBER(G127),G127&gt;0,H127&lt;&gt;"",I127&lt;&gt;"",J127&lt;&gt;""),"记录齐全","待补记录")))</x:f>
      </x:c>
    </x:row>
    <x:row r="128" ht="48" customHeight="1">
      <x:c r="A128" s="36" t="str">
        <x:v>COM-08/Elmo</x:v>
      </x:c>
      <x:c r="B128" s="36" t="str">
        <x:v>Elmo</x:v>
      </x:c>
      <x:c r="C128" s="36" t="str">
        <x:v>COM-08</x:v>
      </x:c>
      <x:c r="D128" s="36" t="str">
        <x:v>Elmo-01</x:v>
      </x:c>
      <x:c r="E128" s="22"/>
      <x:c r="F128" s="22"/>
      <x:c r="G128" s="37"/>
      <x:c r="H128" s="22"/>
      <x:c r="I128" s="22"/>
      <x:c r="J128" s="22"/>
      <x:c r="K128" s="22"/>
      <x:c r="L128" s="6" t="str">
        <x:f>IF(COUNTA(E128:K128)=0,"",IF(OR(H128="不适用",H128="阻塞",H128="资料确认（未实测）"),"非实测记录",IF(AND(E128&lt;&gt;"",ISNUMBER(G128),G128&gt;0,H128&lt;&gt;"",I128&lt;&gt;"",J128&lt;&gt;""),"记录齐全","待补记录")))</x:f>
      </x:c>
    </x:row>
    <x:row r="129" ht="48" customHeight="1">
      <x:c r="A129" s="36" t="str">
        <x:v>COM-08/KEBA（可选）</x:v>
      </x:c>
      <x:c r="B129" s="36" t="str">
        <x:v>KEBA（可选）</x:v>
      </x:c>
      <x:c r="C129" s="36" t="str">
        <x:v>COM-08</x:v>
      </x:c>
      <x:c r="D129" s="36" t="str">
        <x:v>KEBA-01</x:v>
      </x:c>
      <x:c r="E129" s="22"/>
      <x:c r="F129" s="22"/>
      <x:c r="G129" s="37"/>
      <x:c r="H129" s="22"/>
      <x:c r="I129" s="22"/>
      <x:c r="J129" s="22"/>
      <x:c r="K129" s="22"/>
      <x:c r="L129" s="6" t="str">
        <x:f>IF(COUNTA(E129:K129)=0,"",IF(OR(H129="不适用",H129="阻塞",H129="资料确认（未实测）"),"非实测记录",IF(AND(E129&lt;&gt;"",ISNUMBER(G129),G129&gt;0,H129&lt;&gt;"",I129&lt;&gt;"",J129&lt;&gt;""),"记录齐全","待补记录")))</x:f>
      </x:c>
    </x:row>
    <x:row r="130" ht="48" customHeight="1">
      <x:c r="A130" s="36" t="str">
        <x:v>COM-09/CDHD</x:v>
      </x:c>
      <x:c r="B130" s="36" t="str">
        <x:v>CDHD</x:v>
      </x:c>
      <x:c r="C130" s="36" t="str">
        <x:v>COM-09</x:v>
      </x:c>
      <x:c r="D130" s="36" t="str">
        <x:v>CDHD-01</x:v>
      </x:c>
      <x:c r="E130" s="22"/>
      <x:c r="F130" s="22"/>
      <x:c r="G130" s="37"/>
      <x:c r="H130" s="22"/>
      <x:c r="I130" s="22"/>
      <x:c r="J130" s="22"/>
      <x:c r="K130" s="22"/>
      <x:c r="L130" s="6" t="str">
        <x:f>IF(COUNTA(E130:K130)=0,"",IF(OR(H130="不适用",H130="阻塞",H130="资料确认（未实测）"),"非实测记录",IF(AND(E130&lt;&gt;"",ISNUMBER(G130),G130&gt;0,H130&lt;&gt;"",I130&lt;&gt;"",J130&lt;&gt;""),"记录齐全","待补记录")))</x:f>
      </x:c>
    </x:row>
    <x:row r="131" ht="48" customHeight="1">
      <x:c r="A131" s="36" t="str">
        <x:v>COM-09/台达</x:v>
      </x:c>
      <x:c r="B131" s="36" t="str">
        <x:v>台达</x:v>
      </x:c>
      <x:c r="C131" s="36" t="str">
        <x:v>COM-09</x:v>
      </x:c>
      <x:c r="D131" s="36" t="str">
        <x:v>台达-01</x:v>
      </x:c>
      <x:c r="E131" s="22"/>
      <x:c r="F131" s="22"/>
      <x:c r="G131" s="37"/>
      <x:c r="H131" s="22"/>
      <x:c r="I131" s="22"/>
      <x:c r="J131" s="22"/>
      <x:c r="K131" s="22"/>
      <x:c r="L131" s="6" t="str">
        <x:f>IF(COUNTA(E131:K131)=0,"",IF(OR(H131="不适用",H131="阻塞",H131="资料确认（未实测）"),"非实测记录",IF(AND(E131&lt;&gt;"",ISNUMBER(G131),G131&gt;0,H131&lt;&gt;"",I131&lt;&gt;"",J131&lt;&gt;""),"记录齐全","待补记录")))</x:f>
      </x:c>
    </x:row>
    <x:row r="132" ht="48" customHeight="1">
      <x:c r="A132" s="36" t="str">
        <x:v>COM-09/繁易</x:v>
      </x:c>
      <x:c r="B132" s="36" t="str">
        <x:v>繁易</x:v>
      </x:c>
      <x:c r="C132" s="36" t="str">
        <x:v>COM-09</x:v>
      </x:c>
      <x:c r="D132" s="36" t="str">
        <x:v>繁易-01</x:v>
      </x:c>
      <x:c r="E132" s="22"/>
      <x:c r="F132" s="22"/>
      <x:c r="G132" s="37"/>
      <x:c r="H132" s="22"/>
      <x:c r="I132" s="22"/>
      <x:c r="J132" s="22"/>
      <x:c r="K132" s="22"/>
      <x:c r="L132" s="6" t="str">
        <x:f>IF(COUNTA(E132:K132)=0,"",IF(OR(H132="不适用",H132="阻塞",H132="资料确认（未实测）"),"非实测记录",IF(AND(E132&lt;&gt;"",ISNUMBER(G132),G132&gt;0,H132&lt;&gt;"",I132&lt;&gt;"",J132&lt;&gt;""),"记录齐全","待补记录")))</x:f>
      </x:c>
    </x:row>
    <x:row r="133" ht="48" customHeight="1">
      <x:c r="A133" s="36" t="str">
        <x:v>COM-09/Elmo</x:v>
      </x:c>
      <x:c r="B133" s="36" t="str">
        <x:v>Elmo</x:v>
      </x:c>
      <x:c r="C133" s="36" t="str">
        <x:v>COM-09</x:v>
      </x:c>
      <x:c r="D133" s="36" t="str">
        <x:v>Elmo-01</x:v>
      </x:c>
      <x:c r="E133" s="22"/>
      <x:c r="F133" s="22"/>
      <x:c r="G133" s="37"/>
      <x:c r="H133" s="22"/>
      <x:c r="I133" s="22"/>
      <x:c r="J133" s="22"/>
      <x:c r="K133" s="22"/>
      <x:c r="L133" s="6" t="str">
        <x:f>IF(COUNTA(E133:K133)=0,"",IF(OR(H133="不适用",H133="阻塞",H133="资料确认（未实测）"),"非实测记录",IF(AND(E133&lt;&gt;"",ISNUMBER(G133),G133&gt;0,H133&lt;&gt;"",I133&lt;&gt;"",J133&lt;&gt;""),"记录齐全","待补记录")))</x:f>
      </x:c>
    </x:row>
    <x:row r="134" ht="48" customHeight="1">
      <x:c r="A134" s="36" t="str">
        <x:v>COM-09/KEBA（可选）</x:v>
      </x:c>
      <x:c r="B134" s="36" t="str">
        <x:v>KEBA（可选）</x:v>
      </x:c>
      <x:c r="C134" s="36" t="str">
        <x:v>COM-09</x:v>
      </x:c>
      <x:c r="D134" s="36" t="str">
        <x:v>KEBA-01</x:v>
      </x:c>
      <x:c r="E134" s="22"/>
      <x:c r="F134" s="22"/>
      <x:c r="G134" s="37"/>
      <x:c r="H134" s="22"/>
      <x:c r="I134" s="22"/>
      <x:c r="J134" s="22"/>
      <x:c r="K134" s="22"/>
      <x:c r="L134" s="6" t="str">
        <x:f>IF(COUNTA(E134:K134)=0,"",IF(OR(H134="不适用",H134="阻塞",H134="资料确认（未实测）"),"非实测记录",IF(AND(E134&lt;&gt;"",ISNUMBER(G134),G134&gt;0,H134&lt;&gt;"",I134&lt;&gt;"",J134&lt;&gt;""),"记录齐全","待补记录")))</x:f>
      </x:c>
    </x:row>
    <x:row r="135" ht="48" customHeight="1">
      <x:c r="A135" s="36" t="str">
        <x:v>COM-10/CDHD</x:v>
      </x:c>
      <x:c r="B135" s="36" t="str">
        <x:v>CDHD</x:v>
      </x:c>
      <x:c r="C135" s="36" t="str">
        <x:v>COM-10</x:v>
      </x:c>
      <x:c r="D135" s="36" t="str">
        <x:v>CDHD-01</x:v>
      </x:c>
      <x:c r="E135" s="22"/>
      <x:c r="F135" s="22"/>
      <x:c r="G135" s="37"/>
      <x:c r="H135" s="22"/>
      <x:c r="I135" s="22"/>
      <x:c r="J135" s="22"/>
      <x:c r="K135" s="22"/>
      <x:c r="L135" s="6" t="str">
        <x:f>IF(COUNTA(E135:K135)=0,"",IF(OR(H135="不适用",H135="阻塞",H135="资料确认（未实测）"),"非实测记录",IF(AND(E135&lt;&gt;"",ISNUMBER(G135),G135&gt;0,H135&lt;&gt;"",I135&lt;&gt;"",J135&lt;&gt;""),"记录齐全","待补记录")))</x:f>
      </x:c>
    </x:row>
    <x:row r="136" ht="48" customHeight="1">
      <x:c r="A136" s="36" t="str">
        <x:v>COM-10/台达</x:v>
      </x:c>
      <x:c r="B136" s="36" t="str">
        <x:v>台达</x:v>
      </x:c>
      <x:c r="C136" s="36" t="str">
        <x:v>COM-10</x:v>
      </x:c>
      <x:c r="D136" s="36" t="str">
        <x:v>台达-01</x:v>
      </x:c>
      <x:c r="E136" s="22"/>
      <x:c r="F136" s="22"/>
      <x:c r="G136" s="37"/>
      <x:c r="H136" s="22"/>
      <x:c r="I136" s="22"/>
      <x:c r="J136" s="22"/>
      <x:c r="K136" s="22"/>
      <x:c r="L136" s="6" t="str">
        <x:f>IF(COUNTA(E136:K136)=0,"",IF(OR(H136="不适用",H136="阻塞",H136="资料确认（未实测）"),"非实测记录",IF(AND(E136&lt;&gt;"",ISNUMBER(G136),G136&gt;0,H136&lt;&gt;"",I136&lt;&gt;"",J136&lt;&gt;""),"记录齐全","待补记录")))</x:f>
      </x:c>
    </x:row>
    <x:row r="137" ht="48" customHeight="1">
      <x:c r="A137" s="36" t="str">
        <x:v>COM-10/繁易</x:v>
      </x:c>
      <x:c r="B137" s="36" t="str">
        <x:v>繁易</x:v>
      </x:c>
      <x:c r="C137" s="36" t="str">
        <x:v>COM-10</x:v>
      </x:c>
      <x:c r="D137" s="36" t="str">
        <x:v>繁易-01</x:v>
      </x:c>
      <x:c r="E137" s="22"/>
      <x:c r="F137" s="22"/>
      <x:c r="G137" s="37"/>
      <x:c r="H137" s="22"/>
      <x:c r="I137" s="22"/>
      <x:c r="J137" s="22"/>
      <x:c r="K137" s="22"/>
      <x:c r="L137" s="6" t="str">
        <x:f>IF(COUNTA(E137:K137)=0,"",IF(OR(H137="不适用",H137="阻塞",H137="资料确认（未实测）"),"非实测记录",IF(AND(E137&lt;&gt;"",ISNUMBER(G137),G137&gt;0,H137&lt;&gt;"",I137&lt;&gt;"",J137&lt;&gt;""),"记录齐全","待补记录")))</x:f>
      </x:c>
    </x:row>
    <x:row r="138" ht="48" customHeight="1">
      <x:c r="A138" s="36" t="str">
        <x:v>COM-10/Elmo</x:v>
      </x:c>
      <x:c r="B138" s="36" t="str">
        <x:v>Elmo</x:v>
      </x:c>
      <x:c r="C138" s="36" t="str">
        <x:v>COM-10</x:v>
      </x:c>
      <x:c r="D138" s="36" t="str">
        <x:v>Elmo-01</x:v>
      </x:c>
      <x:c r="E138" s="22"/>
      <x:c r="F138" s="22"/>
      <x:c r="G138" s="37"/>
      <x:c r="H138" s="22"/>
      <x:c r="I138" s="22"/>
      <x:c r="J138" s="22"/>
      <x:c r="K138" s="22"/>
      <x:c r="L138" s="6" t="str">
        <x:f>IF(COUNTA(E138:K138)=0,"",IF(OR(H138="不适用",H138="阻塞",H138="资料确认（未实测）"),"非实测记录",IF(AND(E138&lt;&gt;"",ISNUMBER(G138),G138&gt;0,H138&lt;&gt;"",I138&lt;&gt;"",J138&lt;&gt;""),"记录齐全","待补记录")))</x:f>
      </x:c>
    </x:row>
    <x:row r="139" ht="48" customHeight="1">
      <x:c r="A139" s="36" t="str">
        <x:v>COM-10/KEBA（可选）</x:v>
      </x:c>
      <x:c r="B139" s="36" t="str">
        <x:v>KEBA（可选）</x:v>
      </x:c>
      <x:c r="C139" s="36" t="str">
        <x:v>COM-10</x:v>
      </x:c>
      <x:c r="D139" s="36" t="str">
        <x:v>KEBA-01</x:v>
      </x:c>
      <x:c r="E139" s="22"/>
      <x:c r="F139" s="22"/>
      <x:c r="G139" s="37"/>
      <x:c r="H139" s="22"/>
      <x:c r="I139" s="22"/>
      <x:c r="J139" s="22"/>
      <x:c r="K139" s="22"/>
      <x:c r="L139" s="6" t="str">
        <x:f>IF(COUNTA(E139:K139)=0,"",IF(OR(H139="不适用",H139="阻塞",H139="资料确认（未实测）"),"非实测记录",IF(AND(E139&lt;&gt;"",ISNUMBER(G139),G139&gt;0,H139&lt;&gt;"",I139&lt;&gt;"",J139&lt;&gt;""),"记录齐全","待补记录")))</x:f>
      </x:c>
    </x:row>
    <x:row r="140" ht="48" customHeight="1">
      <x:c r="A140" s="36" t="str">
        <x:v>DRV-01/CDHD</x:v>
      </x:c>
      <x:c r="B140" s="36" t="str">
        <x:v>CDHD</x:v>
      </x:c>
      <x:c r="C140" s="36" t="str">
        <x:v>DRV-01</x:v>
      </x:c>
      <x:c r="D140" s="36" t="str">
        <x:v>CDHD-01</x:v>
      </x:c>
      <x:c r="E140" s="22"/>
      <x:c r="F140" s="22"/>
      <x:c r="G140" s="37"/>
      <x:c r="H140" s="22"/>
      <x:c r="I140" s="22"/>
      <x:c r="J140" s="22"/>
      <x:c r="K140" s="22"/>
      <x:c r="L140" s="6" t="str">
        <x:f>IF(COUNTA(E140:K140)=0,"",IF(OR(H140="不适用",H140="阻塞",H140="资料确认（未实测）"),"非实测记录",IF(AND(E140&lt;&gt;"",ISNUMBER(G140),G140&gt;0,H140&lt;&gt;"",I140&lt;&gt;"",J140&lt;&gt;""),"记录齐全","待补记录")))</x:f>
      </x:c>
    </x:row>
    <x:row r="141" ht="48" customHeight="1">
      <x:c r="A141" s="36" t="str">
        <x:v>DRV-01/台达</x:v>
      </x:c>
      <x:c r="B141" s="36" t="str">
        <x:v>台达</x:v>
      </x:c>
      <x:c r="C141" s="36" t="str">
        <x:v>DRV-01</x:v>
      </x:c>
      <x:c r="D141" s="36" t="str">
        <x:v>台达-01</x:v>
      </x:c>
      <x:c r="E141" s="22"/>
      <x:c r="F141" s="22"/>
      <x:c r="G141" s="37"/>
      <x:c r="H141" s="22"/>
      <x:c r="I141" s="22"/>
      <x:c r="J141" s="22"/>
      <x:c r="K141" s="22"/>
      <x:c r="L141" s="6" t="str">
        <x:f>IF(COUNTA(E141:K141)=0,"",IF(OR(H141="不适用",H141="阻塞",H141="资料确认（未实测）"),"非实测记录",IF(AND(E141&lt;&gt;"",ISNUMBER(G141),G141&gt;0,H141&lt;&gt;"",I141&lt;&gt;"",J141&lt;&gt;""),"记录齐全","待补记录")))</x:f>
      </x:c>
    </x:row>
    <x:row r="142" ht="48" customHeight="1">
      <x:c r="A142" s="36" t="str">
        <x:v>DRV-01/繁易</x:v>
      </x:c>
      <x:c r="B142" s="36" t="str">
        <x:v>繁易</x:v>
      </x:c>
      <x:c r="C142" s="36" t="str">
        <x:v>DRV-01</x:v>
      </x:c>
      <x:c r="D142" s="36" t="str">
        <x:v>繁易-01</x:v>
      </x:c>
      <x:c r="E142" s="22"/>
      <x:c r="F142" s="22"/>
      <x:c r="G142" s="37"/>
      <x:c r="H142" s="22"/>
      <x:c r="I142" s="22"/>
      <x:c r="J142" s="22"/>
      <x:c r="K142" s="22"/>
      <x:c r="L142" s="6" t="str">
        <x:f>IF(COUNTA(E142:K142)=0,"",IF(OR(H142="不适用",H142="阻塞",H142="资料确认（未实测）"),"非实测记录",IF(AND(E142&lt;&gt;"",ISNUMBER(G142),G142&gt;0,H142&lt;&gt;"",I142&lt;&gt;"",J142&lt;&gt;""),"记录齐全","待补记录")))</x:f>
      </x:c>
    </x:row>
    <x:row r="143" ht="48" customHeight="1">
      <x:c r="A143" s="36" t="str">
        <x:v>DRV-01/Elmo</x:v>
      </x:c>
      <x:c r="B143" s="36" t="str">
        <x:v>Elmo</x:v>
      </x:c>
      <x:c r="C143" s="36" t="str">
        <x:v>DRV-01</x:v>
      </x:c>
      <x:c r="D143" s="36" t="str">
        <x:v>Elmo-01</x:v>
      </x:c>
      <x:c r="E143" s="22"/>
      <x:c r="F143" s="22"/>
      <x:c r="G143" s="37"/>
      <x:c r="H143" s="22"/>
      <x:c r="I143" s="22"/>
      <x:c r="J143" s="22"/>
      <x:c r="K143" s="22"/>
      <x:c r="L143" s="6" t="str">
        <x:f>IF(COUNTA(E143:K143)=0,"",IF(OR(H143="不适用",H143="阻塞",H143="资料确认（未实测）"),"非实测记录",IF(AND(E143&lt;&gt;"",ISNUMBER(G143),G143&gt;0,H143&lt;&gt;"",I143&lt;&gt;"",J143&lt;&gt;""),"记录齐全","待补记录")))</x:f>
      </x:c>
    </x:row>
    <x:row r="144" ht="48" customHeight="1">
      <x:c r="A144" s="36" t="str">
        <x:v>DRV-01/KEBA（可选）</x:v>
      </x:c>
      <x:c r="B144" s="36" t="str">
        <x:v>KEBA（可选）</x:v>
      </x:c>
      <x:c r="C144" s="36" t="str">
        <x:v>DRV-01</x:v>
      </x:c>
      <x:c r="D144" s="36" t="str">
        <x:v>KEBA-01</x:v>
      </x:c>
      <x:c r="E144" s="22"/>
      <x:c r="F144" s="22"/>
      <x:c r="G144" s="37"/>
      <x:c r="H144" s="22"/>
      <x:c r="I144" s="22"/>
      <x:c r="J144" s="22"/>
      <x:c r="K144" s="22"/>
      <x:c r="L144" s="6" t="str">
        <x:f>IF(COUNTA(E144:K144)=0,"",IF(OR(H144="不适用",H144="阻塞",H144="资料确认（未实测）"),"非实测记录",IF(AND(E144&lt;&gt;"",ISNUMBER(G144),G144&gt;0,H144&lt;&gt;"",I144&lt;&gt;"",J144&lt;&gt;""),"记录齐全","待补记录")))</x:f>
      </x:c>
    </x:row>
    <x:row r="145" ht="48" customHeight="1">
      <x:c r="A145" s="36" t="str">
        <x:v>DRV-02/CDHD</x:v>
      </x:c>
      <x:c r="B145" s="36" t="str">
        <x:v>CDHD</x:v>
      </x:c>
      <x:c r="C145" s="36" t="str">
        <x:v>DRV-02</x:v>
      </x:c>
      <x:c r="D145" s="36" t="str">
        <x:v>CDHD-01</x:v>
      </x:c>
      <x:c r="E145" s="22"/>
      <x:c r="F145" s="22"/>
      <x:c r="G145" s="37"/>
      <x:c r="H145" s="22"/>
      <x:c r="I145" s="22"/>
      <x:c r="J145" s="22"/>
      <x:c r="K145" s="22"/>
      <x:c r="L145" s="6" t="str">
        <x:f>IF(COUNTA(E145:K145)=0,"",IF(OR(H145="不适用",H145="阻塞",H145="资料确认（未实测）"),"非实测记录",IF(AND(E145&lt;&gt;"",ISNUMBER(G145),G145&gt;0,H145&lt;&gt;"",I145&lt;&gt;"",J145&lt;&gt;""),"记录齐全","待补记录")))</x:f>
      </x:c>
    </x:row>
    <x:row r="146" ht="48" customHeight="1">
      <x:c r="A146" s="36" t="str">
        <x:v>DRV-02/台达</x:v>
      </x:c>
      <x:c r="B146" s="36" t="str">
        <x:v>台达</x:v>
      </x:c>
      <x:c r="C146" s="36" t="str">
        <x:v>DRV-02</x:v>
      </x:c>
      <x:c r="D146" s="36" t="str">
        <x:v>台达-01</x:v>
      </x:c>
      <x:c r="E146" s="22"/>
      <x:c r="F146" s="22"/>
      <x:c r="G146" s="37"/>
      <x:c r="H146" s="22"/>
      <x:c r="I146" s="22"/>
      <x:c r="J146" s="22"/>
      <x:c r="K146" s="22"/>
      <x:c r="L146" s="6" t="str">
        <x:f>IF(COUNTA(E146:K146)=0,"",IF(OR(H146="不适用",H146="阻塞",H146="资料确认（未实测）"),"非实测记录",IF(AND(E146&lt;&gt;"",ISNUMBER(G146),G146&gt;0,H146&lt;&gt;"",I146&lt;&gt;"",J146&lt;&gt;""),"记录齐全","待补记录")))</x:f>
      </x:c>
    </x:row>
    <x:row r="147" ht="48" customHeight="1">
      <x:c r="A147" s="36" t="str">
        <x:v>DRV-02/繁易</x:v>
      </x:c>
      <x:c r="B147" s="36" t="str">
        <x:v>繁易</x:v>
      </x:c>
      <x:c r="C147" s="36" t="str">
        <x:v>DRV-02</x:v>
      </x:c>
      <x:c r="D147" s="36" t="str">
        <x:v>繁易-01</x:v>
      </x:c>
      <x:c r="E147" s="22"/>
      <x:c r="F147" s="22"/>
      <x:c r="G147" s="37"/>
      <x:c r="H147" s="22"/>
      <x:c r="I147" s="22"/>
      <x:c r="J147" s="22"/>
      <x:c r="K147" s="22"/>
      <x:c r="L147" s="6" t="str">
        <x:f>IF(COUNTA(E147:K147)=0,"",IF(OR(H147="不适用",H147="阻塞",H147="资料确认（未实测）"),"非实测记录",IF(AND(E147&lt;&gt;"",ISNUMBER(G147),G147&gt;0,H147&lt;&gt;"",I147&lt;&gt;"",J147&lt;&gt;""),"记录齐全","待补记录")))</x:f>
      </x:c>
    </x:row>
    <x:row r="148" ht="48" customHeight="1">
      <x:c r="A148" s="36" t="str">
        <x:v>DRV-02/Elmo</x:v>
      </x:c>
      <x:c r="B148" s="36" t="str">
        <x:v>Elmo</x:v>
      </x:c>
      <x:c r="C148" s="36" t="str">
        <x:v>DRV-02</x:v>
      </x:c>
      <x:c r="D148" s="36" t="str">
        <x:v>Elmo-01</x:v>
      </x:c>
      <x:c r="E148" s="22"/>
      <x:c r="F148" s="22"/>
      <x:c r="G148" s="37"/>
      <x:c r="H148" s="22"/>
      <x:c r="I148" s="22"/>
      <x:c r="J148" s="22"/>
      <x:c r="K148" s="22"/>
      <x:c r="L148" s="6" t="str">
        <x:f>IF(COUNTA(E148:K148)=0,"",IF(OR(H148="不适用",H148="阻塞",H148="资料确认（未实测）"),"非实测记录",IF(AND(E148&lt;&gt;"",ISNUMBER(G148),G148&gt;0,H148&lt;&gt;"",I148&lt;&gt;"",J148&lt;&gt;""),"记录齐全","待补记录")))</x:f>
      </x:c>
    </x:row>
    <x:row r="149" ht="48" customHeight="1">
      <x:c r="A149" s="36" t="str">
        <x:v>DRV-02/KEBA（可选）</x:v>
      </x:c>
      <x:c r="B149" s="36" t="str">
        <x:v>KEBA（可选）</x:v>
      </x:c>
      <x:c r="C149" s="36" t="str">
        <x:v>DRV-02</x:v>
      </x:c>
      <x:c r="D149" s="36" t="str">
        <x:v>KEBA-01</x:v>
      </x:c>
      <x:c r="E149" s="22"/>
      <x:c r="F149" s="22"/>
      <x:c r="G149" s="37"/>
      <x:c r="H149" s="22"/>
      <x:c r="I149" s="22"/>
      <x:c r="J149" s="22"/>
      <x:c r="K149" s="22"/>
      <x:c r="L149" s="6" t="str">
        <x:f>IF(COUNTA(E149:K149)=0,"",IF(OR(H149="不适用",H149="阻塞",H149="资料确认（未实测）"),"非实测记录",IF(AND(E149&lt;&gt;"",ISNUMBER(G149),G149&gt;0,H149&lt;&gt;"",I149&lt;&gt;"",J149&lt;&gt;""),"记录齐全","待补记录")))</x:f>
      </x:c>
    </x:row>
    <x:row r="150" ht="48" customHeight="1">
      <x:c r="A150" s="36" t="str">
        <x:v>DRV-03/CDHD</x:v>
      </x:c>
      <x:c r="B150" s="36" t="str">
        <x:v>CDHD</x:v>
      </x:c>
      <x:c r="C150" s="36" t="str">
        <x:v>DRV-03</x:v>
      </x:c>
      <x:c r="D150" s="36" t="str">
        <x:v>CDHD-01</x:v>
      </x:c>
      <x:c r="E150" s="22"/>
      <x:c r="F150" s="22"/>
      <x:c r="G150" s="37"/>
      <x:c r="H150" s="22"/>
      <x:c r="I150" s="22"/>
      <x:c r="J150" s="22"/>
      <x:c r="K150" s="22"/>
      <x:c r="L150" s="6" t="str">
        <x:f>IF(COUNTA(E150:K150)=0,"",IF(OR(H150="不适用",H150="阻塞",H150="资料确认（未实测）"),"非实测记录",IF(AND(E150&lt;&gt;"",ISNUMBER(G150),G150&gt;0,H150&lt;&gt;"",I150&lt;&gt;"",J150&lt;&gt;""),"记录齐全","待补记录")))</x:f>
      </x:c>
    </x:row>
    <x:row r="151" ht="48" customHeight="1">
      <x:c r="A151" s="36" t="str">
        <x:v>DRV-03/台达</x:v>
      </x:c>
      <x:c r="B151" s="36" t="str">
        <x:v>台达</x:v>
      </x:c>
      <x:c r="C151" s="36" t="str">
        <x:v>DRV-03</x:v>
      </x:c>
      <x:c r="D151" s="36" t="str">
        <x:v>台达-01</x:v>
      </x:c>
      <x:c r="E151" s="22"/>
      <x:c r="F151" s="22"/>
      <x:c r="G151" s="37"/>
      <x:c r="H151" s="22"/>
      <x:c r="I151" s="22"/>
      <x:c r="J151" s="22"/>
      <x:c r="K151" s="22"/>
      <x:c r="L151" s="6" t="str">
        <x:f>IF(COUNTA(E151:K151)=0,"",IF(OR(H151="不适用",H151="阻塞",H151="资料确认（未实测）"),"非实测记录",IF(AND(E151&lt;&gt;"",ISNUMBER(G151),G151&gt;0,H151&lt;&gt;"",I151&lt;&gt;"",J151&lt;&gt;""),"记录齐全","待补记录")))</x:f>
      </x:c>
    </x:row>
    <x:row r="152" ht="48" customHeight="1">
      <x:c r="A152" s="36" t="str">
        <x:v>DRV-03/繁易</x:v>
      </x:c>
      <x:c r="B152" s="36" t="str">
        <x:v>繁易</x:v>
      </x:c>
      <x:c r="C152" s="36" t="str">
        <x:v>DRV-03</x:v>
      </x:c>
      <x:c r="D152" s="36" t="str">
        <x:v>繁易-01</x:v>
      </x:c>
      <x:c r="E152" s="22"/>
      <x:c r="F152" s="22"/>
      <x:c r="G152" s="37"/>
      <x:c r="H152" s="22"/>
      <x:c r="I152" s="22"/>
      <x:c r="J152" s="22"/>
      <x:c r="K152" s="22"/>
      <x:c r="L152" s="6" t="str">
        <x:f>IF(COUNTA(E152:K152)=0,"",IF(OR(H152="不适用",H152="阻塞",H152="资料确认（未实测）"),"非实测记录",IF(AND(E152&lt;&gt;"",ISNUMBER(G152),G152&gt;0,H152&lt;&gt;"",I152&lt;&gt;"",J152&lt;&gt;""),"记录齐全","待补记录")))</x:f>
      </x:c>
    </x:row>
    <x:row r="153" ht="48" customHeight="1">
      <x:c r="A153" s="36" t="str">
        <x:v>DRV-03/Elmo</x:v>
      </x:c>
      <x:c r="B153" s="36" t="str">
        <x:v>Elmo</x:v>
      </x:c>
      <x:c r="C153" s="36" t="str">
        <x:v>DRV-03</x:v>
      </x:c>
      <x:c r="D153" s="36" t="str">
        <x:v>Elmo-01</x:v>
      </x:c>
      <x:c r="E153" s="22"/>
      <x:c r="F153" s="22"/>
      <x:c r="G153" s="37"/>
      <x:c r="H153" s="22"/>
      <x:c r="I153" s="22"/>
      <x:c r="J153" s="22"/>
      <x:c r="K153" s="22"/>
      <x:c r="L153" s="6" t="str">
        <x:f>IF(COUNTA(E153:K153)=0,"",IF(OR(H153="不适用",H153="阻塞",H153="资料确认（未实测）"),"非实测记录",IF(AND(E153&lt;&gt;"",ISNUMBER(G153),G153&gt;0,H153&lt;&gt;"",I153&lt;&gt;"",J153&lt;&gt;""),"记录齐全","待补记录")))</x:f>
      </x:c>
    </x:row>
    <x:row r="154" ht="48" customHeight="1">
      <x:c r="A154" s="36" t="str">
        <x:v>DRV-03/KEBA（可选）</x:v>
      </x:c>
      <x:c r="B154" s="36" t="str">
        <x:v>KEBA（可选）</x:v>
      </x:c>
      <x:c r="C154" s="36" t="str">
        <x:v>DRV-03</x:v>
      </x:c>
      <x:c r="D154" s="36" t="str">
        <x:v>KEBA-01</x:v>
      </x:c>
      <x:c r="E154" s="22"/>
      <x:c r="F154" s="22"/>
      <x:c r="G154" s="37"/>
      <x:c r="H154" s="22"/>
      <x:c r="I154" s="22"/>
      <x:c r="J154" s="22"/>
      <x:c r="K154" s="22"/>
      <x:c r="L154" s="6" t="str">
        <x:f>IF(COUNTA(E154:K154)=0,"",IF(OR(H154="不适用",H154="阻塞",H154="资料确认（未实测）"),"非实测记录",IF(AND(E154&lt;&gt;"",ISNUMBER(G154),G154&gt;0,H154&lt;&gt;"",I154&lt;&gt;"",J154&lt;&gt;""),"记录齐全","待补记录")))</x:f>
      </x:c>
    </x:row>
    <x:row r="155" ht="48" customHeight="1">
      <x:c r="A155" s="36" t="str">
        <x:v>DRV-04/CDHD</x:v>
      </x:c>
      <x:c r="B155" s="36" t="str">
        <x:v>CDHD</x:v>
      </x:c>
      <x:c r="C155" s="36" t="str">
        <x:v>DRV-04</x:v>
      </x:c>
      <x:c r="D155" s="36" t="str">
        <x:v>CDHD-01</x:v>
      </x:c>
      <x:c r="E155" s="22"/>
      <x:c r="F155" s="22"/>
      <x:c r="G155" s="37"/>
      <x:c r="H155" s="22"/>
      <x:c r="I155" s="22"/>
      <x:c r="J155" s="22"/>
      <x:c r="K155" s="22"/>
      <x:c r="L155" s="6" t="str">
        <x:f>IF(COUNTA(E155:K155)=0,"",IF(OR(H155="不适用",H155="阻塞",H155="资料确认（未实测）"),"非实测记录",IF(AND(E155&lt;&gt;"",ISNUMBER(G155),G155&gt;0,H155&lt;&gt;"",I155&lt;&gt;"",J155&lt;&gt;""),"记录齐全","待补记录")))</x:f>
      </x:c>
    </x:row>
    <x:row r="156" ht="48" customHeight="1">
      <x:c r="A156" s="36" t="str">
        <x:v>DRV-04/台达</x:v>
      </x:c>
      <x:c r="B156" s="36" t="str">
        <x:v>台达</x:v>
      </x:c>
      <x:c r="C156" s="36" t="str">
        <x:v>DRV-04</x:v>
      </x:c>
      <x:c r="D156" s="36" t="str">
        <x:v>台达-01</x:v>
      </x:c>
      <x:c r="E156" s="22"/>
      <x:c r="F156" s="22"/>
      <x:c r="G156" s="37"/>
      <x:c r="H156" s="22"/>
      <x:c r="I156" s="22"/>
      <x:c r="J156" s="22"/>
      <x:c r="K156" s="22"/>
      <x:c r="L156" s="6" t="str">
        <x:f>IF(COUNTA(E156:K156)=0,"",IF(OR(H156="不适用",H156="阻塞",H156="资料确认（未实测）"),"非实测记录",IF(AND(E156&lt;&gt;"",ISNUMBER(G156),G156&gt;0,H156&lt;&gt;"",I156&lt;&gt;"",J156&lt;&gt;""),"记录齐全","待补记录")))</x:f>
      </x:c>
    </x:row>
    <x:row r="157" ht="48" customHeight="1">
      <x:c r="A157" s="36" t="str">
        <x:v>DRV-04/繁易</x:v>
      </x:c>
      <x:c r="B157" s="36" t="str">
        <x:v>繁易</x:v>
      </x:c>
      <x:c r="C157" s="36" t="str">
        <x:v>DRV-04</x:v>
      </x:c>
      <x:c r="D157" s="36" t="str">
        <x:v>繁易-01</x:v>
      </x:c>
      <x:c r="E157" s="22"/>
      <x:c r="F157" s="22"/>
      <x:c r="G157" s="37"/>
      <x:c r="H157" s="22"/>
      <x:c r="I157" s="22"/>
      <x:c r="J157" s="22"/>
      <x:c r="K157" s="22"/>
      <x:c r="L157" s="6" t="str">
        <x:f>IF(COUNTA(E157:K157)=0,"",IF(OR(H157="不适用",H157="阻塞",H157="资料确认（未实测）"),"非实测记录",IF(AND(E157&lt;&gt;"",ISNUMBER(G157),G157&gt;0,H157&lt;&gt;"",I157&lt;&gt;"",J157&lt;&gt;""),"记录齐全","待补记录")))</x:f>
      </x:c>
    </x:row>
    <x:row r="158" ht="48" customHeight="1">
      <x:c r="A158" s="36" t="str">
        <x:v>DRV-04/Elmo</x:v>
      </x:c>
      <x:c r="B158" s="36" t="str">
        <x:v>Elmo</x:v>
      </x:c>
      <x:c r="C158" s="36" t="str">
        <x:v>DRV-04</x:v>
      </x:c>
      <x:c r="D158" s="36" t="str">
        <x:v>Elmo-01</x:v>
      </x:c>
      <x:c r="E158" s="22"/>
      <x:c r="F158" s="22"/>
      <x:c r="G158" s="37"/>
      <x:c r="H158" s="22"/>
      <x:c r="I158" s="22"/>
      <x:c r="J158" s="22"/>
      <x:c r="K158" s="22"/>
      <x:c r="L158" s="6" t="str">
        <x:f>IF(COUNTA(E158:K158)=0,"",IF(OR(H158="不适用",H158="阻塞",H158="资料确认（未实测）"),"非实测记录",IF(AND(E158&lt;&gt;"",ISNUMBER(G158),G158&gt;0,H158&lt;&gt;"",I158&lt;&gt;"",J158&lt;&gt;""),"记录齐全","待补记录")))</x:f>
      </x:c>
    </x:row>
    <x:row r="159" ht="48" customHeight="1">
      <x:c r="A159" s="36" t="str">
        <x:v>DRV-04/KEBA（可选）</x:v>
      </x:c>
      <x:c r="B159" s="36" t="str">
        <x:v>KEBA（可选）</x:v>
      </x:c>
      <x:c r="C159" s="36" t="str">
        <x:v>DRV-04</x:v>
      </x:c>
      <x:c r="D159" s="36" t="str">
        <x:v>KEBA-01</x:v>
      </x:c>
      <x:c r="E159" s="22"/>
      <x:c r="F159" s="22"/>
      <x:c r="G159" s="37"/>
      <x:c r="H159" s="22"/>
      <x:c r="I159" s="22"/>
      <x:c r="J159" s="22"/>
      <x:c r="K159" s="22"/>
      <x:c r="L159" s="6" t="str">
        <x:f>IF(COUNTA(E159:K159)=0,"",IF(OR(H159="不适用",H159="阻塞",H159="资料确认（未实测）"),"非实测记录",IF(AND(E159&lt;&gt;"",ISNUMBER(G159),G159&gt;0,H159&lt;&gt;"",I159&lt;&gt;"",J159&lt;&gt;""),"记录齐全","待补记录")))</x:f>
      </x:c>
    </x:row>
    <x:row r="160" ht="48" customHeight="1">
      <x:c r="A160" s="36" t="str">
        <x:v>DRV-05/CDHD</x:v>
      </x:c>
      <x:c r="B160" s="36" t="str">
        <x:v>CDHD</x:v>
      </x:c>
      <x:c r="C160" s="36" t="str">
        <x:v>DRV-05</x:v>
      </x:c>
      <x:c r="D160" s="36" t="str">
        <x:v>CDHD-01</x:v>
      </x:c>
      <x:c r="E160" s="22"/>
      <x:c r="F160" s="22"/>
      <x:c r="G160" s="37"/>
      <x:c r="H160" s="22"/>
      <x:c r="I160" s="22"/>
      <x:c r="J160" s="22"/>
      <x:c r="K160" s="22"/>
      <x:c r="L160" s="6" t="str">
        <x:f>IF(COUNTA(E160:K160)=0,"",IF(OR(H160="不适用",H160="阻塞",H160="资料确认（未实测）"),"非实测记录",IF(AND(E160&lt;&gt;"",ISNUMBER(G160),G160&gt;0,H160&lt;&gt;"",I160&lt;&gt;"",J160&lt;&gt;""),"记录齐全","待补记录")))</x:f>
      </x:c>
    </x:row>
    <x:row r="161" ht="48" customHeight="1">
      <x:c r="A161" s="36" t="str">
        <x:v>DRV-05/台达</x:v>
      </x:c>
      <x:c r="B161" s="36" t="str">
        <x:v>台达</x:v>
      </x:c>
      <x:c r="C161" s="36" t="str">
        <x:v>DRV-05</x:v>
      </x:c>
      <x:c r="D161" s="36" t="str">
        <x:v>台达-01</x:v>
      </x:c>
      <x:c r="E161" s="22"/>
      <x:c r="F161" s="22"/>
      <x:c r="G161" s="37"/>
      <x:c r="H161" s="22"/>
      <x:c r="I161" s="22"/>
      <x:c r="J161" s="22"/>
      <x:c r="K161" s="22"/>
      <x:c r="L161" s="6" t="str">
        <x:f>IF(COUNTA(E161:K161)=0,"",IF(OR(H161="不适用",H161="阻塞",H161="资料确认（未实测）"),"非实测记录",IF(AND(E161&lt;&gt;"",ISNUMBER(G161),G161&gt;0,H161&lt;&gt;"",I161&lt;&gt;"",J161&lt;&gt;""),"记录齐全","待补记录")))</x:f>
      </x:c>
    </x:row>
    <x:row r="162" ht="48" customHeight="1">
      <x:c r="A162" s="36" t="str">
        <x:v>DRV-05/繁易</x:v>
      </x:c>
      <x:c r="B162" s="36" t="str">
        <x:v>繁易</x:v>
      </x:c>
      <x:c r="C162" s="36" t="str">
        <x:v>DRV-05</x:v>
      </x:c>
      <x:c r="D162" s="36" t="str">
        <x:v>繁易-01</x:v>
      </x:c>
      <x:c r="E162" s="22"/>
      <x:c r="F162" s="22"/>
      <x:c r="G162" s="37"/>
      <x:c r="H162" s="22"/>
      <x:c r="I162" s="22"/>
      <x:c r="J162" s="22"/>
      <x:c r="K162" s="22"/>
      <x:c r="L162" s="6" t="str">
        <x:f>IF(COUNTA(E162:K162)=0,"",IF(OR(H162="不适用",H162="阻塞",H162="资料确认（未实测）"),"非实测记录",IF(AND(E162&lt;&gt;"",ISNUMBER(G162),G162&gt;0,H162&lt;&gt;"",I162&lt;&gt;"",J162&lt;&gt;""),"记录齐全","待补记录")))</x:f>
      </x:c>
    </x:row>
    <x:row r="163" ht="48" customHeight="1">
      <x:c r="A163" s="36" t="str">
        <x:v>DRV-05/Elmo</x:v>
      </x:c>
      <x:c r="B163" s="36" t="str">
        <x:v>Elmo</x:v>
      </x:c>
      <x:c r="C163" s="36" t="str">
        <x:v>DRV-05</x:v>
      </x:c>
      <x:c r="D163" s="36" t="str">
        <x:v>Elmo-01</x:v>
      </x:c>
      <x:c r="E163" s="22"/>
      <x:c r="F163" s="22"/>
      <x:c r="G163" s="37"/>
      <x:c r="H163" s="22"/>
      <x:c r="I163" s="22"/>
      <x:c r="J163" s="22"/>
      <x:c r="K163" s="22"/>
      <x:c r="L163" s="6" t="str">
        <x:f>IF(COUNTA(E163:K163)=0,"",IF(OR(H163="不适用",H163="阻塞",H163="资料确认（未实测）"),"非实测记录",IF(AND(E163&lt;&gt;"",ISNUMBER(G163),G163&gt;0,H163&lt;&gt;"",I163&lt;&gt;"",J163&lt;&gt;""),"记录齐全","待补记录")))</x:f>
      </x:c>
    </x:row>
    <x:row r="164" ht="48" customHeight="1">
      <x:c r="A164" s="36" t="str">
        <x:v>DRV-05/KEBA（可选）</x:v>
      </x:c>
      <x:c r="B164" s="36" t="str">
        <x:v>KEBA（可选）</x:v>
      </x:c>
      <x:c r="C164" s="36" t="str">
        <x:v>DRV-05</x:v>
      </x:c>
      <x:c r="D164" s="36" t="str">
        <x:v>KEBA-01</x:v>
      </x:c>
      <x:c r="E164" s="22"/>
      <x:c r="F164" s="22"/>
      <x:c r="G164" s="37"/>
      <x:c r="H164" s="22"/>
      <x:c r="I164" s="22"/>
      <x:c r="J164" s="22"/>
      <x:c r="K164" s="22"/>
      <x:c r="L164" s="6" t="str">
        <x:f>IF(COUNTA(E164:K164)=0,"",IF(OR(H164="不适用",H164="阻塞",H164="资料确认（未实测）"),"非实测记录",IF(AND(E164&lt;&gt;"",ISNUMBER(G164),G164&gt;0,H164&lt;&gt;"",I164&lt;&gt;"",J164&lt;&gt;""),"记录齐全","待补记录")))</x:f>
      </x:c>
    </x:row>
    <x:row r="165" ht="48" customHeight="1">
      <x:c r="A165" s="36" t="str">
        <x:v>DRV-06/CDHD</x:v>
      </x:c>
      <x:c r="B165" s="36" t="str">
        <x:v>CDHD</x:v>
      </x:c>
      <x:c r="C165" s="36" t="str">
        <x:v>DRV-06</x:v>
      </x:c>
      <x:c r="D165" s="36" t="str">
        <x:v>CDHD-01</x:v>
      </x:c>
      <x:c r="E165" s="22"/>
      <x:c r="F165" s="22"/>
      <x:c r="G165" s="37"/>
      <x:c r="H165" s="22"/>
      <x:c r="I165" s="22"/>
      <x:c r="J165" s="22"/>
      <x:c r="K165" s="22"/>
      <x:c r="L165" s="6" t="str">
        <x:f>IF(COUNTA(E165:K165)=0,"",IF(OR(H165="不适用",H165="阻塞",H165="资料确认（未实测）"),"非实测记录",IF(AND(E165&lt;&gt;"",ISNUMBER(G165),G165&gt;0,H165&lt;&gt;"",I165&lt;&gt;"",J165&lt;&gt;""),"记录齐全","待补记录")))</x:f>
      </x:c>
    </x:row>
    <x:row r="166" ht="48" customHeight="1">
      <x:c r="A166" s="36" t="str">
        <x:v>DRV-06/台达</x:v>
      </x:c>
      <x:c r="B166" s="36" t="str">
        <x:v>台达</x:v>
      </x:c>
      <x:c r="C166" s="36" t="str">
        <x:v>DRV-06</x:v>
      </x:c>
      <x:c r="D166" s="36" t="str">
        <x:v>台达-01</x:v>
      </x:c>
      <x:c r="E166" s="22"/>
      <x:c r="F166" s="22"/>
      <x:c r="G166" s="37"/>
      <x:c r="H166" s="22"/>
      <x:c r="I166" s="22"/>
      <x:c r="J166" s="22"/>
      <x:c r="K166" s="22"/>
      <x:c r="L166" s="6" t="str">
        <x:f>IF(COUNTA(E166:K166)=0,"",IF(OR(H166="不适用",H166="阻塞",H166="资料确认（未实测）"),"非实测记录",IF(AND(E166&lt;&gt;"",ISNUMBER(G166),G166&gt;0,H166&lt;&gt;"",I166&lt;&gt;"",J166&lt;&gt;""),"记录齐全","待补记录")))</x:f>
      </x:c>
    </x:row>
    <x:row r="167" ht="48" customHeight="1">
      <x:c r="A167" s="36" t="str">
        <x:v>DRV-06/繁易</x:v>
      </x:c>
      <x:c r="B167" s="36" t="str">
        <x:v>繁易</x:v>
      </x:c>
      <x:c r="C167" s="36" t="str">
        <x:v>DRV-06</x:v>
      </x:c>
      <x:c r="D167" s="36" t="str">
        <x:v>繁易-01</x:v>
      </x:c>
      <x:c r="E167" s="22"/>
      <x:c r="F167" s="22"/>
      <x:c r="G167" s="37"/>
      <x:c r="H167" s="22"/>
      <x:c r="I167" s="22"/>
      <x:c r="J167" s="22"/>
      <x:c r="K167" s="22"/>
      <x:c r="L167" s="6" t="str">
        <x:f>IF(COUNTA(E167:K167)=0,"",IF(OR(H167="不适用",H167="阻塞",H167="资料确认（未实测）"),"非实测记录",IF(AND(E167&lt;&gt;"",ISNUMBER(G167),G167&gt;0,H167&lt;&gt;"",I167&lt;&gt;"",J167&lt;&gt;""),"记录齐全","待补记录")))</x:f>
      </x:c>
    </x:row>
    <x:row r="168" ht="48" customHeight="1">
      <x:c r="A168" s="36" t="str">
        <x:v>DRV-06/Elmo</x:v>
      </x:c>
      <x:c r="B168" s="36" t="str">
        <x:v>Elmo</x:v>
      </x:c>
      <x:c r="C168" s="36" t="str">
        <x:v>DRV-06</x:v>
      </x:c>
      <x:c r="D168" s="36" t="str">
        <x:v>Elmo-01</x:v>
      </x:c>
      <x:c r="E168" s="22"/>
      <x:c r="F168" s="22"/>
      <x:c r="G168" s="37"/>
      <x:c r="H168" s="22"/>
      <x:c r="I168" s="22"/>
      <x:c r="J168" s="22"/>
      <x:c r="K168" s="22"/>
      <x:c r="L168" s="6" t="str">
        <x:f>IF(COUNTA(E168:K168)=0,"",IF(OR(H168="不适用",H168="阻塞",H168="资料确认（未实测）"),"非实测记录",IF(AND(E168&lt;&gt;"",ISNUMBER(G168),G168&gt;0,H168&lt;&gt;"",I168&lt;&gt;"",J168&lt;&gt;""),"记录齐全","待补记录")))</x:f>
      </x:c>
    </x:row>
    <x:row r="169" ht="48" customHeight="1">
      <x:c r="A169" s="36" t="str">
        <x:v>DRV-06/KEBA（可选）</x:v>
      </x:c>
      <x:c r="B169" s="36" t="str">
        <x:v>KEBA（可选）</x:v>
      </x:c>
      <x:c r="C169" s="36" t="str">
        <x:v>DRV-06</x:v>
      </x:c>
      <x:c r="D169" s="36" t="str">
        <x:v>KEBA-01</x:v>
      </x:c>
      <x:c r="E169" s="22"/>
      <x:c r="F169" s="22"/>
      <x:c r="G169" s="37"/>
      <x:c r="H169" s="22"/>
      <x:c r="I169" s="22"/>
      <x:c r="J169" s="22"/>
      <x:c r="K169" s="22"/>
      <x:c r="L169" s="6" t="str">
        <x:f>IF(COUNTA(E169:K169)=0,"",IF(OR(H169="不适用",H169="阻塞",H169="资料确认（未实测）"),"非实测记录",IF(AND(E169&lt;&gt;"",ISNUMBER(G169),G169&gt;0,H169&lt;&gt;"",I169&lt;&gt;"",J169&lt;&gt;""),"记录齐全","待补记录")))</x:f>
      </x:c>
    </x:row>
    <x:row r="170" ht="48" customHeight="1">
      <x:c r="A170" s="36" t="str">
        <x:v>DRV-07/CDHD</x:v>
      </x:c>
      <x:c r="B170" s="36" t="str">
        <x:v>CDHD</x:v>
      </x:c>
      <x:c r="C170" s="36" t="str">
        <x:v>DRV-07</x:v>
      </x:c>
      <x:c r="D170" s="36" t="str">
        <x:v>CDHD-01</x:v>
      </x:c>
      <x:c r="E170" s="22"/>
      <x:c r="F170" s="22"/>
      <x:c r="G170" s="37"/>
      <x:c r="H170" s="22"/>
      <x:c r="I170" s="22"/>
      <x:c r="J170" s="22"/>
      <x:c r="K170" s="22"/>
      <x:c r="L170" s="6" t="str">
        <x:f>IF(COUNTA(E170:K170)=0,"",IF(OR(H170="不适用",H170="阻塞",H170="资料确认（未实测）"),"非实测记录",IF(AND(E170&lt;&gt;"",ISNUMBER(G170),G170&gt;0,H170&lt;&gt;"",I170&lt;&gt;"",J170&lt;&gt;""),"记录齐全","待补记录")))</x:f>
      </x:c>
    </x:row>
    <x:row r="171" ht="48" customHeight="1">
      <x:c r="A171" s="36" t="str">
        <x:v>DRV-07/台达</x:v>
      </x:c>
      <x:c r="B171" s="36" t="str">
        <x:v>台达</x:v>
      </x:c>
      <x:c r="C171" s="36" t="str">
        <x:v>DRV-07</x:v>
      </x:c>
      <x:c r="D171" s="36" t="str">
        <x:v>台达-01</x:v>
      </x:c>
      <x:c r="E171" s="22"/>
      <x:c r="F171" s="22"/>
      <x:c r="G171" s="37"/>
      <x:c r="H171" s="22"/>
      <x:c r="I171" s="22"/>
      <x:c r="J171" s="22"/>
      <x:c r="K171" s="22"/>
      <x:c r="L171" s="6" t="str">
        <x:f>IF(COUNTA(E171:K171)=0,"",IF(OR(H171="不适用",H171="阻塞",H171="资料确认（未实测）"),"非实测记录",IF(AND(E171&lt;&gt;"",ISNUMBER(G171),G171&gt;0,H171&lt;&gt;"",I171&lt;&gt;"",J171&lt;&gt;""),"记录齐全","待补记录")))</x:f>
      </x:c>
    </x:row>
    <x:row r="172" ht="48" customHeight="1">
      <x:c r="A172" s="36" t="str">
        <x:v>DRV-07/繁易</x:v>
      </x:c>
      <x:c r="B172" s="36" t="str">
        <x:v>繁易</x:v>
      </x:c>
      <x:c r="C172" s="36" t="str">
        <x:v>DRV-07</x:v>
      </x:c>
      <x:c r="D172" s="36" t="str">
        <x:v>繁易-01</x:v>
      </x:c>
      <x:c r="E172" s="22"/>
      <x:c r="F172" s="22"/>
      <x:c r="G172" s="37"/>
      <x:c r="H172" s="22"/>
      <x:c r="I172" s="22"/>
      <x:c r="J172" s="22"/>
      <x:c r="K172" s="22"/>
      <x:c r="L172" s="6" t="str">
        <x:f>IF(COUNTA(E172:K172)=0,"",IF(OR(H172="不适用",H172="阻塞",H172="资料确认（未实测）"),"非实测记录",IF(AND(E172&lt;&gt;"",ISNUMBER(G172),G172&gt;0,H172&lt;&gt;"",I172&lt;&gt;"",J172&lt;&gt;""),"记录齐全","待补记录")))</x:f>
      </x:c>
    </x:row>
    <x:row r="173" ht="48" customHeight="1">
      <x:c r="A173" s="36" t="str">
        <x:v>DRV-07/Elmo</x:v>
      </x:c>
      <x:c r="B173" s="36" t="str">
        <x:v>Elmo</x:v>
      </x:c>
      <x:c r="C173" s="36" t="str">
        <x:v>DRV-07</x:v>
      </x:c>
      <x:c r="D173" s="36" t="str">
        <x:v>Elmo-01</x:v>
      </x:c>
      <x:c r="E173" s="22"/>
      <x:c r="F173" s="22"/>
      <x:c r="G173" s="37"/>
      <x:c r="H173" s="22"/>
      <x:c r="I173" s="22"/>
      <x:c r="J173" s="22"/>
      <x:c r="K173" s="22"/>
      <x:c r="L173" s="6" t="str">
        <x:f>IF(COUNTA(E173:K173)=0,"",IF(OR(H173="不适用",H173="阻塞",H173="资料确认（未实测）"),"非实测记录",IF(AND(E173&lt;&gt;"",ISNUMBER(G173),G173&gt;0,H173&lt;&gt;"",I173&lt;&gt;"",J173&lt;&gt;""),"记录齐全","待补记录")))</x:f>
      </x:c>
    </x:row>
    <x:row r="174" ht="48" customHeight="1">
      <x:c r="A174" s="36" t="str">
        <x:v>DRV-07/KEBA（可选）</x:v>
      </x:c>
      <x:c r="B174" s="36" t="str">
        <x:v>KEBA（可选）</x:v>
      </x:c>
      <x:c r="C174" s="36" t="str">
        <x:v>DRV-07</x:v>
      </x:c>
      <x:c r="D174" s="36" t="str">
        <x:v>KEBA-01</x:v>
      </x:c>
      <x:c r="E174" s="22"/>
      <x:c r="F174" s="22"/>
      <x:c r="G174" s="37"/>
      <x:c r="H174" s="22"/>
      <x:c r="I174" s="22"/>
      <x:c r="J174" s="22"/>
      <x:c r="K174" s="22"/>
      <x:c r="L174" s="6" t="str">
        <x:f>IF(COUNTA(E174:K174)=0,"",IF(OR(H174="不适用",H174="阻塞",H174="资料确认（未实测）"),"非实测记录",IF(AND(E174&lt;&gt;"",ISNUMBER(G174),G174&gt;0,H174&lt;&gt;"",I174&lt;&gt;"",J174&lt;&gt;""),"记录齐全","待补记录")))</x:f>
      </x:c>
    </x:row>
    <x:row r="175" ht="48" customHeight="1">
      <x:c r="A175" s="36" t="str">
        <x:v>DRV-08/CDHD</x:v>
      </x:c>
      <x:c r="B175" s="36" t="str">
        <x:v>CDHD</x:v>
      </x:c>
      <x:c r="C175" s="36" t="str">
        <x:v>DRV-08</x:v>
      </x:c>
      <x:c r="D175" s="36" t="str">
        <x:v>CDHD-01</x:v>
      </x:c>
      <x:c r="E175" s="22"/>
      <x:c r="F175" s="22"/>
      <x:c r="G175" s="37"/>
      <x:c r="H175" s="22"/>
      <x:c r="I175" s="22"/>
      <x:c r="J175" s="22"/>
      <x:c r="K175" s="22"/>
      <x:c r="L175" s="6" t="str">
        <x:f>IF(COUNTA(E175:K175)=0,"",IF(OR(H175="不适用",H175="阻塞",H175="资料确认（未实测）"),"非实测记录",IF(AND(E175&lt;&gt;"",ISNUMBER(G175),G175&gt;0,H175&lt;&gt;"",I175&lt;&gt;"",J175&lt;&gt;""),"记录齐全","待补记录")))</x:f>
      </x:c>
    </x:row>
    <x:row r="176" ht="48" customHeight="1">
      <x:c r="A176" s="36" t="str">
        <x:v>DRV-08/台达</x:v>
      </x:c>
      <x:c r="B176" s="36" t="str">
        <x:v>台达</x:v>
      </x:c>
      <x:c r="C176" s="36" t="str">
        <x:v>DRV-08</x:v>
      </x:c>
      <x:c r="D176" s="36" t="str">
        <x:v>台达-01</x:v>
      </x:c>
      <x:c r="E176" s="22"/>
      <x:c r="F176" s="22"/>
      <x:c r="G176" s="37"/>
      <x:c r="H176" s="22"/>
      <x:c r="I176" s="22"/>
      <x:c r="J176" s="22"/>
      <x:c r="K176" s="22"/>
      <x:c r="L176" s="6" t="str">
        <x:f>IF(COUNTA(E176:K176)=0,"",IF(OR(H176="不适用",H176="阻塞",H176="资料确认（未实测）"),"非实测记录",IF(AND(E176&lt;&gt;"",ISNUMBER(G176),G176&gt;0,H176&lt;&gt;"",I176&lt;&gt;"",J176&lt;&gt;""),"记录齐全","待补记录")))</x:f>
      </x:c>
    </x:row>
    <x:row r="177" ht="48" customHeight="1">
      <x:c r="A177" s="36" t="str">
        <x:v>DRV-08/繁易</x:v>
      </x:c>
      <x:c r="B177" s="36" t="str">
        <x:v>繁易</x:v>
      </x:c>
      <x:c r="C177" s="36" t="str">
        <x:v>DRV-08</x:v>
      </x:c>
      <x:c r="D177" s="36" t="str">
        <x:v>繁易-01</x:v>
      </x:c>
      <x:c r="E177" s="22"/>
      <x:c r="F177" s="22"/>
      <x:c r="G177" s="37"/>
      <x:c r="H177" s="22"/>
      <x:c r="I177" s="22"/>
      <x:c r="J177" s="22"/>
      <x:c r="K177" s="22"/>
      <x:c r="L177" s="6" t="str">
        <x:f>IF(COUNTA(E177:K177)=0,"",IF(OR(H177="不适用",H177="阻塞",H177="资料确认（未实测）"),"非实测记录",IF(AND(E177&lt;&gt;"",ISNUMBER(G177),G177&gt;0,H177&lt;&gt;"",I177&lt;&gt;"",J177&lt;&gt;""),"记录齐全","待补记录")))</x:f>
      </x:c>
    </x:row>
    <x:row r="178" ht="48" customHeight="1">
      <x:c r="A178" s="36" t="str">
        <x:v>DRV-08/Elmo</x:v>
      </x:c>
      <x:c r="B178" s="36" t="str">
        <x:v>Elmo</x:v>
      </x:c>
      <x:c r="C178" s="36" t="str">
        <x:v>DRV-08</x:v>
      </x:c>
      <x:c r="D178" s="36" t="str">
        <x:v>Elmo-01</x:v>
      </x:c>
      <x:c r="E178" s="22"/>
      <x:c r="F178" s="22"/>
      <x:c r="G178" s="37"/>
      <x:c r="H178" s="22"/>
      <x:c r="I178" s="22"/>
      <x:c r="J178" s="22"/>
      <x:c r="K178" s="22"/>
      <x:c r="L178" s="6" t="str">
        <x:f>IF(COUNTA(E178:K178)=0,"",IF(OR(H178="不适用",H178="阻塞",H178="资料确认（未实测）"),"非实测记录",IF(AND(E178&lt;&gt;"",ISNUMBER(G178),G178&gt;0,H178&lt;&gt;"",I178&lt;&gt;"",J178&lt;&gt;""),"记录齐全","待补记录")))</x:f>
      </x:c>
    </x:row>
    <x:row r="179" ht="48" customHeight="1">
      <x:c r="A179" s="36" t="str">
        <x:v>DRV-08/KEBA（可选）</x:v>
      </x:c>
      <x:c r="B179" s="36" t="str">
        <x:v>KEBA（可选）</x:v>
      </x:c>
      <x:c r="C179" s="36" t="str">
        <x:v>DRV-08</x:v>
      </x:c>
      <x:c r="D179" s="36" t="str">
        <x:v>KEBA-01</x:v>
      </x:c>
      <x:c r="E179" s="22"/>
      <x:c r="F179" s="22"/>
      <x:c r="G179" s="37"/>
      <x:c r="H179" s="22"/>
      <x:c r="I179" s="22"/>
      <x:c r="J179" s="22"/>
      <x:c r="K179" s="22"/>
      <x:c r="L179" s="6" t="str">
        <x:f>IF(COUNTA(E179:K179)=0,"",IF(OR(H179="不适用",H179="阻塞",H179="资料确认（未实测）"),"非实测记录",IF(AND(E179&lt;&gt;"",ISNUMBER(G179),G179&gt;0,H179&lt;&gt;"",I179&lt;&gt;"",J179&lt;&gt;""),"记录齐全","待补记录")))</x:f>
      </x:c>
    </x:row>
    <x:row r="180" ht="48" customHeight="1">
      <x:c r="A180" s="36" t="str">
        <x:v>DRV-09/CDHD</x:v>
      </x:c>
      <x:c r="B180" s="36" t="str">
        <x:v>CDHD</x:v>
      </x:c>
      <x:c r="C180" s="36" t="str">
        <x:v>DRV-09</x:v>
      </x:c>
      <x:c r="D180" s="36" t="str">
        <x:v>CDHD-01</x:v>
      </x:c>
      <x:c r="E180" s="22"/>
      <x:c r="F180" s="22"/>
      <x:c r="G180" s="37"/>
      <x:c r="H180" s="22"/>
      <x:c r="I180" s="22"/>
      <x:c r="J180" s="22"/>
      <x:c r="K180" s="22"/>
      <x:c r="L180" s="6" t="str">
        <x:f>IF(COUNTA(E180:K180)=0,"",IF(OR(H180="不适用",H180="阻塞",H180="资料确认（未实测）"),"非实测记录",IF(AND(E180&lt;&gt;"",ISNUMBER(G180),G180&gt;0,H180&lt;&gt;"",I180&lt;&gt;"",J180&lt;&gt;""),"记录齐全","待补记录")))</x:f>
      </x:c>
    </x:row>
    <x:row r="181" ht="48" customHeight="1">
      <x:c r="A181" s="36" t="str">
        <x:v>DRV-09/台达</x:v>
      </x:c>
      <x:c r="B181" s="36" t="str">
        <x:v>台达</x:v>
      </x:c>
      <x:c r="C181" s="36" t="str">
        <x:v>DRV-09</x:v>
      </x:c>
      <x:c r="D181" s="36" t="str">
        <x:v>台达-01</x:v>
      </x:c>
      <x:c r="E181" s="22"/>
      <x:c r="F181" s="22"/>
      <x:c r="G181" s="37"/>
      <x:c r="H181" s="22"/>
      <x:c r="I181" s="22"/>
      <x:c r="J181" s="22"/>
      <x:c r="K181" s="22"/>
      <x:c r="L181" s="6" t="str">
        <x:f>IF(COUNTA(E181:K181)=0,"",IF(OR(H181="不适用",H181="阻塞",H181="资料确认（未实测）"),"非实测记录",IF(AND(E181&lt;&gt;"",ISNUMBER(G181),G181&gt;0,H181&lt;&gt;"",I181&lt;&gt;"",J181&lt;&gt;""),"记录齐全","待补记录")))</x:f>
      </x:c>
    </x:row>
    <x:row r="182" ht="48" customHeight="1">
      <x:c r="A182" s="36" t="str">
        <x:v>DRV-09/繁易</x:v>
      </x:c>
      <x:c r="B182" s="36" t="str">
        <x:v>繁易</x:v>
      </x:c>
      <x:c r="C182" s="36" t="str">
        <x:v>DRV-09</x:v>
      </x:c>
      <x:c r="D182" s="36" t="str">
        <x:v>繁易-01</x:v>
      </x:c>
      <x:c r="E182" s="22"/>
      <x:c r="F182" s="22"/>
      <x:c r="G182" s="37"/>
      <x:c r="H182" s="22"/>
      <x:c r="I182" s="22"/>
      <x:c r="J182" s="22"/>
      <x:c r="K182" s="22"/>
      <x:c r="L182" s="6" t="str">
        <x:f>IF(COUNTA(E182:K182)=0,"",IF(OR(H182="不适用",H182="阻塞",H182="资料确认（未实测）"),"非实测记录",IF(AND(E182&lt;&gt;"",ISNUMBER(G182),G182&gt;0,H182&lt;&gt;"",I182&lt;&gt;"",J182&lt;&gt;""),"记录齐全","待补记录")))</x:f>
      </x:c>
    </x:row>
    <x:row r="183" ht="48" customHeight="1">
      <x:c r="A183" s="36" t="str">
        <x:v>DRV-09/Elmo</x:v>
      </x:c>
      <x:c r="B183" s="36" t="str">
        <x:v>Elmo</x:v>
      </x:c>
      <x:c r="C183" s="36" t="str">
        <x:v>DRV-09</x:v>
      </x:c>
      <x:c r="D183" s="36" t="str">
        <x:v>Elmo-01</x:v>
      </x:c>
      <x:c r="E183" s="22"/>
      <x:c r="F183" s="22"/>
      <x:c r="G183" s="37"/>
      <x:c r="H183" s="22"/>
      <x:c r="I183" s="22"/>
      <x:c r="J183" s="22"/>
      <x:c r="K183" s="22"/>
      <x:c r="L183" s="6" t="str">
        <x:f>IF(COUNTA(E183:K183)=0,"",IF(OR(H183="不适用",H183="阻塞",H183="资料确认（未实测）"),"非实测记录",IF(AND(E183&lt;&gt;"",ISNUMBER(G183),G183&gt;0,H183&lt;&gt;"",I183&lt;&gt;"",J183&lt;&gt;""),"记录齐全","待补记录")))</x:f>
      </x:c>
    </x:row>
    <x:row r="184" ht="48" customHeight="1">
      <x:c r="A184" s="36" t="str">
        <x:v>DRV-09/KEBA（可选）</x:v>
      </x:c>
      <x:c r="B184" s="36" t="str">
        <x:v>KEBA（可选）</x:v>
      </x:c>
      <x:c r="C184" s="36" t="str">
        <x:v>DRV-09</x:v>
      </x:c>
      <x:c r="D184" s="36" t="str">
        <x:v>KEBA-01</x:v>
      </x:c>
      <x:c r="E184" s="22"/>
      <x:c r="F184" s="22"/>
      <x:c r="G184" s="37"/>
      <x:c r="H184" s="22"/>
      <x:c r="I184" s="22"/>
      <x:c r="J184" s="22"/>
      <x:c r="K184" s="22"/>
      <x:c r="L184" s="6" t="str">
        <x:f>IF(COUNTA(E184:K184)=0,"",IF(OR(H184="不适用",H184="阻塞",H184="资料确认（未实测）"),"非实测记录",IF(AND(E184&lt;&gt;"",ISNUMBER(G184),G184&gt;0,H184&lt;&gt;"",I184&lt;&gt;"",J184&lt;&gt;""),"记录齐全","待补记录")))</x:f>
      </x:c>
    </x:row>
    <x:row r="185" ht="48" customHeight="1">
      <x:c r="A185" s="36" t="str">
        <x:v>UNT-01/CDHD</x:v>
      </x:c>
      <x:c r="B185" s="36" t="str">
        <x:v>CDHD</x:v>
      </x:c>
      <x:c r="C185" s="36" t="str">
        <x:v>UNT-01</x:v>
      </x:c>
      <x:c r="D185" s="36" t="str">
        <x:v>CDHD-01</x:v>
      </x:c>
      <x:c r="E185" s="22"/>
      <x:c r="F185" s="22"/>
      <x:c r="G185" s="37"/>
      <x:c r="H185" s="22"/>
      <x:c r="I185" s="22"/>
      <x:c r="J185" s="22"/>
      <x:c r="K185" s="22"/>
      <x:c r="L185" s="6" t="str">
        <x:f>IF(COUNTA(E185:K185)=0,"",IF(OR(H185="不适用",H185="阻塞",H185="资料确认（未实测）"),"非实测记录",IF(AND(E185&lt;&gt;"",ISNUMBER(G185),G185&gt;0,H185&lt;&gt;"",I185&lt;&gt;"",J185&lt;&gt;""),"记录齐全","待补记录")))</x:f>
      </x:c>
    </x:row>
    <x:row r="186" ht="48" customHeight="1">
      <x:c r="A186" s="36" t="str">
        <x:v>UNT-01/台达</x:v>
      </x:c>
      <x:c r="B186" s="36" t="str">
        <x:v>台达</x:v>
      </x:c>
      <x:c r="C186" s="36" t="str">
        <x:v>UNT-01</x:v>
      </x:c>
      <x:c r="D186" s="36" t="str">
        <x:v>台达-01</x:v>
      </x:c>
      <x:c r="E186" s="22"/>
      <x:c r="F186" s="22"/>
      <x:c r="G186" s="37"/>
      <x:c r="H186" s="22"/>
      <x:c r="I186" s="22"/>
      <x:c r="J186" s="22"/>
      <x:c r="K186" s="22"/>
      <x:c r="L186" s="6" t="str">
        <x:f>IF(COUNTA(E186:K186)=0,"",IF(OR(H186="不适用",H186="阻塞",H186="资料确认（未实测）"),"非实测记录",IF(AND(E186&lt;&gt;"",ISNUMBER(G186),G186&gt;0,H186&lt;&gt;"",I186&lt;&gt;"",J186&lt;&gt;""),"记录齐全","待补记录")))</x:f>
      </x:c>
    </x:row>
    <x:row r="187" ht="48" customHeight="1">
      <x:c r="A187" s="36" t="str">
        <x:v>UNT-01/繁易</x:v>
      </x:c>
      <x:c r="B187" s="36" t="str">
        <x:v>繁易</x:v>
      </x:c>
      <x:c r="C187" s="36" t="str">
        <x:v>UNT-01</x:v>
      </x:c>
      <x:c r="D187" s="36" t="str">
        <x:v>繁易-01</x:v>
      </x:c>
      <x:c r="E187" s="22"/>
      <x:c r="F187" s="22"/>
      <x:c r="G187" s="37"/>
      <x:c r="H187" s="22"/>
      <x:c r="I187" s="22"/>
      <x:c r="J187" s="22"/>
      <x:c r="K187" s="22"/>
      <x:c r="L187" s="6" t="str">
        <x:f>IF(COUNTA(E187:K187)=0,"",IF(OR(H187="不适用",H187="阻塞",H187="资料确认（未实测）"),"非实测记录",IF(AND(E187&lt;&gt;"",ISNUMBER(G187),G187&gt;0,H187&lt;&gt;"",I187&lt;&gt;"",J187&lt;&gt;""),"记录齐全","待补记录")))</x:f>
      </x:c>
    </x:row>
    <x:row r="188" ht="48" customHeight="1">
      <x:c r="A188" s="36" t="str">
        <x:v>UNT-01/Elmo</x:v>
      </x:c>
      <x:c r="B188" s="36" t="str">
        <x:v>Elmo</x:v>
      </x:c>
      <x:c r="C188" s="36" t="str">
        <x:v>UNT-01</x:v>
      </x:c>
      <x:c r="D188" s="36" t="str">
        <x:v>Elmo-01</x:v>
      </x:c>
      <x:c r="E188" s="22"/>
      <x:c r="F188" s="22"/>
      <x:c r="G188" s="37"/>
      <x:c r="H188" s="22"/>
      <x:c r="I188" s="22"/>
      <x:c r="J188" s="22"/>
      <x:c r="K188" s="22"/>
      <x:c r="L188" s="6" t="str">
        <x:f>IF(COUNTA(E188:K188)=0,"",IF(OR(H188="不适用",H188="阻塞",H188="资料确认（未实测）"),"非实测记录",IF(AND(E188&lt;&gt;"",ISNUMBER(G188),G188&gt;0,H188&lt;&gt;"",I188&lt;&gt;"",J188&lt;&gt;""),"记录齐全","待补记录")))</x:f>
      </x:c>
    </x:row>
    <x:row r="189" ht="48" customHeight="1">
      <x:c r="A189" s="36" t="str">
        <x:v>UNT-01/KEBA（可选）</x:v>
      </x:c>
      <x:c r="B189" s="36" t="str">
        <x:v>KEBA（可选）</x:v>
      </x:c>
      <x:c r="C189" s="36" t="str">
        <x:v>UNT-01</x:v>
      </x:c>
      <x:c r="D189" s="36" t="str">
        <x:v>KEBA-01</x:v>
      </x:c>
      <x:c r="E189" s="22"/>
      <x:c r="F189" s="22"/>
      <x:c r="G189" s="37"/>
      <x:c r="H189" s="22"/>
      <x:c r="I189" s="22"/>
      <x:c r="J189" s="22"/>
      <x:c r="K189" s="22"/>
      <x:c r="L189" s="6" t="str">
        <x:f>IF(COUNTA(E189:K189)=0,"",IF(OR(H189="不适用",H189="阻塞",H189="资料确认（未实测）"),"非实测记录",IF(AND(E189&lt;&gt;"",ISNUMBER(G189),G189&gt;0,H189&lt;&gt;"",I189&lt;&gt;"",J189&lt;&gt;""),"记录齐全","待补记录")))</x:f>
      </x:c>
    </x:row>
    <x:row r="190" ht="48" customHeight="1">
      <x:c r="A190" s="36" t="str">
        <x:v>UNT-02/CDHD</x:v>
      </x:c>
      <x:c r="B190" s="36" t="str">
        <x:v>CDHD</x:v>
      </x:c>
      <x:c r="C190" s="36" t="str">
        <x:v>UNT-02</x:v>
      </x:c>
      <x:c r="D190" s="36" t="str">
        <x:v>CDHD-01</x:v>
      </x:c>
      <x:c r="E190" s="22"/>
      <x:c r="F190" s="22"/>
      <x:c r="G190" s="37"/>
      <x:c r="H190" s="22"/>
      <x:c r="I190" s="22"/>
      <x:c r="J190" s="22"/>
      <x:c r="K190" s="22"/>
      <x:c r="L190" s="6" t="str">
        <x:f>IF(COUNTA(E190:K190)=0,"",IF(OR(H190="不适用",H190="阻塞",H190="资料确认（未实测）"),"非实测记录",IF(AND(E190&lt;&gt;"",ISNUMBER(G190),G190&gt;0,H190&lt;&gt;"",I190&lt;&gt;"",J190&lt;&gt;""),"记录齐全","待补记录")))</x:f>
      </x:c>
    </x:row>
    <x:row r="191" ht="48" customHeight="1">
      <x:c r="A191" s="36" t="str">
        <x:v>UNT-02/台达</x:v>
      </x:c>
      <x:c r="B191" s="36" t="str">
        <x:v>台达</x:v>
      </x:c>
      <x:c r="C191" s="36" t="str">
        <x:v>UNT-02</x:v>
      </x:c>
      <x:c r="D191" s="36" t="str">
        <x:v>台达-01</x:v>
      </x:c>
      <x:c r="E191" s="22"/>
      <x:c r="F191" s="22"/>
      <x:c r="G191" s="37"/>
      <x:c r="H191" s="22"/>
      <x:c r="I191" s="22"/>
      <x:c r="J191" s="22"/>
      <x:c r="K191" s="22"/>
      <x:c r="L191" s="6" t="str">
        <x:f>IF(COUNTA(E191:K191)=0,"",IF(OR(H191="不适用",H191="阻塞",H191="资料确认（未实测）"),"非实测记录",IF(AND(E191&lt;&gt;"",ISNUMBER(G191),G191&gt;0,H191&lt;&gt;"",I191&lt;&gt;"",J191&lt;&gt;""),"记录齐全","待补记录")))</x:f>
      </x:c>
    </x:row>
    <x:row r="192" ht="48" customHeight="1">
      <x:c r="A192" s="36" t="str">
        <x:v>UNT-02/繁易</x:v>
      </x:c>
      <x:c r="B192" s="36" t="str">
        <x:v>繁易</x:v>
      </x:c>
      <x:c r="C192" s="36" t="str">
        <x:v>UNT-02</x:v>
      </x:c>
      <x:c r="D192" s="36" t="str">
        <x:v>繁易-01</x:v>
      </x:c>
      <x:c r="E192" s="22"/>
      <x:c r="F192" s="22"/>
      <x:c r="G192" s="37"/>
      <x:c r="H192" s="22"/>
      <x:c r="I192" s="22"/>
      <x:c r="J192" s="22"/>
      <x:c r="K192" s="22"/>
      <x:c r="L192" s="6" t="str">
        <x:f>IF(COUNTA(E192:K192)=0,"",IF(OR(H192="不适用",H192="阻塞",H192="资料确认（未实测）"),"非实测记录",IF(AND(E192&lt;&gt;"",ISNUMBER(G192),G192&gt;0,H192&lt;&gt;"",I192&lt;&gt;"",J192&lt;&gt;""),"记录齐全","待补记录")))</x:f>
      </x:c>
    </x:row>
    <x:row r="193" ht="48" customHeight="1">
      <x:c r="A193" s="36" t="str">
        <x:v>UNT-02/Elmo</x:v>
      </x:c>
      <x:c r="B193" s="36" t="str">
        <x:v>Elmo</x:v>
      </x:c>
      <x:c r="C193" s="36" t="str">
        <x:v>UNT-02</x:v>
      </x:c>
      <x:c r="D193" s="36" t="str">
        <x:v>Elmo-01</x:v>
      </x:c>
      <x:c r="E193" s="22"/>
      <x:c r="F193" s="22"/>
      <x:c r="G193" s="37"/>
      <x:c r="H193" s="22"/>
      <x:c r="I193" s="22"/>
      <x:c r="J193" s="22"/>
      <x:c r="K193" s="22"/>
      <x:c r="L193" s="6" t="str">
        <x:f>IF(COUNTA(E193:K193)=0,"",IF(OR(H193="不适用",H193="阻塞",H193="资料确认（未实测）"),"非实测记录",IF(AND(E193&lt;&gt;"",ISNUMBER(G193),G193&gt;0,H193&lt;&gt;"",I193&lt;&gt;"",J193&lt;&gt;""),"记录齐全","待补记录")))</x:f>
      </x:c>
    </x:row>
    <x:row r="194" ht="48" customHeight="1">
      <x:c r="A194" s="36" t="str">
        <x:v>UNT-02/KEBA（可选）</x:v>
      </x:c>
      <x:c r="B194" s="36" t="str">
        <x:v>KEBA（可选）</x:v>
      </x:c>
      <x:c r="C194" s="36" t="str">
        <x:v>UNT-02</x:v>
      </x:c>
      <x:c r="D194" s="36" t="str">
        <x:v>KEBA-01</x:v>
      </x:c>
      <x:c r="E194" s="22"/>
      <x:c r="F194" s="22"/>
      <x:c r="G194" s="37"/>
      <x:c r="H194" s="22"/>
      <x:c r="I194" s="22"/>
      <x:c r="J194" s="22"/>
      <x:c r="K194" s="22"/>
      <x:c r="L194" s="6" t="str">
        <x:f>IF(COUNTA(E194:K194)=0,"",IF(OR(H194="不适用",H194="阻塞",H194="资料确认（未实测）"),"非实测记录",IF(AND(E194&lt;&gt;"",ISNUMBER(G194),G194&gt;0,H194&lt;&gt;"",I194&lt;&gt;"",J194&lt;&gt;""),"记录齐全","待补记录")))</x:f>
      </x:c>
    </x:row>
    <x:row r="195" ht="48" customHeight="1">
      <x:c r="A195" s="36" t="str">
        <x:v>UNT-03/CDHD</x:v>
      </x:c>
      <x:c r="B195" s="36" t="str">
        <x:v>CDHD</x:v>
      </x:c>
      <x:c r="C195" s="36" t="str">
        <x:v>UNT-03</x:v>
      </x:c>
      <x:c r="D195" s="36" t="str">
        <x:v>CDHD-01</x:v>
      </x:c>
      <x:c r="E195" s="22"/>
      <x:c r="F195" s="22"/>
      <x:c r="G195" s="37"/>
      <x:c r="H195" s="22"/>
      <x:c r="I195" s="22"/>
      <x:c r="J195" s="22"/>
      <x:c r="K195" s="22"/>
      <x:c r="L195" s="6" t="str">
        <x:f>IF(COUNTA(E195:K195)=0,"",IF(OR(H195="不适用",H195="阻塞",H195="资料确认（未实测）"),"非实测记录",IF(AND(E195&lt;&gt;"",ISNUMBER(G195),G195&gt;0,H195&lt;&gt;"",I195&lt;&gt;"",J195&lt;&gt;""),"记录齐全","待补记录")))</x:f>
      </x:c>
    </x:row>
    <x:row r="196" ht="48" customHeight="1">
      <x:c r="A196" s="36" t="str">
        <x:v>UNT-03/台达</x:v>
      </x:c>
      <x:c r="B196" s="36" t="str">
        <x:v>台达</x:v>
      </x:c>
      <x:c r="C196" s="36" t="str">
        <x:v>UNT-03</x:v>
      </x:c>
      <x:c r="D196" s="36" t="str">
        <x:v>台达-01</x:v>
      </x:c>
      <x:c r="E196" s="22"/>
      <x:c r="F196" s="22"/>
      <x:c r="G196" s="37"/>
      <x:c r="H196" s="22"/>
      <x:c r="I196" s="22"/>
      <x:c r="J196" s="22"/>
      <x:c r="K196" s="22"/>
      <x:c r="L196" s="6" t="str">
        <x:f>IF(COUNTA(E196:K196)=0,"",IF(OR(H196="不适用",H196="阻塞",H196="资料确认（未实测）"),"非实测记录",IF(AND(E196&lt;&gt;"",ISNUMBER(G196),G196&gt;0,H196&lt;&gt;"",I196&lt;&gt;"",J196&lt;&gt;""),"记录齐全","待补记录")))</x:f>
      </x:c>
    </x:row>
    <x:row r="197" ht="48" customHeight="1">
      <x:c r="A197" s="36" t="str">
        <x:v>UNT-03/繁易</x:v>
      </x:c>
      <x:c r="B197" s="36" t="str">
        <x:v>繁易</x:v>
      </x:c>
      <x:c r="C197" s="36" t="str">
        <x:v>UNT-03</x:v>
      </x:c>
      <x:c r="D197" s="36" t="str">
        <x:v>繁易-01</x:v>
      </x:c>
      <x:c r="E197" s="22"/>
      <x:c r="F197" s="22"/>
      <x:c r="G197" s="37"/>
      <x:c r="H197" s="22"/>
      <x:c r="I197" s="22"/>
      <x:c r="J197" s="22"/>
      <x:c r="K197" s="22"/>
      <x:c r="L197" s="6" t="str">
        <x:f>IF(COUNTA(E197:K197)=0,"",IF(OR(H197="不适用",H197="阻塞",H197="资料确认（未实测）"),"非实测记录",IF(AND(E197&lt;&gt;"",ISNUMBER(G197),G197&gt;0,H197&lt;&gt;"",I197&lt;&gt;"",J197&lt;&gt;""),"记录齐全","待补记录")))</x:f>
      </x:c>
    </x:row>
    <x:row r="198" ht="48" customHeight="1">
      <x:c r="A198" s="36" t="str">
        <x:v>UNT-03/Elmo</x:v>
      </x:c>
      <x:c r="B198" s="36" t="str">
        <x:v>Elmo</x:v>
      </x:c>
      <x:c r="C198" s="36" t="str">
        <x:v>UNT-03</x:v>
      </x:c>
      <x:c r="D198" s="36" t="str">
        <x:v>Elmo-01</x:v>
      </x:c>
      <x:c r="E198" s="22"/>
      <x:c r="F198" s="22"/>
      <x:c r="G198" s="37"/>
      <x:c r="H198" s="22"/>
      <x:c r="I198" s="22"/>
      <x:c r="J198" s="22"/>
      <x:c r="K198" s="22"/>
      <x:c r="L198" s="6" t="str">
        <x:f>IF(COUNTA(E198:K198)=0,"",IF(OR(H198="不适用",H198="阻塞",H198="资料确认（未实测）"),"非实测记录",IF(AND(E198&lt;&gt;"",ISNUMBER(G198),G198&gt;0,H198&lt;&gt;"",I198&lt;&gt;"",J198&lt;&gt;""),"记录齐全","待补记录")))</x:f>
      </x:c>
    </x:row>
    <x:row r="199" ht="48" customHeight="1">
      <x:c r="A199" s="36" t="str">
        <x:v>UNT-03/KEBA（可选）</x:v>
      </x:c>
      <x:c r="B199" s="36" t="str">
        <x:v>KEBA（可选）</x:v>
      </x:c>
      <x:c r="C199" s="36" t="str">
        <x:v>UNT-03</x:v>
      </x:c>
      <x:c r="D199" s="36" t="str">
        <x:v>KEBA-01</x:v>
      </x:c>
      <x:c r="E199" s="22"/>
      <x:c r="F199" s="22"/>
      <x:c r="G199" s="37"/>
      <x:c r="H199" s="22"/>
      <x:c r="I199" s="22"/>
      <x:c r="J199" s="22"/>
      <x:c r="K199" s="22"/>
      <x:c r="L199" s="6" t="str">
        <x:f>IF(COUNTA(E199:K199)=0,"",IF(OR(H199="不适用",H199="阻塞",H199="资料确认（未实测）"),"非实测记录",IF(AND(E199&lt;&gt;"",ISNUMBER(G199),G199&gt;0,H199&lt;&gt;"",I199&lt;&gt;"",J199&lt;&gt;""),"记录齐全","待补记录")))</x:f>
      </x:c>
    </x:row>
    <x:row r="200" ht="48" customHeight="1">
      <x:c r="A200" s="36" t="str">
        <x:v>UNT-04/CDHD</x:v>
      </x:c>
      <x:c r="B200" s="36" t="str">
        <x:v>CDHD</x:v>
      </x:c>
      <x:c r="C200" s="36" t="str">
        <x:v>UNT-04</x:v>
      </x:c>
      <x:c r="D200" s="36" t="str">
        <x:v>CDHD-01</x:v>
      </x:c>
      <x:c r="E200" s="22"/>
      <x:c r="F200" s="22"/>
      <x:c r="G200" s="37"/>
      <x:c r="H200" s="22"/>
      <x:c r="I200" s="22"/>
      <x:c r="J200" s="22"/>
      <x:c r="K200" s="22"/>
      <x:c r="L200" s="6" t="str">
        <x:f>IF(COUNTA(E200:K200)=0,"",IF(OR(H200="不适用",H200="阻塞",H200="资料确认（未实测）"),"非实测记录",IF(AND(E200&lt;&gt;"",ISNUMBER(G200),G200&gt;0,H200&lt;&gt;"",I200&lt;&gt;"",J200&lt;&gt;""),"记录齐全","待补记录")))</x:f>
      </x:c>
    </x:row>
    <x:row r="201" ht="48" customHeight="1">
      <x:c r="A201" s="36" t="str">
        <x:v>UNT-04/台达</x:v>
      </x:c>
      <x:c r="B201" s="36" t="str">
        <x:v>台达</x:v>
      </x:c>
      <x:c r="C201" s="36" t="str">
        <x:v>UNT-04</x:v>
      </x:c>
      <x:c r="D201" s="36" t="str">
        <x:v>台达-01</x:v>
      </x:c>
      <x:c r="E201" s="22"/>
      <x:c r="F201" s="22"/>
      <x:c r="G201" s="37"/>
      <x:c r="H201" s="22"/>
      <x:c r="I201" s="22"/>
      <x:c r="J201" s="22"/>
      <x:c r="K201" s="22"/>
      <x:c r="L201" s="6" t="str">
        <x:f>IF(COUNTA(E201:K201)=0,"",IF(OR(H201="不适用",H201="阻塞",H201="资料确认（未实测）"),"非实测记录",IF(AND(E201&lt;&gt;"",ISNUMBER(G201),G201&gt;0,H201&lt;&gt;"",I201&lt;&gt;"",J201&lt;&gt;""),"记录齐全","待补记录")))</x:f>
      </x:c>
    </x:row>
    <x:row r="202" ht="48" customHeight="1">
      <x:c r="A202" s="36" t="str">
        <x:v>UNT-04/繁易</x:v>
      </x:c>
      <x:c r="B202" s="36" t="str">
        <x:v>繁易</x:v>
      </x:c>
      <x:c r="C202" s="36" t="str">
        <x:v>UNT-04</x:v>
      </x:c>
      <x:c r="D202" s="36" t="str">
        <x:v>繁易-01</x:v>
      </x:c>
      <x:c r="E202" s="22"/>
      <x:c r="F202" s="22"/>
      <x:c r="G202" s="37"/>
      <x:c r="H202" s="22"/>
      <x:c r="I202" s="22"/>
      <x:c r="J202" s="22"/>
      <x:c r="K202" s="22"/>
      <x:c r="L202" s="6" t="str">
        <x:f>IF(COUNTA(E202:K202)=0,"",IF(OR(H202="不适用",H202="阻塞",H202="资料确认（未实测）"),"非实测记录",IF(AND(E202&lt;&gt;"",ISNUMBER(G202),G202&gt;0,H202&lt;&gt;"",I202&lt;&gt;"",J202&lt;&gt;""),"记录齐全","待补记录")))</x:f>
      </x:c>
    </x:row>
    <x:row r="203" ht="48" customHeight="1">
      <x:c r="A203" s="36" t="str">
        <x:v>UNT-04/Elmo</x:v>
      </x:c>
      <x:c r="B203" s="36" t="str">
        <x:v>Elmo</x:v>
      </x:c>
      <x:c r="C203" s="36" t="str">
        <x:v>UNT-04</x:v>
      </x:c>
      <x:c r="D203" s="36" t="str">
        <x:v>Elmo-01</x:v>
      </x:c>
      <x:c r="E203" s="22"/>
      <x:c r="F203" s="22"/>
      <x:c r="G203" s="37"/>
      <x:c r="H203" s="22"/>
      <x:c r="I203" s="22"/>
      <x:c r="J203" s="22"/>
      <x:c r="K203" s="22"/>
      <x:c r="L203" s="6" t="str">
        <x:f>IF(COUNTA(E203:K203)=0,"",IF(OR(H203="不适用",H203="阻塞",H203="资料确认（未实测）"),"非实测记录",IF(AND(E203&lt;&gt;"",ISNUMBER(G203),G203&gt;0,H203&lt;&gt;"",I203&lt;&gt;"",J203&lt;&gt;""),"记录齐全","待补记录")))</x:f>
      </x:c>
    </x:row>
    <x:row r="204" ht="48" customHeight="1">
      <x:c r="A204" s="36" t="str">
        <x:v>UNT-04/KEBA（可选）</x:v>
      </x:c>
      <x:c r="B204" s="36" t="str">
        <x:v>KEBA（可选）</x:v>
      </x:c>
      <x:c r="C204" s="36" t="str">
        <x:v>UNT-04</x:v>
      </x:c>
      <x:c r="D204" s="36" t="str">
        <x:v>KEBA-01</x:v>
      </x:c>
      <x:c r="E204" s="22"/>
      <x:c r="F204" s="22"/>
      <x:c r="G204" s="37"/>
      <x:c r="H204" s="22"/>
      <x:c r="I204" s="22"/>
      <x:c r="J204" s="22"/>
      <x:c r="K204" s="22"/>
      <x:c r="L204" s="6" t="str">
        <x:f>IF(COUNTA(E204:K204)=0,"",IF(OR(H204="不适用",H204="阻塞",H204="资料确认（未实测）"),"非实测记录",IF(AND(E204&lt;&gt;"",ISNUMBER(G204),G204&gt;0,H204&lt;&gt;"",I204&lt;&gt;"",J204&lt;&gt;""),"记录齐全","待补记录")))</x:f>
      </x:c>
    </x:row>
    <x:row r="205" ht="48" customHeight="1">
      <x:c r="A205" s="36" t="str">
        <x:v>UNT-05/CDHD</x:v>
      </x:c>
      <x:c r="B205" s="36" t="str">
        <x:v>CDHD</x:v>
      </x:c>
      <x:c r="C205" s="36" t="str">
        <x:v>UNT-05</x:v>
      </x:c>
      <x:c r="D205" s="36" t="str">
        <x:v>CDHD-01</x:v>
      </x:c>
      <x:c r="E205" s="22"/>
      <x:c r="F205" s="22"/>
      <x:c r="G205" s="37"/>
      <x:c r="H205" s="22"/>
      <x:c r="I205" s="22"/>
      <x:c r="J205" s="22"/>
      <x:c r="K205" s="22"/>
      <x:c r="L205" s="6" t="str">
        <x:f>IF(COUNTA(E205:K205)=0,"",IF(OR(H205="不适用",H205="阻塞",H205="资料确认（未实测）"),"非实测记录",IF(AND(E205&lt;&gt;"",ISNUMBER(G205),G205&gt;0,H205&lt;&gt;"",I205&lt;&gt;"",J205&lt;&gt;""),"记录齐全","待补记录")))</x:f>
      </x:c>
    </x:row>
    <x:row r="206" ht="48" customHeight="1">
      <x:c r="A206" s="36" t="str">
        <x:v>UNT-05/台达</x:v>
      </x:c>
      <x:c r="B206" s="36" t="str">
        <x:v>台达</x:v>
      </x:c>
      <x:c r="C206" s="36" t="str">
        <x:v>UNT-05</x:v>
      </x:c>
      <x:c r="D206" s="36" t="str">
        <x:v>台达-01</x:v>
      </x:c>
      <x:c r="E206" s="22"/>
      <x:c r="F206" s="22"/>
      <x:c r="G206" s="37"/>
      <x:c r="H206" s="22"/>
      <x:c r="I206" s="22"/>
      <x:c r="J206" s="22"/>
      <x:c r="K206" s="22"/>
      <x:c r="L206" s="6" t="str">
        <x:f>IF(COUNTA(E206:K206)=0,"",IF(OR(H206="不适用",H206="阻塞",H206="资料确认（未实测）"),"非实测记录",IF(AND(E206&lt;&gt;"",ISNUMBER(G206),G206&gt;0,H206&lt;&gt;"",I206&lt;&gt;"",J206&lt;&gt;""),"记录齐全","待补记录")))</x:f>
      </x:c>
    </x:row>
    <x:row r="207" ht="48" customHeight="1">
      <x:c r="A207" s="36" t="str">
        <x:v>UNT-05/繁易</x:v>
      </x:c>
      <x:c r="B207" s="36" t="str">
        <x:v>繁易</x:v>
      </x:c>
      <x:c r="C207" s="36" t="str">
        <x:v>UNT-05</x:v>
      </x:c>
      <x:c r="D207" s="36" t="str">
        <x:v>繁易-01</x:v>
      </x:c>
      <x:c r="E207" s="22"/>
      <x:c r="F207" s="22"/>
      <x:c r="G207" s="37"/>
      <x:c r="H207" s="22"/>
      <x:c r="I207" s="22"/>
      <x:c r="J207" s="22"/>
      <x:c r="K207" s="22"/>
      <x:c r="L207" s="6" t="str">
        <x:f>IF(COUNTA(E207:K207)=0,"",IF(OR(H207="不适用",H207="阻塞",H207="资料确认（未实测）"),"非实测记录",IF(AND(E207&lt;&gt;"",ISNUMBER(G207),G207&gt;0,H207&lt;&gt;"",I207&lt;&gt;"",J207&lt;&gt;""),"记录齐全","待补记录")))</x:f>
      </x:c>
    </x:row>
    <x:row r="208" ht="48" customHeight="1">
      <x:c r="A208" s="36" t="str">
        <x:v>UNT-05/Elmo</x:v>
      </x:c>
      <x:c r="B208" s="36" t="str">
        <x:v>Elmo</x:v>
      </x:c>
      <x:c r="C208" s="36" t="str">
        <x:v>UNT-05</x:v>
      </x:c>
      <x:c r="D208" s="36" t="str">
        <x:v>Elmo-01</x:v>
      </x:c>
      <x:c r="E208" s="22"/>
      <x:c r="F208" s="22"/>
      <x:c r="G208" s="37"/>
      <x:c r="H208" s="22"/>
      <x:c r="I208" s="22"/>
      <x:c r="J208" s="22"/>
      <x:c r="K208" s="22"/>
      <x:c r="L208" s="6" t="str">
        <x:f>IF(COUNTA(E208:K208)=0,"",IF(OR(H208="不适用",H208="阻塞",H208="资料确认（未实测）"),"非实测记录",IF(AND(E208&lt;&gt;"",ISNUMBER(G208),G208&gt;0,H208&lt;&gt;"",I208&lt;&gt;"",J208&lt;&gt;""),"记录齐全","待补记录")))</x:f>
      </x:c>
    </x:row>
    <x:row r="209" ht="48" customHeight="1">
      <x:c r="A209" s="36" t="str">
        <x:v>UNT-05/KEBA（可选）</x:v>
      </x:c>
      <x:c r="B209" s="36" t="str">
        <x:v>KEBA（可选）</x:v>
      </x:c>
      <x:c r="C209" s="36" t="str">
        <x:v>UNT-05</x:v>
      </x:c>
      <x:c r="D209" s="36" t="str">
        <x:v>KEBA-01</x:v>
      </x:c>
      <x:c r="E209" s="22"/>
      <x:c r="F209" s="22"/>
      <x:c r="G209" s="37"/>
      <x:c r="H209" s="22"/>
      <x:c r="I209" s="22"/>
      <x:c r="J209" s="22"/>
      <x:c r="K209" s="22"/>
      <x:c r="L209" s="6" t="str">
        <x:f>IF(COUNTA(E209:K209)=0,"",IF(OR(H209="不适用",H209="阻塞",H209="资料确认（未实测）"),"非实测记录",IF(AND(E209&lt;&gt;"",ISNUMBER(G209),G209&gt;0,H209&lt;&gt;"",I209&lt;&gt;"",J209&lt;&gt;""),"记录齐全","待补记录")))</x:f>
      </x:c>
    </x:row>
    <x:row r="210" ht="48" customHeight="1">
      <x:c r="A210" s="36" t="str">
        <x:v>UNT-06/CDHD</x:v>
      </x:c>
      <x:c r="B210" s="36" t="str">
        <x:v>CDHD</x:v>
      </x:c>
      <x:c r="C210" s="36" t="str">
        <x:v>UNT-06</x:v>
      </x:c>
      <x:c r="D210" s="36" t="str">
        <x:v>CDHD-01</x:v>
      </x:c>
      <x:c r="E210" s="22"/>
      <x:c r="F210" s="22"/>
      <x:c r="G210" s="37"/>
      <x:c r="H210" s="22"/>
      <x:c r="I210" s="22"/>
      <x:c r="J210" s="22"/>
      <x:c r="K210" s="22"/>
      <x:c r="L210" s="6" t="str">
        <x:f>IF(COUNTA(E210:K210)=0,"",IF(OR(H210="不适用",H210="阻塞",H210="资料确认（未实测）"),"非实测记录",IF(AND(E210&lt;&gt;"",ISNUMBER(G210),G210&gt;0,H210&lt;&gt;"",I210&lt;&gt;"",J210&lt;&gt;""),"记录齐全","待补记录")))</x:f>
      </x:c>
    </x:row>
    <x:row r="211" ht="48" customHeight="1">
      <x:c r="A211" s="36" t="str">
        <x:v>UNT-06/台达</x:v>
      </x:c>
      <x:c r="B211" s="36" t="str">
        <x:v>台达</x:v>
      </x:c>
      <x:c r="C211" s="36" t="str">
        <x:v>UNT-06</x:v>
      </x:c>
      <x:c r="D211" s="36" t="str">
        <x:v>台达-01</x:v>
      </x:c>
      <x:c r="E211" s="22"/>
      <x:c r="F211" s="22"/>
      <x:c r="G211" s="37"/>
      <x:c r="H211" s="22"/>
      <x:c r="I211" s="22"/>
      <x:c r="J211" s="22"/>
      <x:c r="K211" s="22"/>
      <x:c r="L211" s="6" t="str">
        <x:f>IF(COUNTA(E211:K211)=0,"",IF(OR(H211="不适用",H211="阻塞",H211="资料确认（未实测）"),"非实测记录",IF(AND(E211&lt;&gt;"",ISNUMBER(G211),G211&gt;0,H211&lt;&gt;"",I211&lt;&gt;"",J211&lt;&gt;""),"记录齐全","待补记录")))</x:f>
      </x:c>
    </x:row>
    <x:row r="212" ht="48" customHeight="1">
      <x:c r="A212" s="36" t="str">
        <x:v>UNT-06/繁易</x:v>
      </x:c>
      <x:c r="B212" s="36" t="str">
        <x:v>繁易</x:v>
      </x:c>
      <x:c r="C212" s="36" t="str">
        <x:v>UNT-06</x:v>
      </x:c>
      <x:c r="D212" s="36" t="str">
        <x:v>繁易-01</x:v>
      </x:c>
      <x:c r="E212" s="22"/>
      <x:c r="F212" s="22"/>
      <x:c r="G212" s="37"/>
      <x:c r="H212" s="22"/>
      <x:c r="I212" s="22"/>
      <x:c r="J212" s="22"/>
      <x:c r="K212" s="22"/>
      <x:c r="L212" s="6" t="str">
        <x:f>IF(COUNTA(E212:K212)=0,"",IF(OR(H212="不适用",H212="阻塞",H212="资料确认（未实测）"),"非实测记录",IF(AND(E212&lt;&gt;"",ISNUMBER(G212),G212&gt;0,H212&lt;&gt;"",I212&lt;&gt;"",J212&lt;&gt;""),"记录齐全","待补记录")))</x:f>
      </x:c>
    </x:row>
    <x:row r="213" ht="48" customHeight="1">
      <x:c r="A213" s="36" t="str">
        <x:v>UNT-06/Elmo</x:v>
      </x:c>
      <x:c r="B213" s="36" t="str">
        <x:v>Elmo</x:v>
      </x:c>
      <x:c r="C213" s="36" t="str">
        <x:v>UNT-06</x:v>
      </x:c>
      <x:c r="D213" s="36" t="str">
        <x:v>Elmo-01</x:v>
      </x:c>
      <x:c r="E213" s="22"/>
      <x:c r="F213" s="22"/>
      <x:c r="G213" s="37"/>
      <x:c r="H213" s="22"/>
      <x:c r="I213" s="22"/>
      <x:c r="J213" s="22"/>
      <x:c r="K213" s="22"/>
      <x:c r="L213" s="6" t="str">
        <x:f>IF(COUNTA(E213:K213)=0,"",IF(OR(H213="不适用",H213="阻塞",H213="资料确认（未实测）"),"非实测记录",IF(AND(E213&lt;&gt;"",ISNUMBER(G213),G213&gt;0,H213&lt;&gt;"",I213&lt;&gt;"",J213&lt;&gt;""),"记录齐全","待补记录")))</x:f>
      </x:c>
    </x:row>
    <x:row r="214" ht="48" customHeight="1">
      <x:c r="A214" s="36" t="str">
        <x:v>UNT-06/KEBA（可选）</x:v>
      </x:c>
      <x:c r="B214" s="36" t="str">
        <x:v>KEBA（可选）</x:v>
      </x:c>
      <x:c r="C214" s="36" t="str">
        <x:v>UNT-06</x:v>
      </x:c>
      <x:c r="D214" s="36" t="str">
        <x:v>KEBA-01</x:v>
      </x:c>
      <x:c r="E214" s="22"/>
      <x:c r="F214" s="22"/>
      <x:c r="G214" s="37"/>
      <x:c r="H214" s="22"/>
      <x:c r="I214" s="22"/>
      <x:c r="J214" s="22"/>
      <x:c r="K214" s="22"/>
      <x:c r="L214" s="6" t="str">
        <x:f>IF(COUNTA(E214:K214)=0,"",IF(OR(H214="不适用",H214="阻塞",H214="资料确认（未实测）"),"非实测记录",IF(AND(E214&lt;&gt;"",ISNUMBER(G214),G214&gt;0,H214&lt;&gt;"",I214&lt;&gt;"",J214&lt;&gt;""),"记录齐全","待补记录")))</x:f>
      </x:c>
    </x:row>
    <x:row r="215" ht="48" customHeight="1">
      <x:c r="A215" s="36" t="str">
        <x:v>UNT-07/CDHD</x:v>
      </x:c>
      <x:c r="B215" s="36" t="str">
        <x:v>CDHD</x:v>
      </x:c>
      <x:c r="C215" s="36" t="str">
        <x:v>UNT-07</x:v>
      </x:c>
      <x:c r="D215" s="36" t="str">
        <x:v>CDHD-01</x:v>
      </x:c>
      <x:c r="E215" s="22"/>
      <x:c r="F215" s="22"/>
      <x:c r="G215" s="37"/>
      <x:c r="H215" s="22"/>
      <x:c r="I215" s="22"/>
      <x:c r="J215" s="22"/>
      <x:c r="K215" s="22"/>
      <x:c r="L215" s="6" t="str">
        <x:f>IF(COUNTA(E215:K215)=0,"",IF(OR(H215="不适用",H215="阻塞",H215="资料确认（未实测）"),"非实测记录",IF(AND(E215&lt;&gt;"",ISNUMBER(G215),G215&gt;0,H215&lt;&gt;"",I215&lt;&gt;"",J215&lt;&gt;""),"记录齐全","待补记录")))</x:f>
      </x:c>
    </x:row>
    <x:row r="216" ht="48" customHeight="1">
      <x:c r="A216" s="36" t="str">
        <x:v>UNT-07/台达</x:v>
      </x:c>
      <x:c r="B216" s="36" t="str">
        <x:v>台达</x:v>
      </x:c>
      <x:c r="C216" s="36" t="str">
        <x:v>UNT-07</x:v>
      </x:c>
      <x:c r="D216" s="36" t="str">
        <x:v>台达-01</x:v>
      </x:c>
      <x:c r="E216" s="22"/>
      <x:c r="F216" s="22"/>
      <x:c r="G216" s="37"/>
      <x:c r="H216" s="22"/>
      <x:c r="I216" s="22"/>
      <x:c r="J216" s="22"/>
      <x:c r="K216" s="22"/>
      <x:c r="L216" s="6" t="str">
        <x:f>IF(COUNTA(E216:K216)=0,"",IF(OR(H216="不适用",H216="阻塞",H216="资料确认（未实测）"),"非实测记录",IF(AND(E216&lt;&gt;"",ISNUMBER(G216),G216&gt;0,H216&lt;&gt;"",I216&lt;&gt;"",J216&lt;&gt;""),"记录齐全","待补记录")))</x:f>
      </x:c>
    </x:row>
    <x:row r="217" ht="48" customHeight="1">
      <x:c r="A217" s="36" t="str">
        <x:v>UNT-07/繁易</x:v>
      </x:c>
      <x:c r="B217" s="36" t="str">
        <x:v>繁易</x:v>
      </x:c>
      <x:c r="C217" s="36" t="str">
        <x:v>UNT-07</x:v>
      </x:c>
      <x:c r="D217" s="36" t="str">
        <x:v>繁易-01</x:v>
      </x:c>
      <x:c r="E217" s="22"/>
      <x:c r="F217" s="22"/>
      <x:c r="G217" s="37"/>
      <x:c r="H217" s="22"/>
      <x:c r="I217" s="22"/>
      <x:c r="J217" s="22"/>
      <x:c r="K217" s="22"/>
      <x:c r="L217" s="6" t="str">
        <x:f>IF(COUNTA(E217:K217)=0,"",IF(OR(H217="不适用",H217="阻塞",H217="资料确认（未实测）"),"非实测记录",IF(AND(E217&lt;&gt;"",ISNUMBER(G217),G217&gt;0,H217&lt;&gt;"",I217&lt;&gt;"",J217&lt;&gt;""),"记录齐全","待补记录")))</x:f>
      </x:c>
    </x:row>
    <x:row r="218" ht="48" customHeight="1">
      <x:c r="A218" s="36" t="str">
        <x:v>UNT-07/Elmo</x:v>
      </x:c>
      <x:c r="B218" s="36" t="str">
        <x:v>Elmo</x:v>
      </x:c>
      <x:c r="C218" s="36" t="str">
        <x:v>UNT-07</x:v>
      </x:c>
      <x:c r="D218" s="36" t="str">
        <x:v>Elmo-01</x:v>
      </x:c>
      <x:c r="E218" s="22"/>
      <x:c r="F218" s="22"/>
      <x:c r="G218" s="37"/>
      <x:c r="H218" s="22"/>
      <x:c r="I218" s="22"/>
      <x:c r="J218" s="22"/>
      <x:c r="K218" s="22"/>
      <x:c r="L218" s="6" t="str">
        <x:f>IF(COUNTA(E218:K218)=0,"",IF(OR(H218="不适用",H218="阻塞",H218="资料确认（未实测）"),"非实测记录",IF(AND(E218&lt;&gt;"",ISNUMBER(G218),G218&gt;0,H218&lt;&gt;"",I218&lt;&gt;"",J218&lt;&gt;""),"记录齐全","待补记录")))</x:f>
      </x:c>
    </x:row>
    <x:row r="219" ht="48" customHeight="1">
      <x:c r="A219" s="36" t="str">
        <x:v>UNT-07/KEBA（可选）</x:v>
      </x:c>
      <x:c r="B219" s="36" t="str">
        <x:v>KEBA（可选）</x:v>
      </x:c>
      <x:c r="C219" s="36" t="str">
        <x:v>UNT-07</x:v>
      </x:c>
      <x:c r="D219" s="36" t="str">
        <x:v>KEBA-01</x:v>
      </x:c>
      <x:c r="E219" s="22"/>
      <x:c r="F219" s="22"/>
      <x:c r="G219" s="37"/>
      <x:c r="H219" s="22"/>
      <x:c r="I219" s="22"/>
      <x:c r="J219" s="22"/>
      <x:c r="K219" s="22"/>
      <x:c r="L219" s="6" t="str">
        <x:f>IF(COUNTA(E219:K219)=0,"",IF(OR(H219="不适用",H219="阻塞",H219="资料确认（未实测）"),"非实测记录",IF(AND(E219&lt;&gt;"",ISNUMBER(G219),G219&gt;0,H219&lt;&gt;"",I219&lt;&gt;"",J219&lt;&gt;""),"记录齐全","待补记录")))</x:f>
      </x:c>
    </x:row>
    <x:row r="220" ht="48" customHeight="1">
      <x:c r="A220" s="36" t="str">
        <x:v>UNT-08/CDHD</x:v>
      </x:c>
      <x:c r="B220" s="36" t="str">
        <x:v>CDHD</x:v>
      </x:c>
      <x:c r="C220" s="36" t="str">
        <x:v>UNT-08</x:v>
      </x:c>
      <x:c r="D220" s="36" t="str">
        <x:v>CDHD-01</x:v>
      </x:c>
      <x:c r="E220" s="22"/>
      <x:c r="F220" s="22"/>
      <x:c r="G220" s="37"/>
      <x:c r="H220" s="22"/>
      <x:c r="I220" s="22"/>
      <x:c r="J220" s="22"/>
      <x:c r="K220" s="22"/>
      <x:c r="L220" s="6" t="str">
        <x:f>IF(COUNTA(E220:K220)=0,"",IF(OR(H220="不适用",H220="阻塞",H220="资料确认（未实测）"),"非实测记录",IF(AND(E220&lt;&gt;"",ISNUMBER(G220),G220&gt;0,H220&lt;&gt;"",I220&lt;&gt;"",J220&lt;&gt;""),"记录齐全","待补记录")))</x:f>
      </x:c>
    </x:row>
    <x:row r="221" ht="48" customHeight="1">
      <x:c r="A221" s="36" t="str">
        <x:v>UNT-08/台达</x:v>
      </x:c>
      <x:c r="B221" s="36" t="str">
        <x:v>台达</x:v>
      </x:c>
      <x:c r="C221" s="36" t="str">
        <x:v>UNT-08</x:v>
      </x:c>
      <x:c r="D221" s="36" t="str">
        <x:v>台达-01</x:v>
      </x:c>
      <x:c r="E221" s="22"/>
      <x:c r="F221" s="22"/>
      <x:c r="G221" s="37"/>
      <x:c r="H221" s="22"/>
      <x:c r="I221" s="22"/>
      <x:c r="J221" s="22"/>
      <x:c r="K221" s="22"/>
      <x:c r="L221" s="6" t="str">
        <x:f>IF(COUNTA(E221:K221)=0,"",IF(OR(H221="不适用",H221="阻塞",H221="资料确认（未实测）"),"非实测记录",IF(AND(E221&lt;&gt;"",ISNUMBER(G221),G221&gt;0,H221&lt;&gt;"",I221&lt;&gt;"",J221&lt;&gt;""),"记录齐全","待补记录")))</x:f>
      </x:c>
    </x:row>
    <x:row r="222" ht="48" customHeight="1">
      <x:c r="A222" s="36" t="str">
        <x:v>UNT-08/繁易</x:v>
      </x:c>
      <x:c r="B222" s="36" t="str">
        <x:v>繁易</x:v>
      </x:c>
      <x:c r="C222" s="36" t="str">
        <x:v>UNT-08</x:v>
      </x:c>
      <x:c r="D222" s="36" t="str">
        <x:v>繁易-01</x:v>
      </x:c>
      <x:c r="E222" s="22"/>
      <x:c r="F222" s="22"/>
      <x:c r="G222" s="37"/>
      <x:c r="H222" s="22"/>
      <x:c r="I222" s="22"/>
      <x:c r="J222" s="22"/>
      <x:c r="K222" s="22"/>
      <x:c r="L222" s="6" t="str">
        <x:f>IF(COUNTA(E222:K222)=0,"",IF(OR(H222="不适用",H222="阻塞",H222="资料确认（未实测）"),"非实测记录",IF(AND(E222&lt;&gt;"",ISNUMBER(G222),G222&gt;0,H222&lt;&gt;"",I222&lt;&gt;"",J222&lt;&gt;""),"记录齐全","待补记录")))</x:f>
      </x:c>
    </x:row>
    <x:row r="223" ht="48" customHeight="1">
      <x:c r="A223" s="36" t="str">
        <x:v>UNT-08/Elmo</x:v>
      </x:c>
      <x:c r="B223" s="36" t="str">
        <x:v>Elmo</x:v>
      </x:c>
      <x:c r="C223" s="36" t="str">
        <x:v>UNT-08</x:v>
      </x:c>
      <x:c r="D223" s="36" t="str">
        <x:v>Elmo-01</x:v>
      </x:c>
      <x:c r="E223" s="22"/>
      <x:c r="F223" s="22"/>
      <x:c r="G223" s="37"/>
      <x:c r="H223" s="22"/>
      <x:c r="I223" s="22"/>
      <x:c r="J223" s="22"/>
      <x:c r="K223" s="22"/>
      <x:c r="L223" s="6" t="str">
        <x:f>IF(COUNTA(E223:K223)=0,"",IF(OR(H223="不适用",H223="阻塞",H223="资料确认（未实测）"),"非实测记录",IF(AND(E223&lt;&gt;"",ISNUMBER(G223),G223&gt;0,H223&lt;&gt;"",I223&lt;&gt;"",J223&lt;&gt;""),"记录齐全","待补记录")))</x:f>
      </x:c>
    </x:row>
    <x:row r="224" ht="48" customHeight="1">
      <x:c r="A224" s="36" t="str">
        <x:v>UNT-08/KEBA（可选）</x:v>
      </x:c>
      <x:c r="B224" s="36" t="str">
        <x:v>KEBA（可选）</x:v>
      </x:c>
      <x:c r="C224" s="36" t="str">
        <x:v>UNT-08</x:v>
      </x:c>
      <x:c r="D224" s="36" t="str">
        <x:v>KEBA-01</x:v>
      </x:c>
      <x:c r="E224" s="22"/>
      <x:c r="F224" s="22"/>
      <x:c r="G224" s="37"/>
      <x:c r="H224" s="22"/>
      <x:c r="I224" s="22"/>
      <x:c r="J224" s="22"/>
      <x:c r="K224" s="22"/>
      <x:c r="L224" s="6" t="str">
        <x:f>IF(COUNTA(E224:K224)=0,"",IF(OR(H224="不适用",H224="阻塞",H224="资料确认（未实测）"),"非实测记录",IF(AND(E224&lt;&gt;"",ISNUMBER(G224),G224&gt;0,H224&lt;&gt;"",I224&lt;&gt;"",J224&lt;&gt;""),"记录齐全","待补记录")))</x:f>
      </x:c>
    </x:row>
    <x:row r="225" ht="48" customHeight="1">
      <x:c r="A225" s="36" t="str">
        <x:v>MOT-01/CDHD</x:v>
      </x:c>
      <x:c r="B225" s="36" t="str">
        <x:v>CDHD</x:v>
      </x:c>
      <x:c r="C225" s="36" t="str">
        <x:v>MOT-01</x:v>
      </x:c>
      <x:c r="D225" s="36" t="str">
        <x:v>CDHD-01</x:v>
      </x:c>
      <x:c r="E225" s="22"/>
      <x:c r="F225" s="22"/>
      <x:c r="G225" s="37"/>
      <x:c r="H225" s="22"/>
      <x:c r="I225" s="22"/>
      <x:c r="J225" s="22"/>
      <x:c r="K225" s="22"/>
      <x:c r="L225" s="6" t="str">
        <x:f>IF(COUNTA(E225:K225)=0,"",IF(OR(H225="不适用",H225="阻塞",H225="资料确认（未实测）"),"非实测记录",IF(AND(E225&lt;&gt;"",ISNUMBER(G225),G225&gt;0,H225&lt;&gt;"",I225&lt;&gt;"",J225&lt;&gt;""),"记录齐全","待补记录")))</x:f>
      </x:c>
    </x:row>
    <x:row r="226" ht="48" customHeight="1">
      <x:c r="A226" s="36" t="str">
        <x:v>MOT-01/台达</x:v>
      </x:c>
      <x:c r="B226" s="36" t="str">
        <x:v>台达</x:v>
      </x:c>
      <x:c r="C226" s="36" t="str">
        <x:v>MOT-01</x:v>
      </x:c>
      <x:c r="D226" s="36" t="str">
        <x:v>台达-01</x:v>
      </x:c>
      <x:c r="E226" s="22"/>
      <x:c r="F226" s="22"/>
      <x:c r="G226" s="37"/>
      <x:c r="H226" s="22"/>
      <x:c r="I226" s="22"/>
      <x:c r="J226" s="22"/>
      <x:c r="K226" s="22"/>
      <x:c r="L226" s="6" t="str">
        <x:f>IF(COUNTA(E226:K226)=0,"",IF(OR(H226="不适用",H226="阻塞",H226="资料确认（未实测）"),"非实测记录",IF(AND(E226&lt;&gt;"",ISNUMBER(G226),G226&gt;0,H226&lt;&gt;"",I226&lt;&gt;"",J226&lt;&gt;""),"记录齐全","待补记录")))</x:f>
      </x:c>
    </x:row>
    <x:row r="227" ht="48" customHeight="1">
      <x:c r="A227" s="36" t="str">
        <x:v>MOT-01/繁易</x:v>
      </x:c>
      <x:c r="B227" s="36" t="str">
        <x:v>繁易</x:v>
      </x:c>
      <x:c r="C227" s="36" t="str">
        <x:v>MOT-01</x:v>
      </x:c>
      <x:c r="D227" s="36" t="str">
        <x:v>繁易-01</x:v>
      </x:c>
      <x:c r="E227" s="22"/>
      <x:c r="F227" s="22"/>
      <x:c r="G227" s="37"/>
      <x:c r="H227" s="22"/>
      <x:c r="I227" s="22"/>
      <x:c r="J227" s="22"/>
      <x:c r="K227" s="22"/>
      <x:c r="L227" s="6" t="str">
        <x:f>IF(COUNTA(E227:K227)=0,"",IF(OR(H227="不适用",H227="阻塞",H227="资料确认（未实测）"),"非实测记录",IF(AND(E227&lt;&gt;"",ISNUMBER(G227),G227&gt;0,H227&lt;&gt;"",I227&lt;&gt;"",J227&lt;&gt;""),"记录齐全","待补记录")))</x:f>
      </x:c>
    </x:row>
    <x:row r="228" ht="48" customHeight="1">
      <x:c r="A228" s="36" t="str">
        <x:v>MOT-01/Elmo</x:v>
      </x:c>
      <x:c r="B228" s="36" t="str">
        <x:v>Elmo</x:v>
      </x:c>
      <x:c r="C228" s="36" t="str">
        <x:v>MOT-01</x:v>
      </x:c>
      <x:c r="D228" s="36" t="str">
        <x:v>Elmo-01</x:v>
      </x:c>
      <x:c r="E228" s="22"/>
      <x:c r="F228" s="22"/>
      <x:c r="G228" s="37"/>
      <x:c r="H228" s="22"/>
      <x:c r="I228" s="22"/>
      <x:c r="J228" s="22"/>
      <x:c r="K228" s="22"/>
      <x:c r="L228" s="6" t="str">
        <x:f>IF(COUNTA(E228:K228)=0,"",IF(OR(H228="不适用",H228="阻塞",H228="资料确认（未实测）"),"非实测记录",IF(AND(E228&lt;&gt;"",ISNUMBER(G228),G228&gt;0,H228&lt;&gt;"",I228&lt;&gt;"",J228&lt;&gt;""),"记录齐全","待补记录")))</x:f>
      </x:c>
    </x:row>
    <x:row r="229" ht="48" customHeight="1">
      <x:c r="A229" s="36" t="str">
        <x:v>MOT-01/KEBA（可选）</x:v>
      </x:c>
      <x:c r="B229" s="36" t="str">
        <x:v>KEBA（可选）</x:v>
      </x:c>
      <x:c r="C229" s="36" t="str">
        <x:v>MOT-01</x:v>
      </x:c>
      <x:c r="D229" s="36" t="str">
        <x:v>KEBA-01</x:v>
      </x:c>
      <x:c r="E229" s="22"/>
      <x:c r="F229" s="22"/>
      <x:c r="G229" s="37"/>
      <x:c r="H229" s="22"/>
      <x:c r="I229" s="22"/>
      <x:c r="J229" s="22"/>
      <x:c r="K229" s="22"/>
      <x:c r="L229" s="6" t="str">
        <x:f>IF(COUNTA(E229:K229)=0,"",IF(OR(H229="不适用",H229="阻塞",H229="资料确认（未实测）"),"非实测记录",IF(AND(E229&lt;&gt;"",ISNUMBER(G229),G229&gt;0,H229&lt;&gt;"",I229&lt;&gt;"",J229&lt;&gt;""),"记录齐全","待补记录")))</x:f>
      </x:c>
    </x:row>
    <x:row r="230" ht="48" customHeight="1">
      <x:c r="A230" s="36" t="str">
        <x:v>MOT-02/CDHD</x:v>
      </x:c>
      <x:c r="B230" s="36" t="str">
        <x:v>CDHD</x:v>
      </x:c>
      <x:c r="C230" s="36" t="str">
        <x:v>MOT-02</x:v>
      </x:c>
      <x:c r="D230" s="36" t="str">
        <x:v>CDHD-01</x:v>
      </x:c>
      <x:c r="E230" s="22"/>
      <x:c r="F230" s="22"/>
      <x:c r="G230" s="37"/>
      <x:c r="H230" s="22"/>
      <x:c r="I230" s="22"/>
      <x:c r="J230" s="22"/>
      <x:c r="K230" s="22"/>
      <x:c r="L230" s="6" t="str">
        <x:f>IF(COUNTA(E230:K230)=0,"",IF(OR(H230="不适用",H230="阻塞",H230="资料确认（未实测）"),"非实测记录",IF(AND(E230&lt;&gt;"",ISNUMBER(G230),G230&gt;0,H230&lt;&gt;"",I230&lt;&gt;"",J230&lt;&gt;""),"记录齐全","待补记录")))</x:f>
      </x:c>
    </x:row>
    <x:row r="231" ht="48" customHeight="1">
      <x:c r="A231" s="36" t="str">
        <x:v>MOT-02/台达</x:v>
      </x:c>
      <x:c r="B231" s="36" t="str">
        <x:v>台达</x:v>
      </x:c>
      <x:c r="C231" s="36" t="str">
        <x:v>MOT-02</x:v>
      </x:c>
      <x:c r="D231" s="36" t="str">
        <x:v>台达-01</x:v>
      </x:c>
      <x:c r="E231" s="22"/>
      <x:c r="F231" s="22"/>
      <x:c r="G231" s="37"/>
      <x:c r="H231" s="22"/>
      <x:c r="I231" s="22"/>
      <x:c r="J231" s="22"/>
      <x:c r="K231" s="22"/>
      <x:c r="L231" s="6" t="str">
        <x:f>IF(COUNTA(E231:K231)=0,"",IF(OR(H231="不适用",H231="阻塞",H231="资料确认（未实测）"),"非实测记录",IF(AND(E231&lt;&gt;"",ISNUMBER(G231),G231&gt;0,H231&lt;&gt;"",I231&lt;&gt;"",J231&lt;&gt;""),"记录齐全","待补记录")))</x:f>
      </x:c>
    </x:row>
    <x:row r="232" ht="48" customHeight="1">
      <x:c r="A232" s="36" t="str">
        <x:v>MOT-02/繁易</x:v>
      </x:c>
      <x:c r="B232" s="36" t="str">
        <x:v>繁易</x:v>
      </x:c>
      <x:c r="C232" s="36" t="str">
        <x:v>MOT-02</x:v>
      </x:c>
      <x:c r="D232" s="36" t="str">
        <x:v>繁易-01</x:v>
      </x:c>
      <x:c r="E232" s="22"/>
      <x:c r="F232" s="22"/>
      <x:c r="G232" s="37"/>
      <x:c r="H232" s="22"/>
      <x:c r="I232" s="22"/>
      <x:c r="J232" s="22"/>
      <x:c r="K232" s="22"/>
      <x:c r="L232" s="6" t="str">
        <x:f>IF(COUNTA(E232:K232)=0,"",IF(OR(H232="不适用",H232="阻塞",H232="资料确认（未实测）"),"非实测记录",IF(AND(E232&lt;&gt;"",ISNUMBER(G232),G232&gt;0,H232&lt;&gt;"",I232&lt;&gt;"",J232&lt;&gt;""),"记录齐全","待补记录")))</x:f>
      </x:c>
    </x:row>
    <x:row r="233" ht="48" customHeight="1">
      <x:c r="A233" s="36" t="str">
        <x:v>MOT-02/Elmo</x:v>
      </x:c>
      <x:c r="B233" s="36" t="str">
        <x:v>Elmo</x:v>
      </x:c>
      <x:c r="C233" s="36" t="str">
        <x:v>MOT-02</x:v>
      </x:c>
      <x:c r="D233" s="36" t="str">
        <x:v>Elmo-01</x:v>
      </x:c>
      <x:c r="E233" s="22"/>
      <x:c r="F233" s="22"/>
      <x:c r="G233" s="37"/>
      <x:c r="H233" s="22"/>
      <x:c r="I233" s="22"/>
      <x:c r="J233" s="22"/>
      <x:c r="K233" s="22"/>
      <x:c r="L233" s="6" t="str">
        <x:f>IF(COUNTA(E233:K233)=0,"",IF(OR(H233="不适用",H233="阻塞",H233="资料确认（未实测）"),"非实测记录",IF(AND(E233&lt;&gt;"",ISNUMBER(G233),G233&gt;0,H233&lt;&gt;"",I233&lt;&gt;"",J233&lt;&gt;""),"记录齐全","待补记录")))</x:f>
      </x:c>
    </x:row>
    <x:row r="234" ht="48" customHeight="1">
      <x:c r="A234" s="36" t="str">
        <x:v>MOT-02/KEBA（可选）</x:v>
      </x:c>
      <x:c r="B234" s="36" t="str">
        <x:v>KEBA（可选）</x:v>
      </x:c>
      <x:c r="C234" s="36" t="str">
        <x:v>MOT-02</x:v>
      </x:c>
      <x:c r="D234" s="36" t="str">
        <x:v>KEBA-01</x:v>
      </x:c>
      <x:c r="E234" s="22"/>
      <x:c r="F234" s="22"/>
      <x:c r="G234" s="37"/>
      <x:c r="H234" s="22"/>
      <x:c r="I234" s="22"/>
      <x:c r="J234" s="22"/>
      <x:c r="K234" s="22"/>
      <x:c r="L234" s="6" t="str">
        <x:f>IF(COUNTA(E234:K234)=0,"",IF(OR(H234="不适用",H234="阻塞",H234="资料确认（未实测）"),"非实测记录",IF(AND(E234&lt;&gt;"",ISNUMBER(G234),G234&gt;0,H234&lt;&gt;"",I234&lt;&gt;"",J234&lt;&gt;""),"记录齐全","待补记录")))</x:f>
      </x:c>
    </x:row>
    <x:row r="235" ht="48" customHeight="1">
      <x:c r="A235" s="36" t="str">
        <x:v>MOT-03/CDHD</x:v>
      </x:c>
      <x:c r="B235" s="36" t="str">
        <x:v>CDHD</x:v>
      </x:c>
      <x:c r="C235" s="36" t="str">
        <x:v>MOT-03</x:v>
      </x:c>
      <x:c r="D235" s="36" t="str">
        <x:v>CDHD-01</x:v>
      </x:c>
      <x:c r="E235" s="22"/>
      <x:c r="F235" s="22"/>
      <x:c r="G235" s="37"/>
      <x:c r="H235" s="22"/>
      <x:c r="I235" s="22"/>
      <x:c r="J235" s="22"/>
      <x:c r="K235" s="22"/>
      <x:c r="L235" s="6" t="str">
        <x:f>IF(COUNTA(E235:K235)=0,"",IF(OR(H235="不适用",H235="阻塞",H235="资料确认（未实测）"),"非实测记录",IF(AND(E235&lt;&gt;"",ISNUMBER(G235),G235&gt;0,H235&lt;&gt;"",I235&lt;&gt;"",J235&lt;&gt;""),"记录齐全","待补记录")))</x:f>
      </x:c>
    </x:row>
    <x:row r="236" ht="48" customHeight="1">
      <x:c r="A236" s="36" t="str">
        <x:v>MOT-03/台达</x:v>
      </x:c>
      <x:c r="B236" s="36" t="str">
        <x:v>台达</x:v>
      </x:c>
      <x:c r="C236" s="36" t="str">
        <x:v>MOT-03</x:v>
      </x:c>
      <x:c r="D236" s="36" t="str">
        <x:v>台达-01</x:v>
      </x:c>
      <x:c r="E236" s="22"/>
      <x:c r="F236" s="22"/>
      <x:c r="G236" s="37"/>
      <x:c r="H236" s="22"/>
      <x:c r="I236" s="22"/>
      <x:c r="J236" s="22"/>
      <x:c r="K236" s="22"/>
      <x:c r="L236" s="6" t="str">
        <x:f>IF(COUNTA(E236:K236)=0,"",IF(OR(H236="不适用",H236="阻塞",H236="资料确认（未实测）"),"非实测记录",IF(AND(E236&lt;&gt;"",ISNUMBER(G236),G236&gt;0,H236&lt;&gt;"",I236&lt;&gt;"",J236&lt;&gt;""),"记录齐全","待补记录")))</x:f>
      </x:c>
    </x:row>
    <x:row r="237" ht="48" customHeight="1">
      <x:c r="A237" s="36" t="str">
        <x:v>MOT-03/繁易</x:v>
      </x:c>
      <x:c r="B237" s="36" t="str">
        <x:v>繁易</x:v>
      </x:c>
      <x:c r="C237" s="36" t="str">
        <x:v>MOT-03</x:v>
      </x:c>
      <x:c r="D237" s="36" t="str">
        <x:v>繁易-01</x:v>
      </x:c>
      <x:c r="E237" s="22"/>
      <x:c r="F237" s="22"/>
      <x:c r="G237" s="37"/>
      <x:c r="H237" s="22"/>
      <x:c r="I237" s="22"/>
      <x:c r="J237" s="22"/>
      <x:c r="K237" s="22"/>
      <x:c r="L237" s="6" t="str">
        <x:f>IF(COUNTA(E237:K237)=0,"",IF(OR(H237="不适用",H237="阻塞",H237="资料确认（未实测）"),"非实测记录",IF(AND(E237&lt;&gt;"",ISNUMBER(G237),G237&gt;0,H237&lt;&gt;"",I237&lt;&gt;"",J237&lt;&gt;""),"记录齐全","待补记录")))</x:f>
      </x:c>
    </x:row>
    <x:row r="238" ht="48" customHeight="1">
      <x:c r="A238" s="36" t="str">
        <x:v>MOT-03/Elmo</x:v>
      </x:c>
      <x:c r="B238" s="36" t="str">
        <x:v>Elmo</x:v>
      </x:c>
      <x:c r="C238" s="36" t="str">
        <x:v>MOT-03</x:v>
      </x:c>
      <x:c r="D238" s="36" t="str">
        <x:v>Elmo-01</x:v>
      </x:c>
      <x:c r="E238" s="22"/>
      <x:c r="F238" s="22"/>
      <x:c r="G238" s="37"/>
      <x:c r="H238" s="22"/>
      <x:c r="I238" s="22"/>
      <x:c r="J238" s="22"/>
      <x:c r="K238" s="22"/>
      <x:c r="L238" s="6" t="str">
        <x:f>IF(COUNTA(E238:K238)=0,"",IF(OR(H238="不适用",H238="阻塞",H238="资料确认（未实测）"),"非实测记录",IF(AND(E238&lt;&gt;"",ISNUMBER(G238),G238&gt;0,H238&lt;&gt;"",I238&lt;&gt;"",J238&lt;&gt;""),"记录齐全","待补记录")))</x:f>
      </x:c>
    </x:row>
    <x:row r="239" ht="48" customHeight="1">
      <x:c r="A239" s="36" t="str">
        <x:v>MOT-03/KEBA（可选）</x:v>
      </x:c>
      <x:c r="B239" s="36" t="str">
        <x:v>KEBA（可选）</x:v>
      </x:c>
      <x:c r="C239" s="36" t="str">
        <x:v>MOT-03</x:v>
      </x:c>
      <x:c r="D239" s="36" t="str">
        <x:v>KEBA-01</x:v>
      </x:c>
      <x:c r="E239" s="22"/>
      <x:c r="F239" s="22"/>
      <x:c r="G239" s="37"/>
      <x:c r="H239" s="22"/>
      <x:c r="I239" s="22"/>
      <x:c r="J239" s="22"/>
      <x:c r="K239" s="22"/>
      <x:c r="L239" s="6" t="str">
        <x:f>IF(COUNTA(E239:K239)=0,"",IF(OR(H239="不适用",H239="阻塞",H239="资料确认（未实测）"),"非实测记录",IF(AND(E239&lt;&gt;"",ISNUMBER(G239),G239&gt;0,H239&lt;&gt;"",I239&lt;&gt;"",J239&lt;&gt;""),"记录齐全","待补记录")))</x:f>
      </x:c>
    </x:row>
    <x:row r="240" ht="48" customHeight="1">
      <x:c r="A240" s="36" t="str">
        <x:v>MOT-04/CDHD</x:v>
      </x:c>
      <x:c r="B240" s="36" t="str">
        <x:v>CDHD</x:v>
      </x:c>
      <x:c r="C240" s="36" t="str">
        <x:v>MOT-04</x:v>
      </x:c>
      <x:c r="D240" s="36" t="str">
        <x:v>CDHD-01</x:v>
      </x:c>
      <x:c r="E240" s="22"/>
      <x:c r="F240" s="22"/>
      <x:c r="G240" s="37"/>
      <x:c r="H240" s="22"/>
      <x:c r="I240" s="22"/>
      <x:c r="J240" s="22"/>
      <x:c r="K240" s="22"/>
      <x:c r="L240" s="6" t="str">
        <x:f>IF(COUNTA(E240:K240)=0,"",IF(OR(H240="不适用",H240="阻塞",H240="资料确认（未实测）"),"非实测记录",IF(AND(E240&lt;&gt;"",ISNUMBER(G240),G240&gt;0,H240&lt;&gt;"",I240&lt;&gt;"",J240&lt;&gt;""),"记录齐全","待补记录")))</x:f>
      </x:c>
    </x:row>
    <x:row r="241" ht="48" customHeight="1">
      <x:c r="A241" s="36" t="str">
        <x:v>MOT-04/台达</x:v>
      </x:c>
      <x:c r="B241" s="36" t="str">
        <x:v>台达</x:v>
      </x:c>
      <x:c r="C241" s="36" t="str">
        <x:v>MOT-04</x:v>
      </x:c>
      <x:c r="D241" s="36" t="str">
        <x:v>台达-01</x:v>
      </x:c>
      <x:c r="E241" s="22"/>
      <x:c r="F241" s="22"/>
      <x:c r="G241" s="37"/>
      <x:c r="H241" s="22"/>
      <x:c r="I241" s="22"/>
      <x:c r="J241" s="22"/>
      <x:c r="K241" s="22"/>
      <x:c r="L241" s="6" t="str">
        <x:f>IF(COUNTA(E241:K241)=0,"",IF(OR(H241="不适用",H241="阻塞",H241="资料确认（未实测）"),"非实测记录",IF(AND(E241&lt;&gt;"",ISNUMBER(G241),G241&gt;0,H241&lt;&gt;"",I241&lt;&gt;"",J241&lt;&gt;""),"记录齐全","待补记录")))</x:f>
      </x:c>
    </x:row>
    <x:row r="242" ht="48" customHeight="1">
      <x:c r="A242" s="36" t="str">
        <x:v>MOT-04/繁易</x:v>
      </x:c>
      <x:c r="B242" s="36" t="str">
        <x:v>繁易</x:v>
      </x:c>
      <x:c r="C242" s="36" t="str">
        <x:v>MOT-04</x:v>
      </x:c>
      <x:c r="D242" s="36" t="str">
        <x:v>繁易-01</x:v>
      </x:c>
      <x:c r="E242" s="22"/>
      <x:c r="F242" s="22"/>
      <x:c r="G242" s="37"/>
      <x:c r="H242" s="22"/>
      <x:c r="I242" s="22"/>
      <x:c r="J242" s="22"/>
      <x:c r="K242" s="22"/>
      <x:c r="L242" s="6" t="str">
        <x:f>IF(COUNTA(E242:K242)=0,"",IF(OR(H242="不适用",H242="阻塞",H242="资料确认（未实测）"),"非实测记录",IF(AND(E242&lt;&gt;"",ISNUMBER(G242),G242&gt;0,H242&lt;&gt;"",I242&lt;&gt;"",J242&lt;&gt;""),"记录齐全","待补记录")))</x:f>
      </x:c>
    </x:row>
    <x:row r="243" ht="48" customHeight="1">
      <x:c r="A243" s="36" t="str">
        <x:v>MOT-04/Elmo</x:v>
      </x:c>
      <x:c r="B243" s="36" t="str">
        <x:v>Elmo</x:v>
      </x:c>
      <x:c r="C243" s="36" t="str">
        <x:v>MOT-04</x:v>
      </x:c>
      <x:c r="D243" s="36" t="str">
        <x:v>Elmo-01</x:v>
      </x:c>
      <x:c r="E243" s="22"/>
      <x:c r="F243" s="22"/>
      <x:c r="G243" s="37"/>
      <x:c r="H243" s="22"/>
      <x:c r="I243" s="22"/>
      <x:c r="J243" s="22"/>
      <x:c r="K243" s="22"/>
      <x:c r="L243" s="6" t="str">
        <x:f>IF(COUNTA(E243:K243)=0,"",IF(OR(H243="不适用",H243="阻塞",H243="资料确认（未实测）"),"非实测记录",IF(AND(E243&lt;&gt;"",ISNUMBER(G243),G243&gt;0,H243&lt;&gt;"",I243&lt;&gt;"",J243&lt;&gt;""),"记录齐全","待补记录")))</x:f>
      </x:c>
    </x:row>
    <x:row r="244" ht="48" customHeight="1">
      <x:c r="A244" s="36" t="str">
        <x:v>MOT-04/KEBA（可选）</x:v>
      </x:c>
      <x:c r="B244" s="36" t="str">
        <x:v>KEBA（可选）</x:v>
      </x:c>
      <x:c r="C244" s="36" t="str">
        <x:v>MOT-04</x:v>
      </x:c>
      <x:c r="D244" s="36" t="str">
        <x:v>KEBA-01</x:v>
      </x:c>
      <x:c r="E244" s="22"/>
      <x:c r="F244" s="22"/>
      <x:c r="G244" s="37"/>
      <x:c r="H244" s="22"/>
      <x:c r="I244" s="22"/>
      <x:c r="J244" s="22"/>
      <x:c r="K244" s="22"/>
      <x:c r="L244" s="6" t="str">
        <x:f>IF(COUNTA(E244:K244)=0,"",IF(OR(H244="不适用",H244="阻塞",H244="资料确认（未实测）"),"非实测记录",IF(AND(E244&lt;&gt;"",ISNUMBER(G244),G244&gt;0,H244&lt;&gt;"",I244&lt;&gt;"",J244&lt;&gt;""),"记录齐全","待补记录")))</x:f>
      </x:c>
    </x:row>
    <x:row r="245" ht="48" customHeight="1">
      <x:c r="A245" s="36" t="str">
        <x:v>MOT-05/CDHD</x:v>
      </x:c>
      <x:c r="B245" s="36" t="str">
        <x:v>CDHD</x:v>
      </x:c>
      <x:c r="C245" s="36" t="str">
        <x:v>MOT-05</x:v>
      </x:c>
      <x:c r="D245" s="36" t="str">
        <x:v>CDHD-01</x:v>
      </x:c>
      <x:c r="E245" s="22"/>
      <x:c r="F245" s="22"/>
      <x:c r="G245" s="37"/>
      <x:c r="H245" s="22"/>
      <x:c r="I245" s="22"/>
      <x:c r="J245" s="22"/>
      <x:c r="K245" s="22"/>
      <x:c r="L245" s="6" t="str">
        <x:f>IF(COUNTA(E245:K245)=0,"",IF(OR(H245="不适用",H245="阻塞",H245="资料确认（未实测）"),"非实测记录",IF(AND(E245&lt;&gt;"",ISNUMBER(G245),G245&gt;0,H245&lt;&gt;"",I245&lt;&gt;"",J245&lt;&gt;""),"记录齐全","待补记录")))</x:f>
      </x:c>
    </x:row>
    <x:row r="246" ht="48" customHeight="1">
      <x:c r="A246" s="36" t="str">
        <x:v>MOT-05/台达</x:v>
      </x:c>
      <x:c r="B246" s="36" t="str">
        <x:v>台达</x:v>
      </x:c>
      <x:c r="C246" s="36" t="str">
        <x:v>MOT-05</x:v>
      </x:c>
      <x:c r="D246" s="36" t="str">
        <x:v>台达-01</x:v>
      </x:c>
      <x:c r="E246" s="22"/>
      <x:c r="F246" s="22"/>
      <x:c r="G246" s="37"/>
      <x:c r="H246" s="22"/>
      <x:c r="I246" s="22"/>
      <x:c r="J246" s="22"/>
      <x:c r="K246" s="22"/>
      <x:c r="L246" s="6" t="str">
        <x:f>IF(COUNTA(E246:K246)=0,"",IF(OR(H246="不适用",H246="阻塞",H246="资料确认（未实测）"),"非实测记录",IF(AND(E246&lt;&gt;"",ISNUMBER(G246),G246&gt;0,H246&lt;&gt;"",I246&lt;&gt;"",J246&lt;&gt;""),"记录齐全","待补记录")))</x:f>
      </x:c>
    </x:row>
    <x:row r="247" ht="48" customHeight="1">
      <x:c r="A247" s="36" t="str">
        <x:v>MOT-05/繁易</x:v>
      </x:c>
      <x:c r="B247" s="36" t="str">
        <x:v>繁易</x:v>
      </x:c>
      <x:c r="C247" s="36" t="str">
        <x:v>MOT-05</x:v>
      </x:c>
      <x:c r="D247" s="36" t="str">
        <x:v>繁易-01</x:v>
      </x:c>
      <x:c r="E247" s="22"/>
      <x:c r="F247" s="22"/>
      <x:c r="G247" s="37"/>
      <x:c r="H247" s="22"/>
      <x:c r="I247" s="22"/>
      <x:c r="J247" s="22"/>
      <x:c r="K247" s="22"/>
      <x:c r="L247" s="6" t="str">
        <x:f>IF(COUNTA(E247:K247)=0,"",IF(OR(H247="不适用",H247="阻塞",H247="资料确认（未实测）"),"非实测记录",IF(AND(E247&lt;&gt;"",ISNUMBER(G247),G247&gt;0,H247&lt;&gt;"",I247&lt;&gt;"",J247&lt;&gt;""),"记录齐全","待补记录")))</x:f>
      </x:c>
    </x:row>
    <x:row r="248" ht="48" customHeight="1">
      <x:c r="A248" s="36" t="str">
        <x:v>MOT-05/Elmo</x:v>
      </x:c>
      <x:c r="B248" s="36" t="str">
        <x:v>Elmo</x:v>
      </x:c>
      <x:c r="C248" s="36" t="str">
        <x:v>MOT-05</x:v>
      </x:c>
      <x:c r="D248" s="36" t="str">
        <x:v>Elmo-01</x:v>
      </x:c>
      <x:c r="E248" s="22"/>
      <x:c r="F248" s="22"/>
      <x:c r="G248" s="37"/>
      <x:c r="H248" s="22"/>
      <x:c r="I248" s="22"/>
      <x:c r="J248" s="22"/>
      <x:c r="K248" s="22"/>
      <x:c r="L248" s="6" t="str">
        <x:f>IF(COUNTA(E248:K248)=0,"",IF(OR(H248="不适用",H248="阻塞",H248="资料确认（未实测）"),"非实测记录",IF(AND(E248&lt;&gt;"",ISNUMBER(G248),G248&gt;0,H248&lt;&gt;"",I248&lt;&gt;"",J248&lt;&gt;""),"记录齐全","待补记录")))</x:f>
      </x:c>
    </x:row>
    <x:row r="249" ht="48" customHeight="1">
      <x:c r="A249" s="36" t="str">
        <x:v>MOT-05/KEBA（可选）</x:v>
      </x:c>
      <x:c r="B249" s="36" t="str">
        <x:v>KEBA（可选）</x:v>
      </x:c>
      <x:c r="C249" s="36" t="str">
        <x:v>MOT-05</x:v>
      </x:c>
      <x:c r="D249" s="36" t="str">
        <x:v>KEBA-01</x:v>
      </x:c>
      <x:c r="E249" s="22"/>
      <x:c r="F249" s="22"/>
      <x:c r="G249" s="37"/>
      <x:c r="H249" s="22"/>
      <x:c r="I249" s="22"/>
      <x:c r="J249" s="22"/>
      <x:c r="K249" s="22"/>
      <x:c r="L249" s="6" t="str">
        <x:f>IF(COUNTA(E249:K249)=0,"",IF(OR(H249="不适用",H249="阻塞",H249="资料确认（未实测）"),"非实测记录",IF(AND(E249&lt;&gt;"",ISNUMBER(G249),G249&gt;0,H249&lt;&gt;"",I249&lt;&gt;"",J249&lt;&gt;""),"记录齐全","待补记录")))</x:f>
      </x:c>
    </x:row>
    <x:row r="250" ht="48" customHeight="1">
      <x:c r="A250" s="36" t="str">
        <x:v>MOT-06/CDHD</x:v>
      </x:c>
      <x:c r="B250" s="36" t="str">
        <x:v>CDHD</x:v>
      </x:c>
      <x:c r="C250" s="36" t="str">
        <x:v>MOT-06</x:v>
      </x:c>
      <x:c r="D250" s="36" t="str">
        <x:v>CDHD-01</x:v>
      </x:c>
      <x:c r="E250" s="22"/>
      <x:c r="F250" s="22"/>
      <x:c r="G250" s="37"/>
      <x:c r="H250" s="22"/>
      <x:c r="I250" s="22"/>
      <x:c r="J250" s="22"/>
      <x:c r="K250" s="22"/>
      <x:c r="L250" s="6" t="str">
        <x:f>IF(COUNTA(E250:K250)=0,"",IF(OR(H250="不适用",H250="阻塞",H250="资料确认（未实测）"),"非实测记录",IF(AND(E250&lt;&gt;"",ISNUMBER(G250),G250&gt;0,H250&lt;&gt;"",I250&lt;&gt;"",J250&lt;&gt;""),"记录齐全","待补记录")))</x:f>
      </x:c>
    </x:row>
    <x:row r="251" ht="48" customHeight="1">
      <x:c r="A251" s="36" t="str">
        <x:v>MOT-06/台达</x:v>
      </x:c>
      <x:c r="B251" s="36" t="str">
        <x:v>台达</x:v>
      </x:c>
      <x:c r="C251" s="36" t="str">
        <x:v>MOT-06</x:v>
      </x:c>
      <x:c r="D251" s="36" t="str">
        <x:v>台达-01</x:v>
      </x:c>
      <x:c r="E251" s="22"/>
      <x:c r="F251" s="22"/>
      <x:c r="G251" s="37"/>
      <x:c r="H251" s="22"/>
      <x:c r="I251" s="22"/>
      <x:c r="J251" s="22"/>
      <x:c r="K251" s="22"/>
      <x:c r="L251" s="6" t="str">
        <x:f>IF(COUNTA(E251:K251)=0,"",IF(OR(H251="不适用",H251="阻塞",H251="资料确认（未实测）"),"非实测记录",IF(AND(E251&lt;&gt;"",ISNUMBER(G251),G251&gt;0,H251&lt;&gt;"",I251&lt;&gt;"",J251&lt;&gt;""),"记录齐全","待补记录")))</x:f>
      </x:c>
    </x:row>
    <x:row r="252" ht="48" customHeight="1">
      <x:c r="A252" s="36" t="str">
        <x:v>MOT-06/繁易</x:v>
      </x:c>
      <x:c r="B252" s="36" t="str">
        <x:v>繁易</x:v>
      </x:c>
      <x:c r="C252" s="36" t="str">
        <x:v>MOT-06</x:v>
      </x:c>
      <x:c r="D252" s="36" t="str">
        <x:v>繁易-01</x:v>
      </x:c>
      <x:c r="E252" s="22"/>
      <x:c r="F252" s="22"/>
      <x:c r="G252" s="37"/>
      <x:c r="H252" s="22"/>
      <x:c r="I252" s="22"/>
      <x:c r="J252" s="22"/>
      <x:c r="K252" s="22"/>
      <x:c r="L252" s="6" t="str">
        <x:f>IF(COUNTA(E252:K252)=0,"",IF(OR(H252="不适用",H252="阻塞",H252="资料确认（未实测）"),"非实测记录",IF(AND(E252&lt;&gt;"",ISNUMBER(G252),G252&gt;0,H252&lt;&gt;"",I252&lt;&gt;"",J252&lt;&gt;""),"记录齐全","待补记录")))</x:f>
      </x:c>
    </x:row>
    <x:row r="253" ht="48" customHeight="1">
      <x:c r="A253" s="36" t="str">
        <x:v>MOT-06/Elmo</x:v>
      </x:c>
      <x:c r="B253" s="36" t="str">
        <x:v>Elmo</x:v>
      </x:c>
      <x:c r="C253" s="36" t="str">
        <x:v>MOT-06</x:v>
      </x:c>
      <x:c r="D253" s="36" t="str">
        <x:v>Elmo-01</x:v>
      </x:c>
      <x:c r="E253" s="22"/>
      <x:c r="F253" s="22"/>
      <x:c r="G253" s="37"/>
      <x:c r="H253" s="22"/>
      <x:c r="I253" s="22"/>
      <x:c r="J253" s="22"/>
      <x:c r="K253" s="22"/>
      <x:c r="L253" s="6" t="str">
        <x:f>IF(COUNTA(E253:K253)=0,"",IF(OR(H253="不适用",H253="阻塞",H253="资料确认（未实测）"),"非实测记录",IF(AND(E253&lt;&gt;"",ISNUMBER(G253),G253&gt;0,H253&lt;&gt;"",I253&lt;&gt;"",J253&lt;&gt;""),"记录齐全","待补记录")))</x:f>
      </x:c>
    </x:row>
    <x:row r="254" ht="48" customHeight="1">
      <x:c r="A254" s="36" t="str">
        <x:v>MOT-06/KEBA（可选）</x:v>
      </x:c>
      <x:c r="B254" s="36" t="str">
        <x:v>KEBA（可选）</x:v>
      </x:c>
      <x:c r="C254" s="36" t="str">
        <x:v>MOT-06</x:v>
      </x:c>
      <x:c r="D254" s="36" t="str">
        <x:v>KEBA-01</x:v>
      </x:c>
      <x:c r="E254" s="22"/>
      <x:c r="F254" s="22"/>
      <x:c r="G254" s="37"/>
      <x:c r="H254" s="22"/>
      <x:c r="I254" s="22"/>
      <x:c r="J254" s="22"/>
      <x:c r="K254" s="22"/>
      <x:c r="L254" s="6" t="str">
        <x:f>IF(COUNTA(E254:K254)=0,"",IF(OR(H254="不适用",H254="阻塞",H254="资料确认（未实测）"),"非实测记录",IF(AND(E254&lt;&gt;"",ISNUMBER(G254),G254&gt;0,H254&lt;&gt;"",I254&lt;&gt;"",J254&lt;&gt;""),"记录齐全","待补记录")))</x:f>
      </x:c>
    </x:row>
    <x:row r="255" ht="48" customHeight="1">
      <x:c r="A255" s="36" t="str">
        <x:v>MOT-07/CDHD</x:v>
      </x:c>
      <x:c r="B255" s="36" t="str">
        <x:v>CDHD</x:v>
      </x:c>
      <x:c r="C255" s="36" t="str">
        <x:v>MOT-07</x:v>
      </x:c>
      <x:c r="D255" s="36" t="str">
        <x:v>CDHD-01</x:v>
      </x:c>
      <x:c r="E255" s="22"/>
      <x:c r="F255" s="22"/>
      <x:c r="G255" s="37"/>
      <x:c r="H255" s="22"/>
      <x:c r="I255" s="22"/>
      <x:c r="J255" s="22"/>
      <x:c r="K255" s="22"/>
      <x:c r="L255" s="6" t="str">
        <x:f>IF(COUNTA(E255:K255)=0,"",IF(OR(H255="不适用",H255="阻塞",H255="资料确认（未实测）"),"非实测记录",IF(AND(E255&lt;&gt;"",ISNUMBER(G255),G255&gt;0,H255&lt;&gt;"",I255&lt;&gt;"",J255&lt;&gt;""),"记录齐全","待补记录")))</x:f>
      </x:c>
    </x:row>
    <x:row r="256" ht="48" customHeight="1">
      <x:c r="A256" s="36" t="str">
        <x:v>MOT-07/台达</x:v>
      </x:c>
      <x:c r="B256" s="36" t="str">
        <x:v>台达</x:v>
      </x:c>
      <x:c r="C256" s="36" t="str">
        <x:v>MOT-07</x:v>
      </x:c>
      <x:c r="D256" s="36" t="str">
        <x:v>台达-01</x:v>
      </x:c>
      <x:c r="E256" s="22"/>
      <x:c r="F256" s="22"/>
      <x:c r="G256" s="37"/>
      <x:c r="H256" s="22"/>
      <x:c r="I256" s="22"/>
      <x:c r="J256" s="22"/>
      <x:c r="K256" s="22"/>
      <x:c r="L256" s="6" t="str">
        <x:f>IF(COUNTA(E256:K256)=0,"",IF(OR(H256="不适用",H256="阻塞",H256="资料确认（未实测）"),"非实测记录",IF(AND(E256&lt;&gt;"",ISNUMBER(G256),G256&gt;0,H256&lt;&gt;"",I256&lt;&gt;"",J256&lt;&gt;""),"记录齐全","待补记录")))</x:f>
      </x:c>
    </x:row>
    <x:row r="257" ht="48" customHeight="1">
      <x:c r="A257" s="36" t="str">
        <x:v>MOT-07/繁易</x:v>
      </x:c>
      <x:c r="B257" s="36" t="str">
        <x:v>繁易</x:v>
      </x:c>
      <x:c r="C257" s="36" t="str">
        <x:v>MOT-07</x:v>
      </x:c>
      <x:c r="D257" s="36" t="str">
        <x:v>繁易-01</x:v>
      </x:c>
      <x:c r="E257" s="22"/>
      <x:c r="F257" s="22"/>
      <x:c r="G257" s="37"/>
      <x:c r="H257" s="22"/>
      <x:c r="I257" s="22"/>
      <x:c r="J257" s="22"/>
      <x:c r="K257" s="22"/>
      <x:c r="L257" s="6" t="str">
        <x:f>IF(COUNTA(E257:K257)=0,"",IF(OR(H257="不适用",H257="阻塞",H257="资料确认（未实测）"),"非实测记录",IF(AND(E257&lt;&gt;"",ISNUMBER(G257),G257&gt;0,H257&lt;&gt;"",I257&lt;&gt;"",J257&lt;&gt;""),"记录齐全","待补记录")))</x:f>
      </x:c>
    </x:row>
    <x:row r="258" ht="48" customHeight="1">
      <x:c r="A258" s="36" t="str">
        <x:v>MOT-07/Elmo</x:v>
      </x:c>
      <x:c r="B258" s="36" t="str">
        <x:v>Elmo</x:v>
      </x:c>
      <x:c r="C258" s="36" t="str">
        <x:v>MOT-07</x:v>
      </x:c>
      <x:c r="D258" s="36" t="str">
        <x:v>Elmo-01</x:v>
      </x:c>
      <x:c r="E258" s="22"/>
      <x:c r="F258" s="22"/>
      <x:c r="G258" s="37"/>
      <x:c r="H258" s="22"/>
      <x:c r="I258" s="22"/>
      <x:c r="J258" s="22"/>
      <x:c r="K258" s="22"/>
      <x:c r="L258" s="6" t="str">
        <x:f>IF(COUNTA(E258:K258)=0,"",IF(OR(H258="不适用",H258="阻塞",H258="资料确认（未实测）"),"非实测记录",IF(AND(E258&lt;&gt;"",ISNUMBER(G258),G258&gt;0,H258&lt;&gt;"",I258&lt;&gt;"",J258&lt;&gt;""),"记录齐全","待补记录")))</x:f>
      </x:c>
    </x:row>
    <x:row r="259" ht="48" customHeight="1">
      <x:c r="A259" s="36" t="str">
        <x:v>MOT-07/KEBA（可选）</x:v>
      </x:c>
      <x:c r="B259" s="36" t="str">
        <x:v>KEBA（可选）</x:v>
      </x:c>
      <x:c r="C259" s="36" t="str">
        <x:v>MOT-07</x:v>
      </x:c>
      <x:c r="D259" s="36" t="str">
        <x:v>KEBA-01</x:v>
      </x:c>
      <x:c r="E259" s="22"/>
      <x:c r="F259" s="22"/>
      <x:c r="G259" s="37"/>
      <x:c r="H259" s="22"/>
      <x:c r="I259" s="22"/>
      <x:c r="J259" s="22"/>
      <x:c r="K259" s="22"/>
      <x:c r="L259" s="6" t="str">
        <x:f>IF(COUNTA(E259:K259)=0,"",IF(OR(H259="不适用",H259="阻塞",H259="资料确认（未实测）"),"非实测记录",IF(AND(E259&lt;&gt;"",ISNUMBER(G259),G259&gt;0,H259&lt;&gt;"",I259&lt;&gt;"",J259&lt;&gt;""),"记录齐全","待补记录")))</x:f>
      </x:c>
    </x:row>
    <x:row r="260" ht="48" customHeight="1">
      <x:c r="A260" s="36" t="str">
        <x:v>MOT-08/CDHD</x:v>
      </x:c>
      <x:c r="B260" s="36" t="str">
        <x:v>CDHD</x:v>
      </x:c>
      <x:c r="C260" s="36" t="str">
        <x:v>MOT-08</x:v>
      </x:c>
      <x:c r="D260" s="36" t="str">
        <x:v>CDHD-01</x:v>
      </x:c>
      <x:c r="E260" s="22"/>
      <x:c r="F260" s="22"/>
      <x:c r="G260" s="37"/>
      <x:c r="H260" s="22"/>
      <x:c r="I260" s="22"/>
      <x:c r="J260" s="22"/>
      <x:c r="K260" s="22"/>
      <x:c r="L260" s="6" t="str">
        <x:f>IF(COUNTA(E260:K260)=0,"",IF(OR(H260="不适用",H260="阻塞",H260="资料确认（未实测）"),"非实测记录",IF(AND(E260&lt;&gt;"",ISNUMBER(G260),G260&gt;0,H260&lt;&gt;"",I260&lt;&gt;"",J260&lt;&gt;""),"记录齐全","待补记录")))</x:f>
      </x:c>
    </x:row>
    <x:row r="261" ht="48" customHeight="1">
      <x:c r="A261" s="36" t="str">
        <x:v>MOT-08/台达</x:v>
      </x:c>
      <x:c r="B261" s="36" t="str">
        <x:v>台达</x:v>
      </x:c>
      <x:c r="C261" s="36" t="str">
        <x:v>MOT-08</x:v>
      </x:c>
      <x:c r="D261" s="36" t="str">
        <x:v>台达-01</x:v>
      </x:c>
      <x:c r="E261" s="22"/>
      <x:c r="F261" s="22"/>
      <x:c r="G261" s="37"/>
      <x:c r="H261" s="22"/>
      <x:c r="I261" s="22"/>
      <x:c r="J261" s="22"/>
      <x:c r="K261" s="22"/>
      <x:c r="L261" s="6" t="str">
        <x:f>IF(COUNTA(E261:K261)=0,"",IF(OR(H261="不适用",H261="阻塞",H261="资料确认（未实测）"),"非实测记录",IF(AND(E261&lt;&gt;"",ISNUMBER(G261),G261&gt;0,H261&lt;&gt;"",I261&lt;&gt;"",J261&lt;&gt;""),"记录齐全","待补记录")))</x:f>
      </x:c>
    </x:row>
    <x:row r="262" ht="48" customHeight="1">
      <x:c r="A262" s="36" t="str">
        <x:v>MOT-08/繁易</x:v>
      </x:c>
      <x:c r="B262" s="36" t="str">
        <x:v>繁易</x:v>
      </x:c>
      <x:c r="C262" s="36" t="str">
        <x:v>MOT-08</x:v>
      </x:c>
      <x:c r="D262" s="36" t="str">
        <x:v>繁易-01</x:v>
      </x:c>
      <x:c r="E262" s="22"/>
      <x:c r="F262" s="22"/>
      <x:c r="G262" s="37"/>
      <x:c r="H262" s="22"/>
      <x:c r="I262" s="22"/>
      <x:c r="J262" s="22"/>
      <x:c r="K262" s="22"/>
      <x:c r="L262" s="6" t="str">
        <x:f>IF(COUNTA(E262:K262)=0,"",IF(OR(H262="不适用",H262="阻塞",H262="资料确认（未实测）"),"非实测记录",IF(AND(E262&lt;&gt;"",ISNUMBER(G262),G262&gt;0,H262&lt;&gt;"",I262&lt;&gt;"",J262&lt;&gt;""),"记录齐全","待补记录")))</x:f>
      </x:c>
    </x:row>
    <x:row r="263" ht="48" customHeight="1">
      <x:c r="A263" s="36" t="str">
        <x:v>MOT-08/Elmo</x:v>
      </x:c>
      <x:c r="B263" s="36" t="str">
        <x:v>Elmo</x:v>
      </x:c>
      <x:c r="C263" s="36" t="str">
        <x:v>MOT-08</x:v>
      </x:c>
      <x:c r="D263" s="36" t="str">
        <x:v>Elmo-01</x:v>
      </x:c>
      <x:c r="E263" s="22"/>
      <x:c r="F263" s="22"/>
      <x:c r="G263" s="37"/>
      <x:c r="H263" s="22"/>
      <x:c r="I263" s="22"/>
      <x:c r="J263" s="22"/>
      <x:c r="K263" s="22"/>
      <x:c r="L263" s="6" t="str">
        <x:f>IF(COUNTA(E263:K263)=0,"",IF(OR(H263="不适用",H263="阻塞",H263="资料确认（未实测）"),"非实测记录",IF(AND(E263&lt;&gt;"",ISNUMBER(G263),G263&gt;0,H263&lt;&gt;"",I263&lt;&gt;"",J263&lt;&gt;""),"记录齐全","待补记录")))</x:f>
      </x:c>
    </x:row>
    <x:row r="264" ht="48" customHeight="1">
      <x:c r="A264" s="36" t="str">
        <x:v>MOT-08/KEBA（可选）</x:v>
      </x:c>
      <x:c r="B264" s="36" t="str">
        <x:v>KEBA（可选）</x:v>
      </x:c>
      <x:c r="C264" s="36" t="str">
        <x:v>MOT-08</x:v>
      </x:c>
      <x:c r="D264" s="36" t="str">
        <x:v>KEBA-01</x:v>
      </x:c>
      <x:c r="E264" s="22"/>
      <x:c r="F264" s="22"/>
      <x:c r="G264" s="37"/>
      <x:c r="H264" s="22"/>
      <x:c r="I264" s="22"/>
      <x:c r="J264" s="22"/>
      <x:c r="K264" s="22"/>
      <x:c r="L264" s="6" t="str">
        <x:f>IF(COUNTA(E264:K264)=0,"",IF(OR(H264="不适用",H264="阻塞",H264="资料确认（未实测）"),"非实测记录",IF(AND(E264&lt;&gt;"",ISNUMBER(G264),G264&gt;0,H264&lt;&gt;"",I264&lt;&gt;"",J264&lt;&gt;""),"记录齐全","待补记录")))</x:f>
      </x:c>
    </x:row>
    <x:row r="265" ht="48" customHeight="1">
      <x:c r="A265" s="36" t="str">
        <x:v>MOT-09/CDHD</x:v>
      </x:c>
      <x:c r="B265" s="36" t="str">
        <x:v>CDHD</x:v>
      </x:c>
      <x:c r="C265" s="36" t="str">
        <x:v>MOT-09</x:v>
      </x:c>
      <x:c r="D265" s="36" t="str">
        <x:v>CDHD-01</x:v>
      </x:c>
      <x:c r="E265" s="22"/>
      <x:c r="F265" s="22"/>
      <x:c r="G265" s="37"/>
      <x:c r="H265" s="22"/>
      <x:c r="I265" s="22"/>
      <x:c r="J265" s="22"/>
      <x:c r="K265" s="22"/>
      <x:c r="L265" s="6" t="str">
        <x:f>IF(COUNTA(E265:K265)=0,"",IF(OR(H265="不适用",H265="阻塞",H265="资料确认（未实测）"),"非实测记录",IF(AND(E265&lt;&gt;"",ISNUMBER(G265),G265&gt;0,H265&lt;&gt;"",I265&lt;&gt;"",J265&lt;&gt;""),"记录齐全","待补记录")))</x:f>
      </x:c>
    </x:row>
    <x:row r="266" ht="48" customHeight="1">
      <x:c r="A266" s="36" t="str">
        <x:v>MOT-09/台达</x:v>
      </x:c>
      <x:c r="B266" s="36" t="str">
        <x:v>台达</x:v>
      </x:c>
      <x:c r="C266" s="36" t="str">
        <x:v>MOT-09</x:v>
      </x:c>
      <x:c r="D266" s="36" t="str">
        <x:v>台达-01</x:v>
      </x:c>
      <x:c r="E266" s="22"/>
      <x:c r="F266" s="22"/>
      <x:c r="G266" s="37"/>
      <x:c r="H266" s="22"/>
      <x:c r="I266" s="22"/>
      <x:c r="J266" s="22"/>
      <x:c r="K266" s="22"/>
      <x:c r="L266" s="6" t="str">
        <x:f>IF(COUNTA(E266:K266)=0,"",IF(OR(H266="不适用",H266="阻塞",H266="资料确认（未实测）"),"非实测记录",IF(AND(E266&lt;&gt;"",ISNUMBER(G266),G266&gt;0,H266&lt;&gt;"",I266&lt;&gt;"",J266&lt;&gt;""),"记录齐全","待补记录")))</x:f>
      </x:c>
    </x:row>
    <x:row r="267" ht="48" customHeight="1">
      <x:c r="A267" s="36" t="str">
        <x:v>MOT-09/繁易</x:v>
      </x:c>
      <x:c r="B267" s="36" t="str">
        <x:v>繁易</x:v>
      </x:c>
      <x:c r="C267" s="36" t="str">
        <x:v>MOT-09</x:v>
      </x:c>
      <x:c r="D267" s="36" t="str">
        <x:v>繁易-01</x:v>
      </x:c>
      <x:c r="E267" s="22"/>
      <x:c r="F267" s="22"/>
      <x:c r="G267" s="37"/>
      <x:c r="H267" s="22"/>
      <x:c r="I267" s="22"/>
      <x:c r="J267" s="22"/>
      <x:c r="K267" s="22"/>
      <x:c r="L267" s="6" t="str">
        <x:f>IF(COUNTA(E267:K267)=0,"",IF(OR(H267="不适用",H267="阻塞",H267="资料确认（未实测）"),"非实测记录",IF(AND(E267&lt;&gt;"",ISNUMBER(G267),G267&gt;0,H267&lt;&gt;"",I267&lt;&gt;"",J267&lt;&gt;""),"记录齐全","待补记录")))</x:f>
      </x:c>
    </x:row>
    <x:row r="268" ht="48" customHeight="1">
      <x:c r="A268" s="36" t="str">
        <x:v>MOT-09/Elmo</x:v>
      </x:c>
      <x:c r="B268" s="36" t="str">
        <x:v>Elmo</x:v>
      </x:c>
      <x:c r="C268" s="36" t="str">
        <x:v>MOT-09</x:v>
      </x:c>
      <x:c r="D268" s="36" t="str">
        <x:v>Elmo-01</x:v>
      </x:c>
      <x:c r="E268" s="22"/>
      <x:c r="F268" s="22"/>
      <x:c r="G268" s="37"/>
      <x:c r="H268" s="22"/>
      <x:c r="I268" s="22"/>
      <x:c r="J268" s="22"/>
      <x:c r="K268" s="22"/>
      <x:c r="L268" s="6" t="str">
        <x:f>IF(COUNTA(E268:K268)=0,"",IF(OR(H268="不适用",H268="阻塞",H268="资料确认（未实测）"),"非实测记录",IF(AND(E268&lt;&gt;"",ISNUMBER(G268),G268&gt;0,H268&lt;&gt;"",I268&lt;&gt;"",J268&lt;&gt;""),"记录齐全","待补记录")))</x:f>
      </x:c>
    </x:row>
    <x:row r="269" ht="48" customHeight="1">
      <x:c r="A269" s="36" t="str">
        <x:v>MOT-09/KEBA（可选）</x:v>
      </x:c>
      <x:c r="B269" s="36" t="str">
        <x:v>KEBA（可选）</x:v>
      </x:c>
      <x:c r="C269" s="36" t="str">
        <x:v>MOT-09</x:v>
      </x:c>
      <x:c r="D269" s="36" t="str">
        <x:v>KEBA-01</x:v>
      </x:c>
      <x:c r="E269" s="22"/>
      <x:c r="F269" s="22"/>
      <x:c r="G269" s="37"/>
      <x:c r="H269" s="22"/>
      <x:c r="I269" s="22"/>
      <x:c r="J269" s="22"/>
      <x:c r="K269" s="22"/>
      <x:c r="L269" s="6" t="str">
        <x:f>IF(COUNTA(E269:K269)=0,"",IF(OR(H269="不适用",H269="阻塞",H269="资料确认（未实测）"),"非实测记录",IF(AND(E269&lt;&gt;"",ISNUMBER(G269),G269&gt;0,H269&lt;&gt;"",I269&lt;&gt;"",J269&lt;&gt;""),"记录齐全","待补记录")))</x:f>
      </x:c>
    </x:row>
    <x:row r="270" ht="48" customHeight="1">
      <x:c r="A270" s="36" t="str">
        <x:v>MOT-10/CDHD</x:v>
      </x:c>
      <x:c r="B270" s="36" t="str">
        <x:v>CDHD</x:v>
      </x:c>
      <x:c r="C270" s="36" t="str">
        <x:v>MOT-10</x:v>
      </x:c>
      <x:c r="D270" s="36" t="str">
        <x:v>CDHD-01</x:v>
      </x:c>
      <x:c r="E270" s="22"/>
      <x:c r="F270" s="22"/>
      <x:c r="G270" s="37"/>
      <x:c r="H270" s="22"/>
      <x:c r="I270" s="22"/>
      <x:c r="J270" s="22"/>
      <x:c r="K270" s="22"/>
      <x:c r="L270" s="6" t="str">
        <x:f>IF(COUNTA(E270:K270)=0,"",IF(OR(H270="不适用",H270="阻塞",H270="资料确认（未实测）"),"非实测记录",IF(AND(E270&lt;&gt;"",ISNUMBER(G270),G270&gt;0,H270&lt;&gt;"",I270&lt;&gt;"",J270&lt;&gt;""),"记录齐全","待补记录")))</x:f>
      </x:c>
    </x:row>
    <x:row r="271" ht="48" customHeight="1">
      <x:c r="A271" s="36" t="str">
        <x:v>MOT-10/台达</x:v>
      </x:c>
      <x:c r="B271" s="36" t="str">
        <x:v>台达</x:v>
      </x:c>
      <x:c r="C271" s="36" t="str">
        <x:v>MOT-10</x:v>
      </x:c>
      <x:c r="D271" s="36" t="str">
        <x:v>台达-01</x:v>
      </x:c>
      <x:c r="E271" s="22"/>
      <x:c r="F271" s="22"/>
      <x:c r="G271" s="37"/>
      <x:c r="H271" s="22"/>
      <x:c r="I271" s="22"/>
      <x:c r="J271" s="22"/>
      <x:c r="K271" s="22"/>
      <x:c r="L271" s="6" t="str">
        <x:f>IF(COUNTA(E271:K271)=0,"",IF(OR(H271="不适用",H271="阻塞",H271="资料确认（未实测）"),"非实测记录",IF(AND(E271&lt;&gt;"",ISNUMBER(G271),G271&gt;0,H271&lt;&gt;"",I271&lt;&gt;"",J271&lt;&gt;""),"记录齐全","待补记录")))</x:f>
      </x:c>
    </x:row>
    <x:row r="272" ht="48" customHeight="1">
      <x:c r="A272" s="36" t="str">
        <x:v>MOT-10/繁易</x:v>
      </x:c>
      <x:c r="B272" s="36" t="str">
        <x:v>繁易</x:v>
      </x:c>
      <x:c r="C272" s="36" t="str">
        <x:v>MOT-10</x:v>
      </x:c>
      <x:c r="D272" s="36" t="str">
        <x:v>繁易-01</x:v>
      </x:c>
      <x:c r="E272" s="22"/>
      <x:c r="F272" s="22"/>
      <x:c r="G272" s="37"/>
      <x:c r="H272" s="22"/>
      <x:c r="I272" s="22"/>
      <x:c r="J272" s="22"/>
      <x:c r="K272" s="22"/>
      <x:c r="L272" s="6" t="str">
        <x:f>IF(COUNTA(E272:K272)=0,"",IF(OR(H272="不适用",H272="阻塞",H272="资料确认（未实测）"),"非实测记录",IF(AND(E272&lt;&gt;"",ISNUMBER(G272),G272&gt;0,H272&lt;&gt;"",I272&lt;&gt;"",J272&lt;&gt;""),"记录齐全","待补记录")))</x:f>
      </x:c>
    </x:row>
    <x:row r="273" ht="48" customHeight="1">
      <x:c r="A273" s="36" t="str">
        <x:v>MOT-10/Elmo</x:v>
      </x:c>
      <x:c r="B273" s="36" t="str">
        <x:v>Elmo</x:v>
      </x:c>
      <x:c r="C273" s="36" t="str">
        <x:v>MOT-10</x:v>
      </x:c>
      <x:c r="D273" s="36" t="str">
        <x:v>Elmo-01</x:v>
      </x:c>
      <x:c r="E273" s="22"/>
      <x:c r="F273" s="22"/>
      <x:c r="G273" s="37"/>
      <x:c r="H273" s="22"/>
      <x:c r="I273" s="22"/>
      <x:c r="J273" s="22"/>
      <x:c r="K273" s="22"/>
      <x:c r="L273" s="6" t="str">
        <x:f>IF(COUNTA(E273:K273)=0,"",IF(OR(H273="不适用",H273="阻塞",H273="资料确认（未实测）"),"非实测记录",IF(AND(E273&lt;&gt;"",ISNUMBER(G273),G273&gt;0,H273&lt;&gt;"",I273&lt;&gt;"",J273&lt;&gt;""),"记录齐全","待补记录")))</x:f>
      </x:c>
    </x:row>
    <x:row r="274" ht="48" customHeight="1">
      <x:c r="A274" s="36" t="str">
        <x:v>MOT-10/KEBA（可选）</x:v>
      </x:c>
      <x:c r="B274" s="36" t="str">
        <x:v>KEBA（可选）</x:v>
      </x:c>
      <x:c r="C274" s="36" t="str">
        <x:v>MOT-10</x:v>
      </x:c>
      <x:c r="D274" s="36" t="str">
        <x:v>KEBA-01</x:v>
      </x:c>
      <x:c r="E274" s="22"/>
      <x:c r="F274" s="22"/>
      <x:c r="G274" s="37"/>
      <x:c r="H274" s="22"/>
      <x:c r="I274" s="22"/>
      <x:c r="J274" s="22"/>
      <x:c r="K274" s="22"/>
      <x:c r="L274" s="6" t="str">
        <x:f>IF(COUNTA(E274:K274)=0,"",IF(OR(H274="不适用",H274="阻塞",H274="资料确认（未实测）"),"非实测记录",IF(AND(E274&lt;&gt;"",ISNUMBER(G274),G274&gt;0,H274&lt;&gt;"",I274&lt;&gt;"",J274&lt;&gt;""),"记录齐全","待补记录")))</x:f>
      </x:c>
    </x:row>
    <x:row r="275" ht="48" customHeight="1">
      <x:c r="A275" s="36" t="str">
        <x:v>MOT-11/CDHD</x:v>
      </x:c>
      <x:c r="B275" s="36" t="str">
        <x:v>CDHD</x:v>
      </x:c>
      <x:c r="C275" s="36" t="str">
        <x:v>MOT-11</x:v>
      </x:c>
      <x:c r="D275" s="36" t="str">
        <x:v>CDHD-01</x:v>
      </x:c>
      <x:c r="E275" s="22"/>
      <x:c r="F275" s="22"/>
      <x:c r="G275" s="37"/>
      <x:c r="H275" s="22"/>
      <x:c r="I275" s="22"/>
      <x:c r="J275" s="22"/>
      <x:c r="K275" s="22"/>
      <x:c r="L275" s="6" t="str">
        <x:f>IF(COUNTA(E275:K275)=0,"",IF(OR(H275="不适用",H275="阻塞",H275="资料确认（未实测）"),"非实测记录",IF(AND(E275&lt;&gt;"",ISNUMBER(G275),G275&gt;0,H275&lt;&gt;"",I275&lt;&gt;"",J275&lt;&gt;""),"记录齐全","待补记录")))</x:f>
      </x:c>
    </x:row>
    <x:row r="276" ht="48" customHeight="1">
      <x:c r="A276" s="36" t="str">
        <x:v>MOT-11/台达</x:v>
      </x:c>
      <x:c r="B276" s="36" t="str">
        <x:v>台达</x:v>
      </x:c>
      <x:c r="C276" s="36" t="str">
        <x:v>MOT-11</x:v>
      </x:c>
      <x:c r="D276" s="36" t="str">
        <x:v>台达-01</x:v>
      </x:c>
      <x:c r="E276" s="22"/>
      <x:c r="F276" s="22"/>
      <x:c r="G276" s="37"/>
      <x:c r="H276" s="22"/>
      <x:c r="I276" s="22"/>
      <x:c r="J276" s="22"/>
      <x:c r="K276" s="22"/>
      <x:c r="L276" s="6" t="str">
        <x:f>IF(COUNTA(E276:K276)=0,"",IF(OR(H276="不适用",H276="阻塞",H276="资料确认（未实测）"),"非实测记录",IF(AND(E276&lt;&gt;"",ISNUMBER(G276),G276&gt;0,H276&lt;&gt;"",I276&lt;&gt;"",J276&lt;&gt;""),"记录齐全","待补记录")))</x:f>
      </x:c>
    </x:row>
    <x:row r="277" ht="48" customHeight="1">
      <x:c r="A277" s="36" t="str">
        <x:v>MOT-11/繁易</x:v>
      </x:c>
      <x:c r="B277" s="36" t="str">
        <x:v>繁易</x:v>
      </x:c>
      <x:c r="C277" s="36" t="str">
        <x:v>MOT-11</x:v>
      </x:c>
      <x:c r="D277" s="36" t="str">
        <x:v>繁易-01</x:v>
      </x:c>
      <x:c r="E277" s="22"/>
      <x:c r="F277" s="22"/>
      <x:c r="G277" s="37"/>
      <x:c r="H277" s="22"/>
      <x:c r="I277" s="22"/>
      <x:c r="J277" s="22"/>
      <x:c r="K277" s="22"/>
      <x:c r="L277" s="6" t="str">
        <x:f>IF(COUNTA(E277:K277)=0,"",IF(OR(H277="不适用",H277="阻塞",H277="资料确认（未实测）"),"非实测记录",IF(AND(E277&lt;&gt;"",ISNUMBER(G277),G277&gt;0,H277&lt;&gt;"",I277&lt;&gt;"",J277&lt;&gt;""),"记录齐全","待补记录")))</x:f>
      </x:c>
    </x:row>
    <x:row r="278" ht="48" customHeight="1">
      <x:c r="A278" s="36" t="str">
        <x:v>MOT-11/Elmo</x:v>
      </x:c>
      <x:c r="B278" s="36" t="str">
        <x:v>Elmo</x:v>
      </x:c>
      <x:c r="C278" s="36" t="str">
        <x:v>MOT-11</x:v>
      </x:c>
      <x:c r="D278" s="36" t="str">
        <x:v>Elmo-01</x:v>
      </x:c>
      <x:c r="E278" s="22"/>
      <x:c r="F278" s="22"/>
      <x:c r="G278" s="37"/>
      <x:c r="H278" s="22"/>
      <x:c r="I278" s="22"/>
      <x:c r="J278" s="22"/>
      <x:c r="K278" s="22"/>
      <x:c r="L278" s="6" t="str">
        <x:f>IF(COUNTA(E278:K278)=0,"",IF(OR(H278="不适用",H278="阻塞",H278="资料确认（未实测）"),"非实测记录",IF(AND(E278&lt;&gt;"",ISNUMBER(G278),G278&gt;0,H278&lt;&gt;"",I278&lt;&gt;"",J278&lt;&gt;""),"记录齐全","待补记录")))</x:f>
      </x:c>
    </x:row>
    <x:row r="279" ht="48" customHeight="1">
      <x:c r="A279" s="36" t="str">
        <x:v>MOT-11/KEBA（可选）</x:v>
      </x:c>
      <x:c r="B279" s="36" t="str">
        <x:v>KEBA（可选）</x:v>
      </x:c>
      <x:c r="C279" s="36" t="str">
        <x:v>MOT-11</x:v>
      </x:c>
      <x:c r="D279" s="36" t="str">
        <x:v>KEBA-01</x:v>
      </x:c>
      <x:c r="E279" s="22"/>
      <x:c r="F279" s="22"/>
      <x:c r="G279" s="37"/>
      <x:c r="H279" s="22"/>
      <x:c r="I279" s="22"/>
      <x:c r="J279" s="22"/>
      <x:c r="K279" s="22"/>
      <x:c r="L279" s="6" t="str">
        <x:f>IF(COUNTA(E279:K279)=0,"",IF(OR(H279="不适用",H279="阻塞",H279="资料确认（未实测）"),"非实测记录",IF(AND(E279&lt;&gt;"",ISNUMBER(G279),G279&gt;0,H279&lt;&gt;"",I279&lt;&gt;"",J279&lt;&gt;""),"记录齐全","待补记录")))</x:f>
      </x:c>
    </x:row>
    <x:row r="280" ht="48" customHeight="1">
      <x:c r="A280" s="36" t="str">
        <x:v>MOT-12/CDHD</x:v>
      </x:c>
      <x:c r="B280" s="36" t="str">
        <x:v>CDHD</x:v>
      </x:c>
      <x:c r="C280" s="36" t="str">
        <x:v>MOT-12</x:v>
      </x:c>
      <x:c r="D280" s="36" t="str">
        <x:v>CDHD-01</x:v>
      </x:c>
      <x:c r="E280" s="22"/>
      <x:c r="F280" s="22"/>
      <x:c r="G280" s="37"/>
      <x:c r="H280" s="22"/>
      <x:c r="I280" s="22"/>
      <x:c r="J280" s="22"/>
      <x:c r="K280" s="22"/>
      <x:c r="L280" s="6" t="str">
        <x:f>IF(COUNTA(E280:K280)=0,"",IF(OR(H280="不适用",H280="阻塞",H280="资料确认（未实测）"),"非实测记录",IF(AND(E280&lt;&gt;"",ISNUMBER(G280),G280&gt;0,H280&lt;&gt;"",I280&lt;&gt;"",J280&lt;&gt;""),"记录齐全","待补记录")))</x:f>
      </x:c>
    </x:row>
    <x:row r="281" ht="48" customHeight="1">
      <x:c r="A281" s="36" t="str">
        <x:v>MOT-12/台达</x:v>
      </x:c>
      <x:c r="B281" s="36" t="str">
        <x:v>台达</x:v>
      </x:c>
      <x:c r="C281" s="36" t="str">
        <x:v>MOT-12</x:v>
      </x:c>
      <x:c r="D281" s="36" t="str">
        <x:v>台达-01</x:v>
      </x:c>
      <x:c r="E281" s="22"/>
      <x:c r="F281" s="22"/>
      <x:c r="G281" s="37"/>
      <x:c r="H281" s="22"/>
      <x:c r="I281" s="22"/>
      <x:c r="J281" s="22"/>
      <x:c r="K281" s="22"/>
      <x:c r="L281" s="6" t="str">
        <x:f>IF(COUNTA(E281:K281)=0,"",IF(OR(H281="不适用",H281="阻塞",H281="资料确认（未实测）"),"非实测记录",IF(AND(E281&lt;&gt;"",ISNUMBER(G281),G281&gt;0,H281&lt;&gt;"",I281&lt;&gt;"",J281&lt;&gt;""),"记录齐全","待补记录")))</x:f>
      </x:c>
    </x:row>
    <x:row r="282" ht="48" customHeight="1">
      <x:c r="A282" s="36" t="str">
        <x:v>MOT-12/繁易</x:v>
      </x:c>
      <x:c r="B282" s="36" t="str">
        <x:v>繁易</x:v>
      </x:c>
      <x:c r="C282" s="36" t="str">
        <x:v>MOT-12</x:v>
      </x:c>
      <x:c r="D282" s="36" t="str">
        <x:v>繁易-01</x:v>
      </x:c>
      <x:c r="E282" s="22"/>
      <x:c r="F282" s="22"/>
      <x:c r="G282" s="37"/>
      <x:c r="H282" s="22"/>
      <x:c r="I282" s="22"/>
      <x:c r="J282" s="22"/>
      <x:c r="K282" s="22"/>
      <x:c r="L282" s="6" t="str">
        <x:f>IF(COUNTA(E282:K282)=0,"",IF(OR(H282="不适用",H282="阻塞",H282="资料确认（未实测）"),"非实测记录",IF(AND(E282&lt;&gt;"",ISNUMBER(G282),G282&gt;0,H282&lt;&gt;"",I282&lt;&gt;"",J282&lt;&gt;""),"记录齐全","待补记录")))</x:f>
      </x:c>
    </x:row>
    <x:row r="283" ht="48" customHeight="1">
      <x:c r="A283" s="36" t="str">
        <x:v>MOT-12/Elmo</x:v>
      </x:c>
      <x:c r="B283" s="36" t="str">
        <x:v>Elmo</x:v>
      </x:c>
      <x:c r="C283" s="36" t="str">
        <x:v>MOT-12</x:v>
      </x:c>
      <x:c r="D283" s="36" t="str">
        <x:v>Elmo-01</x:v>
      </x:c>
      <x:c r="E283" s="22"/>
      <x:c r="F283" s="22"/>
      <x:c r="G283" s="37"/>
      <x:c r="H283" s="22"/>
      <x:c r="I283" s="22"/>
      <x:c r="J283" s="22"/>
      <x:c r="K283" s="22"/>
      <x:c r="L283" s="6" t="str">
        <x:f>IF(COUNTA(E283:K283)=0,"",IF(OR(H283="不适用",H283="阻塞",H283="资料确认（未实测）"),"非实测记录",IF(AND(E283&lt;&gt;"",ISNUMBER(G283),G283&gt;0,H283&lt;&gt;"",I283&lt;&gt;"",J283&lt;&gt;""),"记录齐全","待补记录")))</x:f>
      </x:c>
    </x:row>
    <x:row r="284" ht="48" customHeight="1">
      <x:c r="A284" s="36" t="str">
        <x:v>MOT-12/KEBA（可选）</x:v>
      </x:c>
      <x:c r="B284" s="36" t="str">
        <x:v>KEBA（可选）</x:v>
      </x:c>
      <x:c r="C284" s="36" t="str">
        <x:v>MOT-12</x:v>
      </x:c>
      <x:c r="D284" s="36" t="str">
        <x:v>KEBA-01</x:v>
      </x:c>
      <x:c r="E284" s="22"/>
      <x:c r="F284" s="22"/>
      <x:c r="G284" s="37"/>
      <x:c r="H284" s="22"/>
      <x:c r="I284" s="22"/>
      <x:c r="J284" s="22"/>
      <x:c r="K284" s="22"/>
      <x:c r="L284" s="6" t="str">
        <x:f>IF(COUNTA(E284:K284)=0,"",IF(OR(H284="不适用",H284="阻塞",H284="资料确认（未实测）"),"非实测记录",IF(AND(E284&lt;&gt;"",ISNUMBER(G284),G284&gt;0,H284&lt;&gt;"",I284&lt;&gt;"",J284&lt;&gt;""),"记录齐全","待补记录")))</x:f>
      </x:c>
    </x:row>
    <x:row r="285" ht="48" customHeight="1">
      <x:c r="A285" s="36" t="str">
        <x:v>MOT-13/CDHD</x:v>
      </x:c>
      <x:c r="B285" s="36" t="str">
        <x:v>CDHD</x:v>
      </x:c>
      <x:c r="C285" s="36" t="str">
        <x:v>MOT-13</x:v>
      </x:c>
      <x:c r="D285" s="36" t="str">
        <x:v>CDHD-01</x:v>
      </x:c>
      <x:c r="E285" s="22"/>
      <x:c r="F285" s="22"/>
      <x:c r="G285" s="37"/>
      <x:c r="H285" s="22"/>
      <x:c r="I285" s="22"/>
      <x:c r="J285" s="22"/>
      <x:c r="K285" s="22"/>
      <x:c r="L285" s="6" t="str">
        <x:f>IF(COUNTA(E285:K285)=0,"",IF(OR(H285="不适用",H285="阻塞",H285="资料确认（未实测）"),"非实测记录",IF(AND(E285&lt;&gt;"",ISNUMBER(G285),G285&gt;0,H285&lt;&gt;"",I285&lt;&gt;"",J285&lt;&gt;""),"记录齐全","待补记录")))</x:f>
      </x:c>
    </x:row>
    <x:row r="286" ht="48" customHeight="1">
      <x:c r="A286" s="36" t="str">
        <x:v>MOT-13/台达</x:v>
      </x:c>
      <x:c r="B286" s="36" t="str">
        <x:v>台达</x:v>
      </x:c>
      <x:c r="C286" s="36" t="str">
        <x:v>MOT-13</x:v>
      </x:c>
      <x:c r="D286" s="36" t="str">
        <x:v>台达-01</x:v>
      </x:c>
      <x:c r="E286" s="22"/>
      <x:c r="F286" s="22"/>
      <x:c r="G286" s="37"/>
      <x:c r="H286" s="22"/>
      <x:c r="I286" s="22"/>
      <x:c r="J286" s="22"/>
      <x:c r="K286" s="22"/>
      <x:c r="L286" s="6" t="str">
        <x:f>IF(COUNTA(E286:K286)=0,"",IF(OR(H286="不适用",H286="阻塞",H286="资料确认（未实测）"),"非实测记录",IF(AND(E286&lt;&gt;"",ISNUMBER(G286),G286&gt;0,H286&lt;&gt;"",I286&lt;&gt;"",J286&lt;&gt;""),"记录齐全","待补记录")))</x:f>
      </x:c>
    </x:row>
    <x:row r="287" ht="48" customHeight="1">
      <x:c r="A287" s="36" t="str">
        <x:v>MOT-13/繁易</x:v>
      </x:c>
      <x:c r="B287" s="36" t="str">
        <x:v>繁易</x:v>
      </x:c>
      <x:c r="C287" s="36" t="str">
        <x:v>MOT-13</x:v>
      </x:c>
      <x:c r="D287" s="36" t="str">
        <x:v>繁易-01</x:v>
      </x:c>
      <x:c r="E287" s="22"/>
      <x:c r="F287" s="22"/>
      <x:c r="G287" s="37"/>
      <x:c r="H287" s="22"/>
      <x:c r="I287" s="22"/>
      <x:c r="J287" s="22"/>
      <x:c r="K287" s="22"/>
      <x:c r="L287" s="6" t="str">
        <x:f>IF(COUNTA(E287:K287)=0,"",IF(OR(H287="不适用",H287="阻塞",H287="资料确认（未实测）"),"非实测记录",IF(AND(E287&lt;&gt;"",ISNUMBER(G287),G287&gt;0,H287&lt;&gt;"",I287&lt;&gt;"",J287&lt;&gt;""),"记录齐全","待补记录")))</x:f>
      </x:c>
    </x:row>
    <x:row r="288" ht="48" customHeight="1">
      <x:c r="A288" s="36" t="str">
        <x:v>MOT-13/Elmo</x:v>
      </x:c>
      <x:c r="B288" s="36" t="str">
        <x:v>Elmo</x:v>
      </x:c>
      <x:c r="C288" s="36" t="str">
        <x:v>MOT-13</x:v>
      </x:c>
      <x:c r="D288" s="36" t="str">
        <x:v>Elmo-01</x:v>
      </x:c>
      <x:c r="E288" s="22"/>
      <x:c r="F288" s="22"/>
      <x:c r="G288" s="37"/>
      <x:c r="H288" s="22"/>
      <x:c r="I288" s="22"/>
      <x:c r="J288" s="22"/>
      <x:c r="K288" s="22"/>
      <x:c r="L288" s="6" t="str">
        <x:f>IF(COUNTA(E288:K288)=0,"",IF(OR(H288="不适用",H288="阻塞",H288="资料确认（未实测）"),"非实测记录",IF(AND(E288&lt;&gt;"",ISNUMBER(G288),G288&gt;0,H288&lt;&gt;"",I288&lt;&gt;"",J288&lt;&gt;""),"记录齐全","待补记录")))</x:f>
      </x:c>
    </x:row>
    <x:row r="289" ht="48" customHeight="1">
      <x:c r="A289" s="36" t="str">
        <x:v>MOT-13/KEBA（可选）</x:v>
      </x:c>
      <x:c r="B289" s="36" t="str">
        <x:v>KEBA（可选）</x:v>
      </x:c>
      <x:c r="C289" s="36" t="str">
        <x:v>MOT-13</x:v>
      </x:c>
      <x:c r="D289" s="36" t="str">
        <x:v>KEBA-01</x:v>
      </x:c>
      <x:c r="E289" s="22"/>
      <x:c r="F289" s="22"/>
      <x:c r="G289" s="37"/>
      <x:c r="H289" s="22"/>
      <x:c r="I289" s="22"/>
      <x:c r="J289" s="22"/>
      <x:c r="K289" s="22"/>
      <x:c r="L289" s="6" t="str">
        <x:f>IF(COUNTA(E289:K289)=0,"",IF(OR(H289="不适用",H289="阻塞",H289="资料确认（未实测）"),"非实测记录",IF(AND(E289&lt;&gt;"",ISNUMBER(G289),G289&gt;0,H289&lt;&gt;"",I289&lt;&gt;"",J289&lt;&gt;""),"记录齐全","待补记录")))</x:f>
      </x:c>
    </x:row>
    <x:row r="290" ht="48" customHeight="1">
      <x:c r="A290" s="36" t="str">
        <x:v>MOT-14/CDHD</x:v>
      </x:c>
      <x:c r="B290" s="36" t="str">
        <x:v>CDHD</x:v>
      </x:c>
      <x:c r="C290" s="36" t="str">
        <x:v>MOT-14</x:v>
      </x:c>
      <x:c r="D290" s="36" t="str">
        <x:v>CDHD-01</x:v>
      </x:c>
      <x:c r="E290" s="22"/>
      <x:c r="F290" s="22"/>
      <x:c r="G290" s="37"/>
      <x:c r="H290" s="22"/>
      <x:c r="I290" s="22"/>
      <x:c r="J290" s="22"/>
      <x:c r="K290" s="22"/>
      <x:c r="L290" s="6" t="str">
        <x:f>IF(COUNTA(E290:K290)=0,"",IF(OR(H290="不适用",H290="阻塞",H290="资料确认（未实测）"),"非实测记录",IF(AND(E290&lt;&gt;"",ISNUMBER(G290),G290&gt;0,H290&lt;&gt;"",I290&lt;&gt;"",J290&lt;&gt;""),"记录齐全","待补记录")))</x:f>
      </x:c>
    </x:row>
    <x:row r="291" ht="48" customHeight="1">
      <x:c r="A291" s="36" t="str">
        <x:v>MOT-14/台达</x:v>
      </x:c>
      <x:c r="B291" s="36" t="str">
        <x:v>台达</x:v>
      </x:c>
      <x:c r="C291" s="36" t="str">
        <x:v>MOT-14</x:v>
      </x:c>
      <x:c r="D291" s="36" t="str">
        <x:v>台达-01</x:v>
      </x:c>
      <x:c r="E291" s="22"/>
      <x:c r="F291" s="22"/>
      <x:c r="G291" s="37"/>
      <x:c r="H291" s="22"/>
      <x:c r="I291" s="22"/>
      <x:c r="J291" s="22"/>
      <x:c r="K291" s="22"/>
      <x:c r="L291" s="6" t="str">
        <x:f>IF(COUNTA(E291:K291)=0,"",IF(OR(H291="不适用",H291="阻塞",H291="资料确认（未实测）"),"非实测记录",IF(AND(E291&lt;&gt;"",ISNUMBER(G291),G291&gt;0,H291&lt;&gt;"",I291&lt;&gt;"",J291&lt;&gt;""),"记录齐全","待补记录")))</x:f>
      </x:c>
    </x:row>
    <x:row r="292" ht="48" customHeight="1">
      <x:c r="A292" s="36" t="str">
        <x:v>MOT-14/繁易</x:v>
      </x:c>
      <x:c r="B292" s="36" t="str">
        <x:v>繁易</x:v>
      </x:c>
      <x:c r="C292" s="36" t="str">
        <x:v>MOT-14</x:v>
      </x:c>
      <x:c r="D292" s="36" t="str">
        <x:v>繁易-01</x:v>
      </x:c>
      <x:c r="E292" s="22"/>
      <x:c r="F292" s="22"/>
      <x:c r="G292" s="37"/>
      <x:c r="H292" s="22"/>
      <x:c r="I292" s="22"/>
      <x:c r="J292" s="22"/>
      <x:c r="K292" s="22"/>
      <x:c r="L292" s="6" t="str">
        <x:f>IF(COUNTA(E292:K292)=0,"",IF(OR(H292="不适用",H292="阻塞",H292="资料确认（未实测）"),"非实测记录",IF(AND(E292&lt;&gt;"",ISNUMBER(G292),G292&gt;0,H292&lt;&gt;"",I292&lt;&gt;"",J292&lt;&gt;""),"记录齐全","待补记录")))</x:f>
      </x:c>
    </x:row>
    <x:row r="293" ht="48" customHeight="1">
      <x:c r="A293" s="36" t="str">
        <x:v>MOT-14/Elmo</x:v>
      </x:c>
      <x:c r="B293" s="36" t="str">
        <x:v>Elmo</x:v>
      </x:c>
      <x:c r="C293" s="36" t="str">
        <x:v>MOT-14</x:v>
      </x:c>
      <x:c r="D293" s="36" t="str">
        <x:v>Elmo-01</x:v>
      </x:c>
      <x:c r="E293" s="22"/>
      <x:c r="F293" s="22"/>
      <x:c r="G293" s="37"/>
      <x:c r="H293" s="22"/>
      <x:c r="I293" s="22"/>
      <x:c r="J293" s="22"/>
      <x:c r="K293" s="22"/>
      <x:c r="L293" s="6" t="str">
        <x:f>IF(COUNTA(E293:K293)=0,"",IF(OR(H293="不适用",H293="阻塞",H293="资料确认（未实测）"),"非实测记录",IF(AND(E293&lt;&gt;"",ISNUMBER(G293),G293&gt;0,H293&lt;&gt;"",I293&lt;&gt;"",J293&lt;&gt;""),"记录齐全","待补记录")))</x:f>
      </x:c>
    </x:row>
    <x:row r="294" ht="48" customHeight="1">
      <x:c r="A294" s="36" t="str">
        <x:v>MOT-14/KEBA（可选）</x:v>
      </x:c>
      <x:c r="B294" s="36" t="str">
        <x:v>KEBA（可选）</x:v>
      </x:c>
      <x:c r="C294" s="36" t="str">
        <x:v>MOT-14</x:v>
      </x:c>
      <x:c r="D294" s="36" t="str">
        <x:v>KEBA-01</x:v>
      </x:c>
      <x:c r="E294" s="22"/>
      <x:c r="F294" s="22"/>
      <x:c r="G294" s="37"/>
      <x:c r="H294" s="22"/>
      <x:c r="I294" s="22"/>
      <x:c r="J294" s="22"/>
      <x:c r="K294" s="22"/>
      <x:c r="L294" s="6" t="str">
        <x:f>IF(COUNTA(E294:K294)=0,"",IF(OR(H294="不适用",H294="阻塞",H294="资料确认（未实测）"),"非实测记录",IF(AND(E294&lt;&gt;"",ISNUMBER(G294),G294&gt;0,H294&lt;&gt;"",I294&lt;&gt;"",J294&lt;&gt;""),"记录齐全","待补记录")))</x:f>
      </x:c>
    </x:row>
    <x:row r="295" ht="48" customHeight="1">
      <x:c r="A295" s="36" t="str">
        <x:v>HOM-01/CDHD</x:v>
      </x:c>
      <x:c r="B295" s="36" t="str">
        <x:v>CDHD</x:v>
      </x:c>
      <x:c r="C295" s="36" t="str">
        <x:v>HOM-01</x:v>
      </x:c>
      <x:c r="D295" s="36" t="str">
        <x:v>CDHD-01</x:v>
      </x:c>
      <x:c r="E295" s="22"/>
      <x:c r="F295" s="22"/>
      <x:c r="G295" s="37"/>
      <x:c r="H295" s="22"/>
      <x:c r="I295" s="22"/>
      <x:c r="J295" s="22"/>
      <x:c r="K295" s="22"/>
      <x:c r="L295" s="6" t="str">
        <x:f>IF(COUNTA(E295:K295)=0,"",IF(OR(H295="不适用",H295="阻塞",H295="资料确认（未实测）"),"非实测记录",IF(AND(E295&lt;&gt;"",ISNUMBER(G295),G295&gt;0,H295&lt;&gt;"",I295&lt;&gt;"",J295&lt;&gt;""),"记录齐全","待补记录")))</x:f>
      </x:c>
    </x:row>
    <x:row r="296" ht="48" customHeight="1">
      <x:c r="A296" s="36" t="str">
        <x:v>HOM-01/台达</x:v>
      </x:c>
      <x:c r="B296" s="36" t="str">
        <x:v>台达</x:v>
      </x:c>
      <x:c r="C296" s="36" t="str">
        <x:v>HOM-01</x:v>
      </x:c>
      <x:c r="D296" s="36" t="str">
        <x:v>台达-01</x:v>
      </x:c>
      <x:c r="E296" s="22"/>
      <x:c r="F296" s="22"/>
      <x:c r="G296" s="37"/>
      <x:c r="H296" s="22"/>
      <x:c r="I296" s="22"/>
      <x:c r="J296" s="22"/>
      <x:c r="K296" s="22"/>
      <x:c r="L296" s="6" t="str">
        <x:f>IF(COUNTA(E296:K296)=0,"",IF(OR(H296="不适用",H296="阻塞",H296="资料确认（未实测）"),"非实测记录",IF(AND(E296&lt;&gt;"",ISNUMBER(G296),G296&gt;0,H296&lt;&gt;"",I296&lt;&gt;"",J296&lt;&gt;""),"记录齐全","待补记录")))</x:f>
      </x:c>
    </x:row>
    <x:row r="297" ht="48" customHeight="1">
      <x:c r="A297" s="36" t="str">
        <x:v>HOM-01/繁易</x:v>
      </x:c>
      <x:c r="B297" s="36" t="str">
        <x:v>繁易</x:v>
      </x:c>
      <x:c r="C297" s="36" t="str">
        <x:v>HOM-01</x:v>
      </x:c>
      <x:c r="D297" s="36" t="str">
        <x:v>繁易-01</x:v>
      </x:c>
      <x:c r="E297" s="22"/>
      <x:c r="F297" s="22"/>
      <x:c r="G297" s="37"/>
      <x:c r="H297" s="22"/>
      <x:c r="I297" s="22"/>
      <x:c r="J297" s="22"/>
      <x:c r="K297" s="22"/>
      <x:c r="L297" s="6" t="str">
        <x:f>IF(COUNTA(E297:K297)=0,"",IF(OR(H297="不适用",H297="阻塞",H297="资料确认（未实测）"),"非实测记录",IF(AND(E297&lt;&gt;"",ISNUMBER(G297),G297&gt;0,H297&lt;&gt;"",I297&lt;&gt;"",J297&lt;&gt;""),"记录齐全","待补记录")))</x:f>
      </x:c>
    </x:row>
    <x:row r="298" ht="48" customHeight="1">
      <x:c r="A298" s="36" t="str">
        <x:v>HOM-01/Elmo</x:v>
      </x:c>
      <x:c r="B298" s="36" t="str">
        <x:v>Elmo</x:v>
      </x:c>
      <x:c r="C298" s="36" t="str">
        <x:v>HOM-01</x:v>
      </x:c>
      <x:c r="D298" s="36" t="str">
        <x:v>Elmo-01</x:v>
      </x:c>
      <x:c r="E298" s="22"/>
      <x:c r="F298" s="22"/>
      <x:c r="G298" s="37"/>
      <x:c r="H298" s="22"/>
      <x:c r="I298" s="22"/>
      <x:c r="J298" s="22"/>
      <x:c r="K298" s="22"/>
      <x:c r="L298" s="6" t="str">
        <x:f>IF(COUNTA(E298:K298)=0,"",IF(OR(H298="不适用",H298="阻塞",H298="资料确认（未实测）"),"非实测记录",IF(AND(E298&lt;&gt;"",ISNUMBER(G298),G298&gt;0,H298&lt;&gt;"",I298&lt;&gt;"",J298&lt;&gt;""),"记录齐全","待补记录")))</x:f>
      </x:c>
    </x:row>
    <x:row r="299" ht="48" customHeight="1">
      <x:c r="A299" s="36" t="str">
        <x:v>HOM-01/KEBA（可选）</x:v>
      </x:c>
      <x:c r="B299" s="36" t="str">
        <x:v>KEBA（可选）</x:v>
      </x:c>
      <x:c r="C299" s="36" t="str">
        <x:v>HOM-01</x:v>
      </x:c>
      <x:c r="D299" s="36" t="str">
        <x:v>KEBA-01</x:v>
      </x:c>
      <x:c r="E299" s="22"/>
      <x:c r="F299" s="22"/>
      <x:c r="G299" s="37"/>
      <x:c r="H299" s="22"/>
      <x:c r="I299" s="22"/>
      <x:c r="J299" s="22"/>
      <x:c r="K299" s="22"/>
      <x:c r="L299" s="6" t="str">
        <x:f>IF(COUNTA(E299:K299)=0,"",IF(OR(H299="不适用",H299="阻塞",H299="资料确认（未实测）"),"非实测记录",IF(AND(E299&lt;&gt;"",ISNUMBER(G299),G299&gt;0,H299&lt;&gt;"",I299&lt;&gt;"",J299&lt;&gt;""),"记录齐全","待补记录")))</x:f>
      </x:c>
    </x:row>
    <x:row r="300" ht="48" customHeight="1">
      <x:c r="A300" s="36" t="str">
        <x:v>HOM-02/CDHD</x:v>
      </x:c>
      <x:c r="B300" s="36" t="str">
        <x:v>CDHD</x:v>
      </x:c>
      <x:c r="C300" s="36" t="str">
        <x:v>HOM-02</x:v>
      </x:c>
      <x:c r="D300" s="36" t="str">
        <x:v>CDHD-01</x:v>
      </x:c>
      <x:c r="E300" s="22"/>
      <x:c r="F300" s="22"/>
      <x:c r="G300" s="37"/>
      <x:c r="H300" s="22"/>
      <x:c r="I300" s="22"/>
      <x:c r="J300" s="22"/>
      <x:c r="K300" s="22"/>
      <x:c r="L300" s="6" t="str">
        <x:f>IF(COUNTA(E300:K300)=0,"",IF(OR(H300="不适用",H300="阻塞",H300="资料确认（未实测）"),"非实测记录",IF(AND(E300&lt;&gt;"",ISNUMBER(G300),G300&gt;0,H300&lt;&gt;"",I300&lt;&gt;"",J300&lt;&gt;""),"记录齐全","待补记录")))</x:f>
      </x:c>
    </x:row>
    <x:row r="301" ht="48" customHeight="1">
      <x:c r="A301" s="36" t="str">
        <x:v>HOM-02/台达</x:v>
      </x:c>
      <x:c r="B301" s="36" t="str">
        <x:v>台达</x:v>
      </x:c>
      <x:c r="C301" s="36" t="str">
        <x:v>HOM-02</x:v>
      </x:c>
      <x:c r="D301" s="36" t="str">
        <x:v>台达-01</x:v>
      </x:c>
      <x:c r="E301" s="22"/>
      <x:c r="F301" s="22"/>
      <x:c r="G301" s="37"/>
      <x:c r="H301" s="22"/>
      <x:c r="I301" s="22"/>
      <x:c r="J301" s="22"/>
      <x:c r="K301" s="22"/>
      <x:c r="L301" s="6" t="str">
        <x:f>IF(COUNTA(E301:K301)=0,"",IF(OR(H301="不适用",H301="阻塞",H301="资料确认（未实测）"),"非实测记录",IF(AND(E301&lt;&gt;"",ISNUMBER(G301),G301&gt;0,H301&lt;&gt;"",I301&lt;&gt;"",J301&lt;&gt;""),"记录齐全","待补记录")))</x:f>
      </x:c>
    </x:row>
    <x:row r="302" ht="48" customHeight="1">
      <x:c r="A302" s="36" t="str">
        <x:v>HOM-02/繁易</x:v>
      </x:c>
      <x:c r="B302" s="36" t="str">
        <x:v>繁易</x:v>
      </x:c>
      <x:c r="C302" s="36" t="str">
        <x:v>HOM-02</x:v>
      </x:c>
      <x:c r="D302" s="36" t="str">
        <x:v>繁易-01</x:v>
      </x:c>
      <x:c r="E302" s="22"/>
      <x:c r="F302" s="22"/>
      <x:c r="G302" s="37"/>
      <x:c r="H302" s="22"/>
      <x:c r="I302" s="22"/>
      <x:c r="J302" s="22"/>
      <x:c r="K302" s="22"/>
      <x:c r="L302" s="6" t="str">
        <x:f>IF(COUNTA(E302:K302)=0,"",IF(OR(H302="不适用",H302="阻塞",H302="资料确认（未实测）"),"非实测记录",IF(AND(E302&lt;&gt;"",ISNUMBER(G302),G302&gt;0,H302&lt;&gt;"",I302&lt;&gt;"",J302&lt;&gt;""),"记录齐全","待补记录")))</x:f>
      </x:c>
    </x:row>
    <x:row r="303" ht="48" customHeight="1">
      <x:c r="A303" s="36" t="str">
        <x:v>HOM-02/Elmo</x:v>
      </x:c>
      <x:c r="B303" s="36" t="str">
        <x:v>Elmo</x:v>
      </x:c>
      <x:c r="C303" s="36" t="str">
        <x:v>HOM-02</x:v>
      </x:c>
      <x:c r="D303" s="36" t="str">
        <x:v>Elmo-01</x:v>
      </x:c>
      <x:c r="E303" s="22"/>
      <x:c r="F303" s="22"/>
      <x:c r="G303" s="37"/>
      <x:c r="H303" s="22"/>
      <x:c r="I303" s="22"/>
      <x:c r="J303" s="22"/>
      <x:c r="K303" s="22"/>
      <x:c r="L303" s="6" t="str">
        <x:f>IF(COUNTA(E303:K303)=0,"",IF(OR(H303="不适用",H303="阻塞",H303="资料确认（未实测）"),"非实测记录",IF(AND(E303&lt;&gt;"",ISNUMBER(G303),G303&gt;0,H303&lt;&gt;"",I303&lt;&gt;"",J303&lt;&gt;""),"记录齐全","待补记录")))</x:f>
      </x:c>
    </x:row>
    <x:row r="304" ht="48" customHeight="1">
      <x:c r="A304" s="36" t="str">
        <x:v>HOM-02/KEBA（可选）</x:v>
      </x:c>
      <x:c r="B304" s="36" t="str">
        <x:v>KEBA（可选）</x:v>
      </x:c>
      <x:c r="C304" s="36" t="str">
        <x:v>HOM-02</x:v>
      </x:c>
      <x:c r="D304" s="36" t="str">
        <x:v>KEBA-01</x:v>
      </x:c>
      <x:c r="E304" s="22"/>
      <x:c r="F304" s="22"/>
      <x:c r="G304" s="37"/>
      <x:c r="H304" s="22"/>
      <x:c r="I304" s="22"/>
      <x:c r="J304" s="22"/>
      <x:c r="K304" s="22"/>
      <x:c r="L304" s="6" t="str">
        <x:f>IF(COUNTA(E304:K304)=0,"",IF(OR(H304="不适用",H304="阻塞",H304="资料确认（未实测）"),"非实测记录",IF(AND(E304&lt;&gt;"",ISNUMBER(G304),G304&gt;0,H304&lt;&gt;"",I304&lt;&gt;"",J304&lt;&gt;""),"记录齐全","待补记录")))</x:f>
      </x:c>
    </x:row>
    <x:row r="305" ht="48" customHeight="1">
      <x:c r="A305" s="36" t="str">
        <x:v>HOM-03/CDHD</x:v>
      </x:c>
      <x:c r="B305" s="36" t="str">
        <x:v>CDHD</x:v>
      </x:c>
      <x:c r="C305" s="36" t="str">
        <x:v>HOM-03</x:v>
      </x:c>
      <x:c r="D305" s="36" t="str">
        <x:v>CDHD-01</x:v>
      </x:c>
      <x:c r="E305" s="22"/>
      <x:c r="F305" s="22"/>
      <x:c r="G305" s="37"/>
      <x:c r="H305" s="22"/>
      <x:c r="I305" s="22"/>
      <x:c r="J305" s="22"/>
      <x:c r="K305" s="22"/>
      <x:c r="L305" s="6" t="str">
        <x:f>IF(COUNTA(E305:K305)=0,"",IF(OR(H305="不适用",H305="阻塞",H305="资料确认（未实测）"),"非实测记录",IF(AND(E305&lt;&gt;"",ISNUMBER(G305),G305&gt;0,H305&lt;&gt;"",I305&lt;&gt;"",J305&lt;&gt;""),"记录齐全","待补记录")))</x:f>
      </x:c>
    </x:row>
    <x:row r="306" ht="48" customHeight="1">
      <x:c r="A306" s="36" t="str">
        <x:v>HOM-03/台达</x:v>
      </x:c>
      <x:c r="B306" s="36" t="str">
        <x:v>台达</x:v>
      </x:c>
      <x:c r="C306" s="36" t="str">
        <x:v>HOM-03</x:v>
      </x:c>
      <x:c r="D306" s="36" t="str">
        <x:v>台达-01</x:v>
      </x:c>
      <x:c r="E306" s="22"/>
      <x:c r="F306" s="22"/>
      <x:c r="G306" s="37"/>
      <x:c r="H306" s="22"/>
      <x:c r="I306" s="22"/>
      <x:c r="J306" s="22"/>
      <x:c r="K306" s="22"/>
      <x:c r="L306" s="6" t="str">
        <x:f>IF(COUNTA(E306:K306)=0,"",IF(OR(H306="不适用",H306="阻塞",H306="资料确认（未实测）"),"非实测记录",IF(AND(E306&lt;&gt;"",ISNUMBER(G306),G306&gt;0,H306&lt;&gt;"",I306&lt;&gt;"",J306&lt;&gt;""),"记录齐全","待补记录")))</x:f>
      </x:c>
    </x:row>
    <x:row r="307" ht="48" customHeight="1">
      <x:c r="A307" s="36" t="str">
        <x:v>HOM-03/繁易</x:v>
      </x:c>
      <x:c r="B307" s="36" t="str">
        <x:v>繁易</x:v>
      </x:c>
      <x:c r="C307" s="36" t="str">
        <x:v>HOM-03</x:v>
      </x:c>
      <x:c r="D307" s="36" t="str">
        <x:v>繁易-01</x:v>
      </x:c>
      <x:c r="E307" s="22"/>
      <x:c r="F307" s="22"/>
      <x:c r="G307" s="37"/>
      <x:c r="H307" s="22"/>
      <x:c r="I307" s="22"/>
      <x:c r="J307" s="22"/>
      <x:c r="K307" s="22"/>
      <x:c r="L307" s="6" t="str">
        <x:f>IF(COUNTA(E307:K307)=0,"",IF(OR(H307="不适用",H307="阻塞",H307="资料确认（未实测）"),"非实测记录",IF(AND(E307&lt;&gt;"",ISNUMBER(G307),G307&gt;0,H307&lt;&gt;"",I307&lt;&gt;"",J307&lt;&gt;""),"记录齐全","待补记录")))</x:f>
      </x:c>
    </x:row>
    <x:row r="308" ht="48" customHeight="1">
      <x:c r="A308" s="36" t="str">
        <x:v>HOM-03/Elmo</x:v>
      </x:c>
      <x:c r="B308" s="36" t="str">
        <x:v>Elmo</x:v>
      </x:c>
      <x:c r="C308" s="36" t="str">
        <x:v>HOM-03</x:v>
      </x:c>
      <x:c r="D308" s="36" t="str">
        <x:v>Elmo-01</x:v>
      </x:c>
      <x:c r="E308" s="22"/>
      <x:c r="F308" s="22"/>
      <x:c r="G308" s="37"/>
      <x:c r="H308" s="22"/>
      <x:c r="I308" s="22"/>
      <x:c r="J308" s="22"/>
      <x:c r="K308" s="22"/>
      <x:c r="L308" s="6" t="str">
        <x:f>IF(COUNTA(E308:K308)=0,"",IF(OR(H308="不适用",H308="阻塞",H308="资料确认（未实测）"),"非实测记录",IF(AND(E308&lt;&gt;"",ISNUMBER(G308),G308&gt;0,H308&lt;&gt;"",I308&lt;&gt;"",J308&lt;&gt;""),"记录齐全","待补记录")))</x:f>
      </x:c>
    </x:row>
    <x:row r="309" ht="48" customHeight="1">
      <x:c r="A309" s="36" t="str">
        <x:v>HOM-03/KEBA（可选）</x:v>
      </x:c>
      <x:c r="B309" s="36" t="str">
        <x:v>KEBA（可选）</x:v>
      </x:c>
      <x:c r="C309" s="36" t="str">
        <x:v>HOM-03</x:v>
      </x:c>
      <x:c r="D309" s="36" t="str">
        <x:v>KEBA-01</x:v>
      </x:c>
      <x:c r="E309" s="22"/>
      <x:c r="F309" s="22"/>
      <x:c r="G309" s="37"/>
      <x:c r="H309" s="22"/>
      <x:c r="I309" s="22"/>
      <x:c r="J309" s="22"/>
      <x:c r="K309" s="22"/>
      <x:c r="L309" s="6" t="str">
        <x:f>IF(COUNTA(E309:K309)=0,"",IF(OR(H309="不适用",H309="阻塞",H309="资料确认（未实测）"),"非实测记录",IF(AND(E309&lt;&gt;"",ISNUMBER(G309),G309&gt;0,H309&lt;&gt;"",I309&lt;&gt;"",J309&lt;&gt;""),"记录齐全","待补记录")))</x:f>
      </x:c>
    </x:row>
    <x:row r="310" ht="48" customHeight="1">
      <x:c r="A310" s="36" t="str">
        <x:v>HOM-04/CDHD</x:v>
      </x:c>
      <x:c r="B310" s="36" t="str">
        <x:v>CDHD</x:v>
      </x:c>
      <x:c r="C310" s="36" t="str">
        <x:v>HOM-04</x:v>
      </x:c>
      <x:c r="D310" s="36" t="str">
        <x:v>CDHD-01</x:v>
      </x:c>
      <x:c r="E310" s="22"/>
      <x:c r="F310" s="22"/>
      <x:c r="G310" s="37"/>
      <x:c r="H310" s="22"/>
      <x:c r="I310" s="22"/>
      <x:c r="J310" s="22"/>
      <x:c r="K310" s="22"/>
      <x:c r="L310" s="6" t="str">
        <x:f>IF(COUNTA(E310:K310)=0,"",IF(OR(H310="不适用",H310="阻塞",H310="资料确认（未实测）"),"非实测记录",IF(AND(E310&lt;&gt;"",ISNUMBER(G310),G310&gt;0,H310&lt;&gt;"",I310&lt;&gt;"",J310&lt;&gt;""),"记录齐全","待补记录")))</x:f>
      </x:c>
    </x:row>
    <x:row r="311" ht="48" customHeight="1">
      <x:c r="A311" s="36" t="str">
        <x:v>HOM-04/台达</x:v>
      </x:c>
      <x:c r="B311" s="36" t="str">
        <x:v>台达</x:v>
      </x:c>
      <x:c r="C311" s="36" t="str">
        <x:v>HOM-04</x:v>
      </x:c>
      <x:c r="D311" s="36" t="str">
        <x:v>台达-01</x:v>
      </x:c>
      <x:c r="E311" s="22"/>
      <x:c r="F311" s="22"/>
      <x:c r="G311" s="37"/>
      <x:c r="H311" s="22"/>
      <x:c r="I311" s="22"/>
      <x:c r="J311" s="22"/>
      <x:c r="K311" s="22"/>
      <x:c r="L311" s="6" t="str">
        <x:f>IF(COUNTA(E311:K311)=0,"",IF(OR(H311="不适用",H311="阻塞",H311="资料确认（未实测）"),"非实测记录",IF(AND(E311&lt;&gt;"",ISNUMBER(G311),G311&gt;0,H311&lt;&gt;"",I311&lt;&gt;"",J311&lt;&gt;""),"记录齐全","待补记录")))</x:f>
      </x:c>
    </x:row>
    <x:row r="312" ht="48" customHeight="1">
      <x:c r="A312" s="36" t="str">
        <x:v>HOM-04/繁易</x:v>
      </x:c>
      <x:c r="B312" s="36" t="str">
        <x:v>繁易</x:v>
      </x:c>
      <x:c r="C312" s="36" t="str">
        <x:v>HOM-04</x:v>
      </x:c>
      <x:c r="D312" s="36" t="str">
        <x:v>繁易-01</x:v>
      </x:c>
      <x:c r="E312" s="22"/>
      <x:c r="F312" s="22"/>
      <x:c r="G312" s="37"/>
      <x:c r="H312" s="22"/>
      <x:c r="I312" s="22"/>
      <x:c r="J312" s="22"/>
      <x:c r="K312" s="22"/>
      <x:c r="L312" s="6" t="str">
        <x:f>IF(COUNTA(E312:K312)=0,"",IF(OR(H312="不适用",H312="阻塞",H312="资料确认（未实测）"),"非实测记录",IF(AND(E312&lt;&gt;"",ISNUMBER(G312),G312&gt;0,H312&lt;&gt;"",I312&lt;&gt;"",J312&lt;&gt;""),"记录齐全","待补记录")))</x:f>
      </x:c>
    </x:row>
    <x:row r="313" ht="48" customHeight="1">
      <x:c r="A313" s="36" t="str">
        <x:v>HOM-04/Elmo</x:v>
      </x:c>
      <x:c r="B313" s="36" t="str">
        <x:v>Elmo</x:v>
      </x:c>
      <x:c r="C313" s="36" t="str">
        <x:v>HOM-04</x:v>
      </x:c>
      <x:c r="D313" s="36" t="str">
        <x:v>Elmo-01</x:v>
      </x:c>
      <x:c r="E313" s="22"/>
      <x:c r="F313" s="22"/>
      <x:c r="G313" s="37"/>
      <x:c r="H313" s="22"/>
      <x:c r="I313" s="22"/>
      <x:c r="J313" s="22"/>
      <x:c r="K313" s="22"/>
      <x:c r="L313" s="6" t="str">
        <x:f>IF(COUNTA(E313:K313)=0,"",IF(OR(H313="不适用",H313="阻塞",H313="资料确认（未实测）"),"非实测记录",IF(AND(E313&lt;&gt;"",ISNUMBER(G313),G313&gt;0,H313&lt;&gt;"",I313&lt;&gt;"",J313&lt;&gt;""),"记录齐全","待补记录")))</x:f>
      </x:c>
    </x:row>
    <x:row r="314" ht="48" customHeight="1">
      <x:c r="A314" s="36" t="str">
        <x:v>HOM-04/KEBA（可选）</x:v>
      </x:c>
      <x:c r="B314" s="36" t="str">
        <x:v>KEBA（可选）</x:v>
      </x:c>
      <x:c r="C314" s="36" t="str">
        <x:v>HOM-04</x:v>
      </x:c>
      <x:c r="D314" s="36" t="str">
        <x:v>KEBA-01</x:v>
      </x:c>
      <x:c r="E314" s="22"/>
      <x:c r="F314" s="22"/>
      <x:c r="G314" s="37"/>
      <x:c r="H314" s="22"/>
      <x:c r="I314" s="22"/>
      <x:c r="J314" s="22"/>
      <x:c r="K314" s="22"/>
      <x:c r="L314" s="6" t="str">
        <x:f>IF(COUNTA(E314:K314)=0,"",IF(OR(H314="不适用",H314="阻塞",H314="资料确认（未实测）"),"非实测记录",IF(AND(E314&lt;&gt;"",ISNUMBER(G314),G314&gt;0,H314&lt;&gt;"",I314&lt;&gt;"",J314&lt;&gt;""),"记录齐全","待补记录")))</x:f>
      </x:c>
    </x:row>
    <x:row r="315" ht="48" customHeight="1">
      <x:c r="A315" s="36" t="str">
        <x:v>HOM-05/CDHD</x:v>
      </x:c>
      <x:c r="B315" s="36" t="str">
        <x:v>CDHD</x:v>
      </x:c>
      <x:c r="C315" s="36" t="str">
        <x:v>HOM-05</x:v>
      </x:c>
      <x:c r="D315" s="36" t="str">
        <x:v>CDHD-01</x:v>
      </x:c>
      <x:c r="E315" s="22"/>
      <x:c r="F315" s="22"/>
      <x:c r="G315" s="37"/>
      <x:c r="H315" s="22"/>
      <x:c r="I315" s="22"/>
      <x:c r="J315" s="22"/>
      <x:c r="K315" s="22"/>
      <x:c r="L315" s="6" t="str">
        <x:f>IF(COUNTA(E315:K315)=0,"",IF(OR(H315="不适用",H315="阻塞",H315="资料确认（未实测）"),"非实测记录",IF(AND(E315&lt;&gt;"",ISNUMBER(G315),G315&gt;0,H315&lt;&gt;"",I315&lt;&gt;"",J315&lt;&gt;""),"记录齐全","待补记录")))</x:f>
      </x:c>
    </x:row>
    <x:row r="316" ht="48" customHeight="1">
      <x:c r="A316" s="36" t="str">
        <x:v>HOM-05/台达</x:v>
      </x:c>
      <x:c r="B316" s="36" t="str">
        <x:v>台达</x:v>
      </x:c>
      <x:c r="C316" s="36" t="str">
        <x:v>HOM-05</x:v>
      </x:c>
      <x:c r="D316" s="36" t="str">
        <x:v>台达-01</x:v>
      </x:c>
      <x:c r="E316" s="22"/>
      <x:c r="F316" s="22"/>
      <x:c r="G316" s="37"/>
      <x:c r="H316" s="22"/>
      <x:c r="I316" s="22"/>
      <x:c r="J316" s="22"/>
      <x:c r="K316" s="22"/>
      <x:c r="L316" s="6" t="str">
        <x:f>IF(COUNTA(E316:K316)=0,"",IF(OR(H316="不适用",H316="阻塞",H316="资料确认（未实测）"),"非实测记录",IF(AND(E316&lt;&gt;"",ISNUMBER(G316),G316&gt;0,H316&lt;&gt;"",I316&lt;&gt;"",J316&lt;&gt;""),"记录齐全","待补记录")))</x:f>
      </x:c>
    </x:row>
    <x:row r="317" ht="48" customHeight="1">
      <x:c r="A317" s="36" t="str">
        <x:v>HOM-05/繁易</x:v>
      </x:c>
      <x:c r="B317" s="36" t="str">
        <x:v>繁易</x:v>
      </x:c>
      <x:c r="C317" s="36" t="str">
        <x:v>HOM-05</x:v>
      </x:c>
      <x:c r="D317" s="36" t="str">
        <x:v>繁易-01</x:v>
      </x:c>
      <x:c r="E317" s="22"/>
      <x:c r="F317" s="22"/>
      <x:c r="G317" s="37"/>
      <x:c r="H317" s="22"/>
      <x:c r="I317" s="22"/>
      <x:c r="J317" s="22"/>
      <x:c r="K317" s="22"/>
      <x:c r="L317" s="6" t="str">
        <x:f>IF(COUNTA(E317:K317)=0,"",IF(OR(H317="不适用",H317="阻塞",H317="资料确认（未实测）"),"非实测记录",IF(AND(E317&lt;&gt;"",ISNUMBER(G317),G317&gt;0,H317&lt;&gt;"",I317&lt;&gt;"",J317&lt;&gt;""),"记录齐全","待补记录")))</x:f>
      </x:c>
    </x:row>
    <x:row r="318" ht="48" customHeight="1">
      <x:c r="A318" s="36" t="str">
        <x:v>HOM-05/Elmo</x:v>
      </x:c>
      <x:c r="B318" s="36" t="str">
        <x:v>Elmo</x:v>
      </x:c>
      <x:c r="C318" s="36" t="str">
        <x:v>HOM-05</x:v>
      </x:c>
      <x:c r="D318" s="36" t="str">
        <x:v>Elmo-01</x:v>
      </x:c>
      <x:c r="E318" s="22"/>
      <x:c r="F318" s="22"/>
      <x:c r="G318" s="37"/>
      <x:c r="H318" s="22"/>
      <x:c r="I318" s="22"/>
      <x:c r="J318" s="22"/>
      <x:c r="K318" s="22"/>
      <x:c r="L318" s="6" t="str">
        <x:f>IF(COUNTA(E318:K318)=0,"",IF(OR(H318="不适用",H318="阻塞",H318="资料确认（未实测）"),"非实测记录",IF(AND(E318&lt;&gt;"",ISNUMBER(G318),G318&gt;0,H318&lt;&gt;"",I318&lt;&gt;"",J318&lt;&gt;""),"记录齐全","待补记录")))</x:f>
      </x:c>
    </x:row>
    <x:row r="319" ht="48" customHeight="1">
      <x:c r="A319" s="36" t="str">
        <x:v>HOM-05/KEBA（可选）</x:v>
      </x:c>
      <x:c r="B319" s="36" t="str">
        <x:v>KEBA（可选）</x:v>
      </x:c>
      <x:c r="C319" s="36" t="str">
        <x:v>HOM-05</x:v>
      </x:c>
      <x:c r="D319" s="36" t="str">
        <x:v>KEBA-01</x:v>
      </x:c>
      <x:c r="E319" s="22"/>
      <x:c r="F319" s="22"/>
      <x:c r="G319" s="37"/>
      <x:c r="H319" s="22"/>
      <x:c r="I319" s="22"/>
      <x:c r="J319" s="22"/>
      <x:c r="K319" s="22"/>
      <x:c r="L319" s="6" t="str">
        <x:f>IF(COUNTA(E319:K319)=0,"",IF(OR(H319="不适用",H319="阻塞",H319="资料确认（未实测）"),"非实测记录",IF(AND(E319&lt;&gt;"",ISNUMBER(G319),G319&gt;0,H319&lt;&gt;"",I319&lt;&gt;"",J319&lt;&gt;""),"记录齐全","待补记录")))</x:f>
      </x:c>
    </x:row>
    <x:row r="320" ht="48" customHeight="1">
      <x:c r="A320" s="36" t="str">
        <x:v>HOM-06/CDHD</x:v>
      </x:c>
      <x:c r="B320" s="36" t="str">
        <x:v>CDHD</x:v>
      </x:c>
      <x:c r="C320" s="36" t="str">
        <x:v>HOM-06</x:v>
      </x:c>
      <x:c r="D320" s="36" t="str">
        <x:v>CDHD-01</x:v>
      </x:c>
      <x:c r="E320" s="22"/>
      <x:c r="F320" s="22"/>
      <x:c r="G320" s="37"/>
      <x:c r="H320" s="22"/>
      <x:c r="I320" s="22"/>
      <x:c r="J320" s="22"/>
      <x:c r="K320" s="22"/>
      <x:c r="L320" s="6" t="str">
        <x:f>IF(COUNTA(E320:K320)=0,"",IF(OR(H320="不适用",H320="阻塞",H320="资料确认（未实测）"),"非实测记录",IF(AND(E320&lt;&gt;"",ISNUMBER(G320),G320&gt;0,H320&lt;&gt;"",I320&lt;&gt;"",J320&lt;&gt;""),"记录齐全","待补记录")))</x:f>
      </x:c>
    </x:row>
    <x:row r="321" ht="48" customHeight="1">
      <x:c r="A321" s="36" t="str">
        <x:v>HOM-06/台达</x:v>
      </x:c>
      <x:c r="B321" s="36" t="str">
        <x:v>台达</x:v>
      </x:c>
      <x:c r="C321" s="36" t="str">
        <x:v>HOM-06</x:v>
      </x:c>
      <x:c r="D321" s="36" t="str">
        <x:v>台达-01</x:v>
      </x:c>
      <x:c r="E321" s="22"/>
      <x:c r="F321" s="22"/>
      <x:c r="G321" s="37"/>
      <x:c r="H321" s="22"/>
      <x:c r="I321" s="22"/>
      <x:c r="J321" s="22"/>
      <x:c r="K321" s="22"/>
      <x:c r="L321" s="6" t="str">
        <x:f>IF(COUNTA(E321:K321)=0,"",IF(OR(H321="不适用",H321="阻塞",H321="资料确认（未实测）"),"非实测记录",IF(AND(E321&lt;&gt;"",ISNUMBER(G321),G321&gt;0,H321&lt;&gt;"",I321&lt;&gt;"",J321&lt;&gt;""),"记录齐全","待补记录")))</x:f>
      </x:c>
    </x:row>
    <x:row r="322" ht="48" customHeight="1">
      <x:c r="A322" s="36" t="str">
        <x:v>HOM-06/繁易</x:v>
      </x:c>
      <x:c r="B322" s="36" t="str">
        <x:v>繁易</x:v>
      </x:c>
      <x:c r="C322" s="36" t="str">
        <x:v>HOM-06</x:v>
      </x:c>
      <x:c r="D322" s="36" t="str">
        <x:v>繁易-01</x:v>
      </x:c>
      <x:c r="E322" s="22"/>
      <x:c r="F322" s="22"/>
      <x:c r="G322" s="37"/>
      <x:c r="H322" s="22"/>
      <x:c r="I322" s="22"/>
      <x:c r="J322" s="22"/>
      <x:c r="K322" s="22"/>
      <x:c r="L322" s="6" t="str">
        <x:f>IF(COUNTA(E322:K322)=0,"",IF(OR(H322="不适用",H322="阻塞",H322="资料确认（未实测）"),"非实测记录",IF(AND(E322&lt;&gt;"",ISNUMBER(G322),G322&gt;0,H322&lt;&gt;"",I322&lt;&gt;"",J322&lt;&gt;""),"记录齐全","待补记录")))</x:f>
      </x:c>
    </x:row>
    <x:row r="323" ht="48" customHeight="1">
      <x:c r="A323" s="36" t="str">
        <x:v>HOM-06/Elmo</x:v>
      </x:c>
      <x:c r="B323" s="36" t="str">
        <x:v>Elmo</x:v>
      </x:c>
      <x:c r="C323" s="36" t="str">
        <x:v>HOM-06</x:v>
      </x:c>
      <x:c r="D323" s="36" t="str">
        <x:v>Elmo-01</x:v>
      </x:c>
      <x:c r="E323" s="22"/>
      <x:c r="F323" s="22"/>
      <x:c r="G323" s="37"/>
      <x:c r="H323" s="22"/>
      <x:c r="I323" s="22"/>
      <x:c r="J323" s="22"/>
      <x:c r="K323" s="22"/>
      <x:c r="L323" s="6" t="str">
        <x:f>IF(COUNTA(E323:K323)=0,"",IF(OR(H323="不适用",H323="阻塞",H323="资料确认（未实测）"),"非实测记录",IF(AND(E323&lt;&gt;"",ISNUMBER(G323),G323&gt;0,H323&lt;&gt;"",I323&lt;&gt;"",J323&lt;&gt;""),"记录齐全","待补记录")))</x:f>
      </x:c>
    </x:row>
    <x:row r="324" ht="48" customHeight="1">
      <x:c r="A324" s="36" t="str">
        <x:v>HOM-06/KEBA（可选）</x:v>
      </x:c>
      <x:c r="B324" s="36" t="str">
        <x:v>KEBA（可选）</x:v>
      </x:c>
      <x:c r="C324" s="36" t="str">
        <x:v>HOM-06</x:v>
      </x:c>
      <x:c r="D324" s="36" t="str">
        <x:v>KEBA-01</x:v>
      </x:c>
      <x:c r="E324" s="22"/>
      <x:c r="F324" s="22"/>
      <x:c r="G324" s="37"/>
      <x:c r="H324" s="22"/>
      <x:c r="I324" s="22"/>
      <x:c r="J324" s="22"/>
      <x:c r="K324" s="22"/>
      <x:c r="L324" s="6" t="str">
        <x:f>IF(COUNTA(E324:K324)=0,"",IF(OR(H324="不适用",H324="阻塞",H324="资料确认（未实测）"),"非实测记录",IF(AND(E324&lt;&gt;"",ISNUMBER(G324),G324&gt;0,H324&lt;&gt;"",I324&lt;&gt;"",J324&lt;&gt;""),"记录齐全","待补记录")))</x:f>
      </x:c>
    </x:row>
    <x:row r="325" ht="48" customHeight="1">
      <x:c r="A325" s="36" t="str">
        <x:v>HOM-07/CDHD</x:v>
      </x:c>
      <x:c r="B325" s="36" t="str">
        <x:v>CDHD</x:v>
      </x:c>
      <x:c r="C325" s="36" t="str">
        <x:v>HOM-07</x:v>
      </x:c>
      <x:c r="D325" s="36" t="str">
        <x:v>CDHD-01</x:v>
      </x:c>
      <x:c r="E325" s="22"/>
      <x:c r="F325" s="22"/>
      <x:c r="G325" s="37"/>
      <x:c r="H325" s="22"/>
      <x:c r="I325" s="22"/>
      <x:c r="J325" s="22"/>
      <x:c r="K325" s="22"/>
      <x:c r="L325" s="6" t="str">
        <x:f>IF(COUNTA(E325:K325)=0,"",IF(OR(H325="不适用",H325="阻塞",H325="资料确认（未实测）"),"非实测记录",IF(AND(E325&lt;&gt;"",ISNUMBER(G325),G325&gt;0,H325&lt;&gt;"",I325&lt;&gt;"",J325&lt;&gt;""),"记录齐全","待补记录")))</x:f>
      </x:c>
    </x:row>
    <x:row r="326" ht="48" customHeight="1">
      <x:c r="A326" s="36" t="str">
        <x:v>HOM-07/台达</x:v>
      </x:c>
      <x:c r="B326" s="36" t="str">
        <x:v>台达</x:v>
      </x:c>
      <x:c r="C326" s="36" t="str">
        <x:v>HOM-07</x:v>
      </x:c>
      <x:c r="D326" s="36" t="str">
        <x:v>台达-01</x:v>
      </x:c>
      <x:c r="E326" s="22"/>
      <x:c r="F326" s="22"/>
      <x:c r="G326" s="37"/>
      <x:c r="H326" s="22"/>
      <x:c r="I326" s="22"/>
      <x:c r="J326" s="22"/>
      <x:c r="K326" s="22"/>
      <x:c r="L326" s="6" t="str">
        <x:f>IF(COUNTA(E326:K326)=0,"",IF(OR(H326="不适用",H326="阻塞",H326="资料确认（未实测）"),"非实测记录",IF(AND(E326&lt;&gt;"",ISNUMBER(G326),G326&gt;0,H326&lt;&gt;"",I326&lt;&gt;"",J326&lt;&gt;""),"记录齐全","待补记录")))</x:f>
      </x:c>
    </x:row>
    <x:row r="327" ht="48" customHeight="1">
      <x:c r="A327" s="36" t="str">
        <x:v>HOM-07/繁易</x:v>
      </x:c>
      <x:c r="B327" s="36" t="str">
        <x:v>繁易</x:v>
      </x:c>
      <x:c r="C327" s="36" t="str">
        <x:v>HOM-07</x:v>
      </x:c>
      <x:c r="D327" s="36" t="str">
        <x:v>繁易-01</x:v>
      </x:c>
      <x:c r="E327" s="22"/>
      <x:c r="F327" s="22"/>
      <x:c r="G327" s="37"/>
      <x:c r="H327" s="22"/>
      <x:c r="I327" s="22"/>
      <x:c r="J327" s="22"/>
      <x:c r="K327" s="22"/>
      <x:c r="L327" s="6" t="str">
        <x:f>IF(COUNTA(E327:K327)=0,"",IF(OR(H327="不适用",H327="阻塞",H327="资料确认（未实测）"),"非实测记录",IF(AND(E327&lt;&gt;"",ISNUMBER(G327),G327&gt;0,H327&lt;&gt;"",I327&lt;&gt;"",J327&lt;&gt;""),"记录齐全","待补记录")))</x:f>
      </x:c>
    </x:row>
    <x:row r="328" ht="48" customHeight="1">
      <x:c r="A328" s="36" t="str">
        <x:v>HOM-07/Elmo</x:v>
      </x:c>
      <x:c r="B328" s="36" t="str">
        <x:v>Elmo</x:v>
      </x:c>
      <x:c r="C328" s="36" t="str">
        <x:v>HOM-07</x:v>
      </x:c>
      <x:c r="D328" s="36" t="str">
        <x:v>Elmo-01</x:v>
      </x:c>
      <x:c r="E328" s="22"/>
      <x:c r="F328" s="22"/>
      <x:c r="G328" s="37"/>
      <x:c r="H328" s="22"/>
      <x:c r="I328" s="22"/>
      <x:c r="J328" s="22"/>
      <x:c r="K328" s="22"/>
      <x:c r="L328" s="6" t="str">
        <x:f>IF(COUNTA(E328:K328)=0,"",IF(OR(H328="不适用",H328="阻塞",H328="资料确认（未实测）"),"非实测记录",IF(AND(E328&lt;&gt;"",ISNUMBER(G328),G328&gt;0,H328&lt;&gt;"",I328&lt;&gt;"",J328&lt;&gt;""),"记录齐全","待补记录")))</x:f>
      </x:c>
    </x:row>
    <x:row r="329" ht="48" customHeight="1">
      <x:c r="A329" s="36" t="str">
        <x:v>HOM-07/KEBA（可选）</x:v>
      </x:c>
      <x:c r="B329" s="36" t="str">
        <x:v>KEBA（可选）</x:v>
      </x:c>
      <x:c r="C329" s="36" t="str">
        <x:v>HOM-07</x:v>
      </x:c>
      <x:c r="D329" s="36" t="str">
        <x:v>KEBA-01</x:v>
      </x:c>
      <x:c r="E329" s="22"/>
      <x:c r="F329" s="22"/>
      <x:c r="G329" s="37"/>
      <x:c r="H329" s="22"/>
      <x:c r="I329" s="22"/>
      <x:c r="J329" s="22"/>
      <x:c r="K329" s="22"/>
      <x:c r="L329" s="6" t="str">
        <x:f>IF(COUNTA(E329:K329)=0,"",IF(OR(H329="不适用",H329="阻塞",H329="资料确认（未实测）"),"非实测记录",IF(AND(E329&lt;&gt;"",ISNUMBER(G329),G329&gt;0,H329&lt;&gt;"",I329&lt;&gt;"",J329&lt;&gt;""),"记录齐全","待补记录")))</x:f>
      </x:c>
    </x:row>
    <x:row r="330" ht="48" customHeight="1">
      <x:c r="A330" s="36" t="str">
        <x:v>HOM-08/CDHD</x:v>
      </x:c>
      <x:c r="B330" s="36" t="str">
        <x:v>CDHD</x:v>
      </x:c>
      <x:c r="C330" s="36" t="str">
        <x:v>HOM-08</x:v>
      </x:c>
      <x:c r="D330" s="36" t="str">
        <x:v>CDHD-01</x:v>
      </x:c>
      <x:c r="E330" s="22"/>
      <x:c r="F330" s="22"/>
      <x:c r="G330" s="37"/>
      <x:c r="H330" s="22"/>
      <x:c r="I330" s="22"/>
      <x:c r="J330" s="22"/>
      <x:c r="K330" s="22"/>
      <x:c r="L330" s="6" t="str">
        <x:f>IF(COUNTA(E330:K330)=0,"",IF(OR(H330="不适用",H330="阻塞",H330="资料确认（未实测）"),"非实测记录",IF(AND(E330&lt;&gt;"",ISNUMBER(G330),G330&gt;0,H330&lt;&gt;"",I330&lt;&gt;"",J330&lt;&gt;""),"记录齐全","待补记录")))</x:f>
      </x:c>
    </x:row>
    <x:row r="331" ht="48" customHeight="1">
      <x:c r="A331" s="36" t="str">
        <x:v>HOM-08/台达</x:v>
      </x:c>
      <x:c r="B331" s="36" t="str">
        <x:v>台达</x:v>
      </x:c>
      <x:c r="C331" s="36" t="str">
        <x:v>HOM-08</x:v>
      </x:c>
      <x:c r="D331" s="36" t="str">
        <x:v>台达-01</x:v>
      </x:c>
      <x:c r="E331" s="22"/>
      <x:c r="F331" s="22"/>
      <x:c r="G331" s="37"/>
      <x:c r="H331" s="22"/>
      <x:c r="I331" s="22"/>
      <x:c r="J331" s="22"/>
      <x:c r="K331" s="22"/>
      <x:c r="L331" s="6" t="str">
        <x:f>IF(COUNTA(E331:K331)=0,"",IF(OR(H331="不适用",H331="阻塞",H331="资料确认（未实测）"),"非实测记录",IF(AND(E331&lt;&gt;"",ISNUMBER(G331),G331&gt;0,H331&lt;&gt;"",I331&lt;&gt;"",J331&lt;&gt;""),"记录齐全","待补记录")))</x:f>
      </x:c>
    </x:row>
    <x:row r="332" ht="48" customHeight="1">
      <x:c r="A332" s="36" t="str">
        <x:v>HOM-08/繁易</x:v>
      </x:c>
      <x:c r="B332" s="36" t="str">
        <x:v>繁易</x:v>
      </x:c>
      <x:c r="C332" s="36" t="str">
        <x:v>HOM-08</x:v>
      </x:c>
      <x:c r="D332" s="36" t="str">
        <x:v>繁易-01</x:v>
      </x:c>
      <x:c r="E332" s="22"/>
      <x:c r="F332" s="22"/>
      <x:c r="G332" s="37"/>
      <x:c r="H332" s="22"/>
      <x:c r="I332" s="22"/>
      <x:c r="J332" s="22"/>
      <x:c r="K332" s="22"/>
      <x:c r="L332" s="6" t="str">
        <x:f>IF(COUNTA(E332:K332)=0,"",IF(OR(H332="不适用",H332="阻塞",H332="资料确认（未实测）"),"非实测记录",IF(AND(E332&lt;&gt;"",ISNUMBER(G332),G332&gt;0,H332&lt;&gt;"",I332&lt;&gt;"",J332&lt;&gt;""),"记录齐全","待补记录")))</x:f>
      </x:c>
    </x:row>
    <x:row r="333" ht="48" customHeight="1">
      <x:c r="A333" s="36" t="str">
        <x:v>HOM-08/Elmo</x:v>
      </x:c>
      <x:c r="B333" s="36" t="str">
        <x:v>Elmo</x:v>
      </x:c>
      <x:c r="C333" s="36" t="str">
        <x:v>HOM-08</x:v>
      </x:c>
      <x:c r="D333" s="36" t="str">
        <x:v>Elmo-01</x:v>
      </x:c>
      <x:c r="E333" s="22"/>
      <x:c r="F333" s="22"/>
      <x:c r="G333" s="37"/>
      <x:c r="H333" s="22"/>
      <x:c r="I333" s="22"/>
      <x:c r="J333" s="22"/>
      <x:c r="K333" s="22"/>
      <x:c r="L333" s="6" t="str">
        <x:f>IF(COUNTA(E333:K333)=0,"",IF(OR(H333="不适用",H333="阻塞",H333="资料确认（未实测）"),"非实测记录",IF(AND(E333&lt;&gt;"",ISNUMBER(G333),G333&gt;0,H333&lt;&gt;"",I333&lt;&gt;"",J333&lt;&gt;""),"记录齐全","待补记录")))</x:f>
      </x:c>
    </x:row>
    <x:row r="334" ht="48" customHeight="1">
      <x:c r="A334" s="36" t="str">
        <x:v>HOM-08/KEBA（可选）</x:v>
      </x:c>
      <x:c r="B334" s="36" t="str">
        <x:v>KEBA（可选）</x:v>
      </x:c>
      <x:c r="C334" s="36" t="str">
        <x:v>HOM-08</x:v>
      </x:c>
      <x:c r="D334" s="36" t="str">
        <x:v>KEBA-01</x:v>
      </x:c>
      <x:c r="E334" s="22"/>
      <x:c r="F334" s="22"/>
      <x:c r="G334" s="37"/>
      <x:c r="H334" s="22"/>
      <x:c r="I334" s="22"/>
      <x:c r="J334" s="22"/>
      <x:c r="K334" s="22"/>
      <x:c r="L334" s="6" t="str">
        <x:f>IF(COUNTA(E334:K334)=0,"",IF(OR(H334="不适用",H334="阻塞",H334="资料确认（未实测）"),"非实测记录",IF(AND(E334&lt;&gt;"",ISNUMBER(G334),G334&gt;0,H334&lt;&gt;"",I334&lt;&gt;"",J334&lt;&gt;""),"记录齐全","待补记录")))</x:f>
      </x:c>
    </x:row>
    <x:row r="335" ht="48" customHeight="1">
      <x:c r="A335" s="36" t="str">
        <x:v>REC-01/CDHD</x:v>
      </x:c>
      <x:c r="B335" s="36" t="str">
        <x:v>CDHD</x:v>
      </x:c>
      <x:c r="C335" s="36" t="str">
        <x:v>REC-01</x:v>
      </x:c>
      <x:c r="D335" s="36" t="str">
        <x:v>CDHD-01</x:v>
      </x:c>
      <x:c r="E335" s="22"/>
      <x:c r="F335" s="22"/>
      <x:c r="G335" s="37"/>
      <x:c r="H335" s="22"/>
      <x:c r="I335" s="22"/>
      <x:c r="J335" s="22"/>
      <x:c r="K335" s="22"/>
      <x:c r="L335" s="6" t="str">
        <x:f>IF(COUNTA(E335:K335)=0,"",IF(OR(H335="不适用",H335="阻塞",H335="资料确认（未实测）"),"非实测记录",IF(AND(E335&lt;&gt;"",ISNUMBER(G335),G335&gt;0,H335&lt;&gt;"",I335&lt;&gt;"",J335&lt;&gt;""),"记录齐全","待补记录")))</x:f>
      </x:c>
    </x:row>
    <x:row r="336" ht="48" customHeight="1">
      <x:c r="A336" s="36" t="str">
        <x:v>REC-01/台达</x:v>
      </x:c>
      <x:c r="B336" s="36" t="str">
        <x:v>台达</x:v>
      </x:c>
      <x:c r="C336" s="36" t="str">
        <x:v>REC-01</x:v>
      </x:c>
      <x:c r="D336" s="36" t="str">
        <x:v>台达-01</x:v>
      </x:c>
      <x:c r="E336" s="22"/>
      <x:c r="F336" s="22"/>
      <x:c r="G336" s="37"/>
      <x:c r="H336" s="22"/>
      <x:c r="I336" s="22"/>
      <x:c r="J336" s="22"/>
      <x:c r="K336" s="22"/>
      <x:c r="L336" s="6" t="str">
        <x:f>IF(COUNTA(E336:K336)=0,"",IF(OR(H336="不适用",H336="阻塞",H336="资料确认（未实测）"),"非实测记录",IF(AND(E336&lt;&gt;"",ISNUMBER(G336),G336&gt;0,H336&lt;&gt;"",I336&lt;&gt;"",J336&lt;&gt;""),"记录齐全","待补记录")))</x:f>
      </x:c>
    </x:row>
    <x:row r="337" ht="48" customHeight="1">
      <x:c r="A337" s="36" t="str">
        <x:v>REC-01/繁易</x:v>
      </x:c>
      <x:c r="B337" s="36" t="str">
        <x:v>繁易</x:v>
      </x:c>
      <x:c r="C337" s="36" t="str">
        <x:v>REC-01</x:v>
      </x:c>
      <x:c r="D337" s="36" t="str">
        <x:v>繁易-01</x:v>
      </x:c>
      <x:c r="E337" s="22"/>
      <x:c r="F337" s="22"/>
      <x:c r="G337" s="37"/>
      <x:c r="H337" s="22"/>
      <x:c r="I337" s="22"/>
      <x:c r="J337" s="22"/>
      <x:c r="K337" s="22"/>
      <x:c r="L337" s="6" t="str">
        <x:f>IF(COUNTA(E337:K337)=0,"",IF(OR(H337="不适用",H337="阻塞",H337="资料确认（未实测）"),"非实测记录",IF(AND(E337&lt;&gt;"",ISNUMBER(G337),G337&gt;0,H337&lt;&gt;"",I337&lt;&gt;"",J337&lt;&gt;""),"记录齐全","待补记录")))</x:f>
      </x:c>
    </x:row>
    <x:row r="338" ht="48" customHeight="1">
      <x:c r="A338" s="36" t="str">
        <x:v>REC-01/Elmo</x:v>
      </x:c>
      <x:c r="B338" s="36" t="str">
        <x:v>Elmo</x:v>
      </x:c>
      <x:c r="C338" s="36" t="str">
        <x:v>REC-01</x:v>
      </x:c>
      <x:c r="D338" s="36" t="str">
        <x:v>Elmo-01</x:v>
      </x:c>
      <x:c r="E338" s="22"/>
      <x:c r="F338" s="22"/>
      <x:c r="G338" s="37"/>
      <x:c r="H338" s="22"/>
      <x:c r="I338" s="22"/>
      <x:c r="J338" s="22"/>
      <x:c r="K338" s="22"/>
      <x:c r="L338" s="6" t="str">
        <x:f>IF(COUNTA(E338:K338)=0,"",IF(OR(H338="不适用",H338="阻塞",H338="资料确认（未实测）"),"非实测记录",IF(AND(E338&lt;&gt;"",ISNUMBER(G338),G338&gt;0,H338&lt;&gt;"",I338&lt;&gt;"",J338&lt;&gt;""),"记录齐全","待补记录")))</x:f>
      </x:c>
    </x:row>
    <x:row r="339" ht="48" customHeight="1">
      <x:c r="A339" s="36" t="str">
        <x:v>REC-01/KEBA（可选）</x:v>
      </x:c>
      <x:c r="B339" s="36" t="str">
        <x:v>KEBA（可选）</x:v>
      </x:c>
      <x:c r="C339" s="36" t="str">
        <x:v>REC-01</x:v>
      </x:c>
      <x:c r="D339" s="36" t="str">
        <x:v>KEBA-01</x:v>
      </x:c>
      <x:c r="E339" s="22"/>
      <x:c r="F339" s="22"/>
      <x:c r="G339" s="37"/>
      <x:c r="H339" s="22"/>
      <x:c r="I339" s="22"/>
      <x:c r="J339" s="22"/>
      <x:c r="K339" s="22"/>
      <x:c r="L339" s="6" t="str">
        <x:f>IF(COUNTA(E339:K339)=0,"",IF(OR(H339="不适用",H339="阻塞",H339="资料确认（未实测）"),"非实测记录",IF(AND(E339&lt;&gt;"",ISNUMBER(G339),G339&gt;0,H339&lt;&gt;"",I339&lt;&gt;"",J339&lt;&gt;""),"记录齐全","待补记录")))</x:f>
      </x:c>
    </x:row>
    <x:row r="340" ht="48" customHeight="1">
      <x:c r="A340" s="36" t="str">
        <x:v>REC-02/CDHD</x:v>
      </x:c>
      <x:c r="B340" s="36" t="str">
        <x:v>CDHD</x:v>
      </x:c>
      <x:c r="C340" s="36" t="str">
        <x:v>REC-02</x:v>
      </x:c>
      <x:c r="D340" s="36" t="str">
        <x:v>CDHD-01</x:v>
      </x:c>
      <x:c r="E340" s="22"/>
      <x:c r="F340" s="22"/>
      <x:c r="G340" s="37"/>
      <x:c r="H340" s="22"/>
      <x:c r="I340" s="22"/>
      <x:c r="J340" s="22"/>
      <x:c r="K340" s="22"/>
      <x:c r="L340" s="6" t="str">
        <x:f>IF(COUNTA(E340:K340)=0,"",IF(OR(H340="不适用",H340="阻塞",H340="资料确认（未实测）"),"非实测记录",IF(AND(E340&lt;&gt;"",ISNUMBER(G340),G340&gt;0,H340&lt;&gt;"",I340&lt;&gt;"",J340&lt;&gt;""),"记录齐全","待补记录")))</x:f>
      </x:c>
    </x:row>
    <x:row r="341" ht="48" customHeight="1">
      <x:c r="A341" s="36" t="str">
        <x:v>REC-02/台达</x:v>
      </x:c>
      <x:c r="B341" s="36" t="str">
        <x:v>台达</x:v>
      </x:c>
      <x:c r="C341" s="36" t="str">
        <x:v>REC-02</x:v>
      </x:c>
      <x:c r="D341" s="36" t="str">
        <x:v>台达-01</x:v>
      </x:c>
      <x:c r="E341" s="22"/>
      <x:c r="F341" s="22"/>
      <x:c r="G341" s="37"/>
      <x:c r="H341" s="22"/>
      <x:c r="I341" s="22"/>
      <x:c r="J341" s="22"/>
      <x:c r="K341" s="22"/>
      <x:c r="L341" s="6" t="str">
        <x:f>IF(COUNTA(E341:K341)=0,"",IF(OR(H341="不适用",H341="阻塞",H341="资料确认（未实测）"),"非实测记录",IF(AND(E341&lt;&gt;"",ISNUMBER(G341),G341&gt;0,H341&lt;&gt;"",I341&lt;&gt;"",J341&lt;&gt;""),"记录齐全","待补记录")))</x:f>
      </x:c>
    </x:row>
    <x:row r="342" ht="48" customHeight="1">
      <x:c r="A342" s="36" t="str">
        <x:v>REC-02/繁易</x:v>
      </x:c>
      <x:c r="B342" s="36" t="str">
        <x:v>繁易</x:v>
      </x:c>
      <x:c r="C342" s="36" t="str">
        <x:v>REC-02</x:v>
      </x:c>
      <x:c r="D342" s="36" t="str">
        <x:v>繁易-01</x:v>
      </x:c>
      <x:c r="E342" s="22"/>
      <x:c r="F342" s="22"/>
      <x:c r="G342" s="37"/>
      <x:c r="H342" s="22"/>
      <x:c r="I342" s="22"/>
      <x:c r="J342" s="22"/>
      <x:c r="K342" s="22"/>
      <x:c r="L342" s="6" t="str">
        <x:f>IF(COUNTA(E342:K342)=0,"",IF(OR(H342="不适用",H342="阻塞",H342="资料确认（未实测）"),"非实测记录",IF(AND(E342&lt;&gt;"",ISNUMBER(G342),G342&gt;0,H342&lt;&gt;"",I342&lt;&gt;"",J342&lt;&gt;""),"记录齐全","待补记录")))</x:f>
      </x:c>
    </x:row>
    <x:row r="343" ht="48" customHeight="1">
      <x:c r="A343" s="36" t="str">
        <x:v>REC-02/Elmo</x:v>
      </x:c>
      <x:c r="B343" s="36" t="str">
        <x:v>Elmo</x:v>
      </x:c>
      <x:c r="C343" s="36" t="str">
        <x:v>REC-02</x:v>
      </x:c>
      <x:c r="D343" s="36" t="str">
        <x:v>Elmo-01</x:v>
      </x:c>
      <x:c r="E343" s="22"/>
      <x:c r="F343" s="22"/>
      <x:c r="G343" s="37"/>
      <x:c r="H343" s="22"/>
      <x:c r="I343" s="22"/>
      <x:c r="J343" s="22"/>
      <x:c r="K343" s="22"/>
      <x:c r="L343" s="6" t="str">
        <x:f>IF(COUNTA(E343:K343)=0,"",IF(OR(H343="不适用",H343="阻塞",H343="资料确认（未实测）"),"非实测记录",IF(AND(E343&lt;&gt;"",ISNUMBER(G343),G343&gt;0,H343&lt;&gt;"",I343&lt;&gt;"",J343&lt;&gt;""),"记录齐全","待补记录")))</x:f>
      </x:c>
    </x:row>
    <x:row r="344" ht="48" customHeight="1">
      <x:c r="A344" s="36" t="str">
        <x:v>REC-02/KEBA（可选）</x:v>
      </x:c>
      <x:c r="B344" s="36" t="str">
        <x:v>KEBA（可选）</x:v>
      </x:c>
      <x:c r="C344" s="36" t="str">
        <x:v>REC-02</x:v>
      </x:c>
      <x:c r="D344" s="36" t="str">
        <x:v>KEBA-01</x:v>
      </x:c>
      <x:c r="E344" s="22"/>
      <x:c r="F344" s="22"/>
      <x:c r="G344" s="37"/>
      <x:c r="H344" s="22"/>
      <x:c r="I344" s="22"/>
      <x:c r="J344" s="22"/>
      <x:c r="K344" s="22"/>
      <x:c r="L344" s="6" t="str">
        <x:f>IF(COUNTA(E344:K344)=0,"",IF(OR(H344="不适用",H344="阻塞",H344="资料确认（未实测）"),"非实测记录",IF(AND(E344&lt;&gt;"",ISNUMBER(G344),G344&gt;0,H344&lt;&gt;"",I344&lt;&gt;"",J344&lt;&gt;""),"记录齐全","待补记录")))</x:f>
      </x:c>
    </x:row>
    <x:row r="345" ht="48" customHeight="1">
      <x:c r="A345" s="36" t="str">
        <x:v>REC-03/CDHD</x:v>
      </x:c>
      <x:c r="B345" s="36" t="str">
        <x:v>CDHD</x:v>
      </x:c>
      <x:c r="C345" s="36" t="str">
        <x:v>REC-03</x:v>
      </x:c>
      <x:c r="D345" s="36" t="str">
        <x:v>CDHD-01</x:v>
      </x:c>
      <x:c r="E345" s="22"/>
      <x:c r="F345" s="22"/>
      <x:c r="G345" s="37"/>
      <x:c r="H345" s="22"/>
      <x:c r="I345" s="22"/>
      <x:c r="J345" s="22"/>
      <x:c r="K345" s="22"/>
      <x:c r="L345" s="6" t="str">
        <x:f>IF(COUNTA(E345:K345)=0,"",IF(OR(H345="不适用",H345="阻塞",H345="资料确认（未实测）"),"非实测记录",IF(AND(E345&lt;&gt;"",ISNUMBER(G345),G345&gt;0,H345&lt;&gt;"",I345&lt;&gt;"",J345&lt;&gt;""),"记录齐全","待补记录")))</x:f>
      </x:c>
    </x:row>
    <x:row r="346" ht="48" customHeight="1">
      <x:c r="A346" s="36" t="str">
        <x:v>REC-03/台达</x:v>
      </x:c>
      <x:c r="B346" s="36" t="str">
        <x:v>台达</x:v>
      </x:c>
      <x:c r="C346" s="36" t="str">
        <x:v>REC-03</x:v>
      </x:c>
      <x:c r="D346" s="36" t="str">
        <x:v>台达-01</x:v>
      </x:c>
      <x:c r="E346" s="22"/>
      <x:c r="F346" s="22"/>
      <x:c r="G346" s="37"/>
      <x:c r="H346" s="22"/>
      <x:c r="I346" s="22"/>
      <x:c r="J346" s="22"/>
      <x:c r="K346" s="22"/>
      <x:c r="L346" s="6" t="str">
        <x:f>IF(COUNTA(E346:K346)=0,"",IF(OR(H346="不适用",H346="阻塞",H346="资料确认（未实测）"),"非实测记录",IF(AND(E346&lt;&gt;"",ISNUMBER(G346),G346&gt;0,H346&lt;&gt;"",I346&lt;&gt;"",J346&lt;&gt;""),"记录齐全","待补记录")))</x:f>
      </x:c>
    </x:row>
    <x:row r="347" ht="48" customHeight="1">
      <x:c r="A347" s="36" t="str">
        <x:v>REC-03/繁易</x:v>
      </x:c>
      <x:c r="B347" s="36" t="str">
        <x:v>繁易</x:v>
      </x:c>
      <x:c r="C347" s="36" t="str">
        <x:v>REC-03</x:v>
      </x:c>
      <x:c r="D347" s="36" t="str">
        <x:v>繁易-01</x:v>
      </x:c>
      <x:c r="E347" s="22"/>
      <x:c r="F347" s="22"/>
      <x:c r="G347" s="37"/>
      <x:c r="H347" s="22"/>
      <x:c r="I347" s="22"/>
      <x:c r="J347" s="22"/>
      <x:c r="K347" s="22"/>
      <x:c r="L347" s="6" t="str">
        <x:f>IF(COUNTA(E347:K347)=0,"",IF(OR(H347="不适用",H347="阻塞",H347="资料确认（未实测）"),"非实测记录",IF(AND(E347&lt;&gt;"",ISNUMBER(G347),G347&gt;0,H347&lt;&gt;"",I347&lt;&gt;"",J347&lt;&gt;""),"记录齐全","待补记录")))</x:f>
      </x:c>
    </x:row>
    <x:row r="348" ht="48" customHeight="1">
      <x:c r="A348" s="36" t="str">
        <x:v>REC-03/Elmo</x:v>
      </x:c>
      <x:c r="B348" s="36" t="str">
        <x:v>Elmo</x:v>
      </x:c>
      <x:c r="C348" s="36" t="str">
        <x:v>REC-03</x:v>
      </x:c>
      <x:c r="D348" s="36" t="str">
        <x:v>Elmo-01</x:v>
      </x:c>
      <x:c r="E348" s="22"/>
      <x:c r="F348" s="22"/>
      <x:c r="G348" s="37"/>
      <x:c r="H348" s="22"/>
      <x:c r="I348" s="22"/>
      <x:c r="J348" s="22"/>
      <x:c r="K348" s="22"/>
      <x:c r="L348" s="6" t="str">
        <x:f>IF(COUNTA(E348:K348)=0,"",IF(OR(H348="不适用",H348="阻塞",H348="资料确认（未实测）"),"非实测记录",IF(AND(E348&lt;&gt;"",ISNUMBER(G348),G348&gt;0,H348&lt;&gt;"",I348&lt;&gt;"",J348&lt;&gt;""),"记录齐全","待补记录")))</x:f>
      </x:c>
    </x:row>
    <x:row r="349" ht="48" customHeight="1">
      <x:c r="A349" s="36" t="str">
        <x:v>REC-03/KEBA（可选）</x:v>
      </x:c>
      <x:c r="B349" s="36" t="str">
        <x:v>KEBA（可选）</x:v>
      </x:c>
      <x:c r="C349" s="36" t="str">
        <x:v>REC-03</x:v>
      </x:c>
      <x:c r="D349" s="36" t="str">
        <x:v>KEBA-01</x:v>
      </x:c>
      <x:c r="E349" s="22"/>
      <x:c r="F349" s="22"/>
      <x:c r="G349" s="37"/>
      <x:c r="H349" s="22"/>
      <x:c r="I349" s="22"/>
      <x:c r="J349" s="22"/>
      <x:c r="K349" s="22"/>
      <x:c r="L349" s="6" t="str">
        <x:f>IF(COUNTA(E349:K349)=0,"",IF(OR(H349="不适用",H349="阻塞",H349="资料确认（未实测）"),"非实测记录",IF(AND(E349&lt;&gt;"",ISNUMBER(G349),G349&gt;0,H349&lt;&gt;"",I349&lt;&gt;"",J349&lt;&gt;""),"记录齐全","待补记录")))</x:f>
      </x:c>
    </x:row>
    <x:row r="350" ht="48" customHeight="1">
      <x:c r="A350" s="36" t="str">
        <x:v>REC-04/CDHD</x:v>
      </x:c>
      <x:c r="B350" s="36" t="str">
        <x:v>CDHD</x:v>
      </x:c>
      <x:c r="C350" s="36" t="str">
        <x:v>REC-04</x:v>
      </x:c>
      <x:c r="D350" s="36" t="str">
        <x:v>CDHD-01</x:v>
      </x:c>
      <x:c r="E350" s="22"/>
      <x:c r="F350" s="22"/>
      <x:c r="G350" s="37"/>
      <x:c r="H350" s="22"/>
      <x:c r="I350" s="22"/>
      <x:c r="J350" s="22"/>
      <x:c r="K350" s="22"/>
      <x:c r="L350" s="6" t="str">
        <x:f>IF(COUNTA(E350:K350)=0,"",IF(OR(H350="不适用",H350="阻塞",H350="资料确认（未实测）"),"非实测记录",IF(AND(E350&lt;&gt;"",ISNUMBER(G350),G350&gt;0,H350&lt;&gt;"",I350&lt;&gt;"",J350&lt;&gt;""),"记录齐全","待补记录")))</x:f>
      </x:c>
    </x:row>
    <x:row r="351" ht="48" customHeight="1">
      <x:c r="A351" s="36" t="str">
        <x:v>REC-04/台达</x:v>
      </x:c>
      <x:c r="B351" s="36" t="str">
        <x:v>台达</x:v>
      </x:c>
      <x:c r="C351" s="36" t="str">
        <x:v>REC-04</x:v>
      </x:c>
      <x:c r="D351" s="36" t="str">
        <x:v>台达-01</x:v>
      </x:c>
      <x:c r="E351" s="22"/>
      <x:c r="F351" s="22"/>
      <x:c r="G351" s="37"/>
      <x:c r="H351" s="22"/>
      <x:c r="I351" s="22"/>
      <x:c r="J351" s="22"/>
      <x:c r="K351" s="22"/>
      <x:c r="L351" s="6" t="str">
        <x:f>IF(COUNTA(E351:K351)=0,"",IF(OR(H351="不适用",H351="阻塞",H351="资料确认（未实测）"),"非实测记录",IF(AND(E351&lt;&gt;"",ISNUMBER(G351),G351&gt;0,H351&lt;&gt;"",I351&lt;&gt;"",J351&lt;&gt;""),"记录齐全","待补记录")))</x:f>
      </x:c>
    </x:row>
    <x:row r="352" ht="48" customHeight="1">
      <x:c r="A352" s="36" t="str">
        <x:v>REC-04/繁易</x:v>
      </x:c>
      <x:c r="B352" s="36" t="str">
        <x:v>繁易</x:v>
      </x:c>
      <x:c r="C352" s="36" t="str">
        <x:v>REC-04</x:v>
      </x:c>
      <x:c r="D352" s="36" t="str">
        <x:v>繁易-01</x:v>
      </x:c>
      <x:c r="E352" s="22"/>
      <x:c r="F352" s="22"/>
      <x:c r="G352" s="37"/>
      <x:c r="H352" s="22"/>
      <x:c r="I352" s="22"/>
      <x:c r="J352" s="22"/>
      <x:c r="K352" s="22"/>
      <x:c r="L352" s="6" t="str">
        <x:f>IF(COUNTA(E352:K352)=0,"",IF(OR(H352="不适用",H352="阻塞",H352="资料确认（未实测）"),"非实测记录",IF(AND(E352&lt;&gt;"",ISNUMBER(G352),G352&gt;0,H352&lt;&gt;"",I352&lt;&gt;"",J352&lt;&gt;""),"记录齐全","待补记录")))</x:f>
      </x:c>
    </x:row>
    <x:row r="353" ht="48" customHeight="1">
      <x:c r="A353" s="36" t="str">
        <x:v>REC-04/Elmo</x:v>
      </x:c>
      <x:c r="B353" s="36" t="str">
        <x:v>Elmo</x:v>
      </x:c>
      <x:c r="C353" s="36" t="str">
        <x:v>REC-04</x:v>
      </x:c>
      <x:c r="D353" s="36" t="str">
        <x:v>Elmo-01</x:v>
      </x:c>
      <x:c r="E353" s="22"/>
      <x:c r="F353" s="22"/>
      <x:c r="G353" s="37"/>
      <x:c r="H353" s="22"/>
      <x:c r="I353" s="22"/>
      <x:c r="J353" s="22"/>
      <x:c r="K353" s="22"/>
      <x:c r="L353" s="6" t="str">
        <x:f>IF(COUNTA(E353:K353)=0,"",IF(OR(H353="不适用",H353="阻塞",H353="资料确认（未实测）"),"非实测记录",IF(AND(E353&lt;&gt;"",ISNUMBER(G353),G353&gt;0,H353&lt;&gt;"",I353&lt;&gt;"",J353&lt;&gt;""),"记录齐全","待补记录")))</x:f>
      </x:c>
    </x:row>
    <x:row r="354" ht="48" customHeight="1">
      <x:c r="A354" s="36" t="str">
        <x:v>REC-04/KEBA（可选）</x:v>
      </x:c>
      <x:c r="B354" s="36" t="str">
        <x:v>KEBA（可选）</x:v>
      </x:c>
      <x:c r="C354" s="36" t="str">
        <x:v>REC-04</x:v>
      </x:c>
      <x:c r="D354" s="36" t="str">
        <x:v>KEBA-01</x:v>
      </x:c>
      <x:c r="E354" s="22"/>
      <x:c r="F354" s="22"/>
      <x:c r="G354" s="37"/>
      <x:c r="H354" s="22"/>
      <x:c r="I354" s="22"/>
      <x:c r="J354" s="22"/>
      <x:c r="K354" s="22"/>
      <x:c r="L354" s="6" t="str">
        <x:f>IF(COUNTA(E354:K354)=0,"",IF(OR(H354="不适用",H354="阻塞",H354="资料确认（未实测）"),"非实测记录",IF(AND(E354&lt;&gt;"",ISNUMBER(G354),G354&gt;0,H354&lt;&gt;"",I354&lt;&gt;"",J354&lt;&gt;""),"记录齐全","待补记录")))</x:f>
      </x:c>
    </x:row>
    <x:row r="355" ht="48" customHeight="1">
      <x:c r="A355" s="36" t="str">
        <x:v>REC-05/CDHD</x:v>
      </x:c>
      <x:c r="B355" s="36" t="str">
        <x:v>CDHD</x:v>
      </x:c>
      <x:c r="C355" s="36" t="str">
        <x:v>REC-05</x:v>
      </x:c>
      <x:c r="D355" s="36" t="str">
        <x:v>CDHD-01</x:v>
      </x:c>
      <x:c r="E355" s="22"/>
      <x:c r="F355" s="22"/>
      <x:c r="G355" s="37"/>
      <x:c r="H355" s="22"/>
      <x:c r="I355" s="22"/>
      <x:c r="J355" s="22"/>
      <x:c r="K355" s="22"/>
      <x:c r="L355" s="6" t="str">
        <x:f>IF(COUNTA(E355:K355)=0,"",IF(OR(H355="不适用",H355="阻塞",H355="资料确认（未实测）"),"非实测记录",IF(AND(E355&lt;&gt;"",ISNUMBER(G355),G355&gt;0,H355&lt;&gt;"",I355&lt;&gt;"",J355&lt;&gt;""),"记录齐全","待补记录")))</x:f>
      </x:c>
    </x:row>
    <x:row r="356" ht="48" customHeight="1">
      <x:c r="A356" s="36" t="str">
        <x:v>REC-05/台达</x:v>
      </x:c>
      <x:c r="B356" s="36" t="str">
        <x:v>台达</x:v>
      </x:c>
      <x:c r="C356" s="36" t="str">
        <x:v>REC-05</x:v>
      </x:c>
      <x:c r="D356" s="36" t="str">
        <x:v>台达-01</x:v>
      </x:c>
      <x:c r="E356" s="22"/>
      <x:c r="F356" s="22"/>
      <x:c r="G356" s="37"/>
      <x:c r="H356" s="22"/>
      <x:c r="I356" s="22"/>
      <x:c r="J356" s="22"/>
      <x:c r="K356" s="22"/>
      <x:c r="L356" s="6" t="str">
        <x:f>IF(COUNTA(E356:K356)=0,"",IF(OR(H356="不适用",H356="阻塞",H356="资料确认（未实测）"),"非实测记录",IF(AND(E356&lt;&gt;"",ISNUMBER(G356),G356&gt;0,H356&lt;&gt;"",I356&lt;&gt;"",J356&lt;&gt;""),"记录齐全","待补记录")))</x:f>
      </x:c>
    </x:row>
    <x:row r="357" ht="48" customHeight="1">
      <x:c r="A357" s="36" t="str">
        <x:v>REC-05/繁易</x:v>
      </x:c>
      <x:c r="B357" s="36" t="str">
        <x:v>繁易</x:v>
      </x:c>
      <x:c r="C357" s="36" t="str">
        <x:v>REC-05</x:v>
      </x:c>
      <x:c r="D357" s="36" t="str">
        <x:v>繁易-01</x:v>
      </x:c>
      <x:c r="E357" s="22"/>
      <x:c r="F357" s="22"/>
      <x:c r="G357" s="37"/>
      <x:c r="H357" s="22"/>
      <x:c r="I357" s="22"/>
      <x:c r="J357" s="22"/>
      <x:c r="K357" s="22"/>
      <x:c r="L357" s="6" t="str">
        <x:f>IF(COUNTA(E357:K357)=0,"",IF(OR(H357="不适用",H357="阻塞",H357="资料确认（未实测）"),"非实测记录",IF(AND(E357&lt;&gt;"",ISNUMBER(G357),G357&gt;0,H357&lt;&gt;"",I357&lt;&gt;"",J357&lt;&gt;""),"记录齐全","待补记录")))</x:f>
      </x:c>
    </x:row>
    <x:row r="358" ht="48" customHeight="1">
      <x:c r="A358" s="36" t="str">
        <x:v>REC-05/Elmo</x:v>
      </x:c>
      <x:c r="B358" s="36" t="str">
        <x:v>Elmo</x:v>
      </x:c>
      <x:c r="C358" s="36" t="str">
        <x:v>REC-05</x:v>
      </x:c>
      <x:c r="D358" s="36" t="str">
        <x:v>Elmo-01</x:v>
      </x:c>
      <x:c r="E358" s="22"/>
      <x:c r="F358" s="22"/>
      <x:c r="G358" s="37"/>
      <x:c r="H358" s="22"/>
      <x:c r="I358" s="22"/>
      <x:c r="J358" s="22"/>
      <x:c r="K358" s="22"/>
      <x:c r="L358" s="6" t="str">
        <x:f>IF(COUNTA(E358:K358)=0,"",IF(OR(H358="不适用",H358="阻塞",H358="资料确认（未实测）"),"非实测记录",IF(AND(E358&lt;&gt;"",ISNUMBER(G358),G358&gt;0,H358&lt;&gt;"",I358&lt;&gt;"",J358&lt;&gt;""),"记录齐全","待补记录")))</x:f>
      </x:c>
    </x:row>
    <x:row r="359" ht="48" customHeight="1">
      <x:c r="A359" s="36" t="str">
        <x:v>REC-05/KEBA（可选）</x:v>
      </x:c>
      <x:c r="B359" s="36" t="str">
        <x:v>KEBA（可选）</x:v>
      </x:c>
      <x:c r="C359" s="36" t="str">
        <x:v>REC-05</x:v>
      </x:c>
      <x:c r="D359" s="36" t="str">
        <x:v>KEBA-01</x:v>
      </x:c>
      <x:c r="E359" s="22"/>
      <x:c r="F359" s="22"/>
      <x:c r="G359" s="37"/>
      <x:c r="H359" s="22"/>
      <x:c r="I359" s="22"/>
      <x:c r="J359" s="22"/>
      <x:c r="K359" s="22"/>
      <x:c r="L359" s="6" t="str">
        <x:f>IF(COUNTA(E359:K359)=0,"",IF(OR(H359="不适用",H359="阻塞",H359="资料确认（未实测）"),"非实测记录",IF(AND(E359&lt;&gt;"",ISNUMBER(G359),G359&gt;0,H359&lt;&gt;"",I359&lt;&gt;"",J359&lt;&gt;""),"记录齐全","待补记录")))</x:f>
      </x:c>
    </x:row>
    <x:row r="360" ht="48" customHeight="1">
      <x:c r="A360" s="36" t="str">
        <x:v>REC-06/CDHD</x:v>
      </x:c>
      <x:c r="B360" s="36" t="str">
        <x:v>CDHD</x:v>
      </x:c>
      <x:c r="C360" s="36" t="str">
        <x:v>REC-06</x:v>
      </x:c>
      <x:c r="D360" s="36" t="str">
        <x:v>CDHD-01</x:v>
      </x:c>
      <x:c r="E360" s="22"/>
      <x:c r="F360" s="22"/>
      <x:c r="G360" s="37"/>
      <x:c r="H360" s="22"/>
      <x:c r="I360" s="22"/>
      <x:c r="J360" s="22"/>
      <x:c r="K360" s="22"/>
      <x:c r="L360" s="6" t="str">
        <x:f>IF(COUNTA(E360:K360)=0,"",IF(OR(H360="不适用",H360="阻塞",H360="资料确认（未实测）"),"非实测记录",IF(AND(E360&lt;&gt;"",ISNUMBER(G360),G360&gt;0,H360&lt;&gt;"",I360&lt;&gt;"",J360&lt;&gt;""),"记录齐全","待补记录")))</x:f>
      </x:c>
    </x:row>
    <x:row r="361" ht="48" customHeight="1">
      <x:c r="A361" s="36" t="str">
        <x:v>REC-06/台达</x:v>
      </x:c>
      <x:c r="B361" s="36" t="str">
        <x:v>台达</x:v>
      </x:c>
      <x:c r="C361" s="36" t="str">
        <x:v>REC-06</x:v>
      </x:c>
      <x:c r="D361" s="36" t="str">
        <x:v>台达-01</x:v>
      </x:c>
      <x:c r="E361" s="22"/>
      <x:c r="F361" s="22"/>
      <x:c r="G361" s="37"/>
      <x:c r="H361" s="22"/>
      <x:c r="I361" s="22"/>
      <x:c r="J361" s="22"/>
      <x:c r="K361" s="22"/>
      <x:c r="L361" s="6" t="str">
        <x:f>IF(COUNTA(E361:K361)=0,"",IF(OR(H361="不适用",H361="阻塞",H361="资料确认（未实测）"),"非实测记录",IF(AND(E361&lt;&gt;"",ISNUMBER(G361),G361&gt;0,H361&lt;&gt;"",I361&lt;&gt;"",J361&lt;&gt;""),"记录齐全","待补记录")))</x:f>
      </x:c>
    </x:row>
    <x:row r="362" ht="48" customHeight="1">
      <x:c r="A362" s="36" t="str">
        <x:v>REC-06/繁易</x:v>
      </x:c>
      <x:c r="B362" s="36" t="str">
        <x:v>繁易</x:v>
      </x:c>
      <x:c r="C362" s="36" t="str">
        <x:v>REC-06</x:v>
      </x:c>
      <x:c r="D362" s="36" t="str">
        <x:v>繁易-01</x:v>
      </x:c>
      <x:c r="E362" s="22"/>
      <x:c r="F362" s="22"/>
      <x:c r="G362" s="37"/>
      <x:c r="H362" s="22"/>
      <x:c r="I362" s="22"/>
      <x:c r="J362" s="22"/>
      <x:c r="K362" s="22"/>
      <x:c r="L362" s="6" t="str">
        <x:f>IF(COUNTA(E362:K362)=0,"",IF(OR(H362="不适用",H362="阻塞",H362="资料确认（未实测）"),"非实测记录",IF(AND(E362&lt;&gt;"",ISNUMBER(G362),G362&gt;0,H362&lt;&gt;"",I362&lt;&gt;"",J362&lt;&gt;""),"记录齐全","待补记录")))</x:f>
      </x:c>
    </x:row>
    <x:row r="363" ht="48" customHeight="1">
      <x:c r="A363" s="36" t="str">
        <x:v>REC-06/Elmo</x:v>
      </x:c>
      <x:c r="B363" s="36" t="str">
        <x:v>Elmo</x:v>
      </x:c>
      <x:c r="C363" s="36" t="str">
        <x:v>REC-06</x:v>
      </x:c>
      <x:c r="D363" s="36" t="str">
        <x:v>Elmo-01</x:v>
      </x:c>
      <x:c r="E363" s="22"/>
      <x:c r="F363" s="22"/>
      <x:c r="G363" s="37"/>
      <x:c r="H363" s="22"/>
      <x:c r="I363" s="22"/>
      <x:c r="J363" s="22"/>
      <x:c r="K363" s="22"/>
      <x:c r="L363" s="6" t="str">
        <x:f>IF(COUNTA(E363:K363)=0,"",IF(OR(H363="不适用",H363="阻塞",H363="资料确认（未实测）"),"非实测记录",IF(AND(E363&lt;&gt;"",ISNUMBER(G363),G363&gt;0,H363&lt;&gt;"",I363&lt;&gt;"",J363&lt;&gt;""),"记录齐全","待补记录")))</x:f>
      </x:c>
    </x:row>
    <x:row r="364" ht="48" customHeight="1">
      <x:c r="A364" s="36" t="str">
        <x:v>REC-06/KEBA（可选）</x:v>
      </x:c>
      <x:c r="B364" s="36" t="str">
        <x:v>KEBA（可选）</x:v>
      </x:c>
      <x:c r="C364" s="36" t="str">
        <x:v>REC-06</x:v>
      </x:c>
      <x:c r="D364" s="36" t="str">
        <x:v>KEBA-01</x:v>
      </x:c>
      <x:c r="E364" s="22"/>
      <x:c r="F364" s="22"/>
      <x:c r="G364" s="37"/>
      <x:c r="H364" s="22"/>
      <x:c r="I364" s="22"/>
      <x:c r="J364" s="22"/>
      <x:c r="K364" s="22"/>
      <x:c r="L364" s="6" t="str">
        <x:f>IF(COUNTA(E364:K364)=0,"",IF(OR(H364="不适用",H364="阻塞",H364="资料确认（未实测）"),"非实测记录",IF(AND(E364&lt;&gt;"",ISNUMBER(G364),G364&gt;0,H364&lt;&gt;"",I364&lt;&gt;"",J364&lt;&gt;""),"记录齐全","待补记录")))</x:f>
      </x:c>
    </x:row>
    <x:row r="365" ht="48" customHeight="1">
      <x:c r="A365" s="36" t="str">
        <x:v>REC-07/CDHD</x:v>
      </x:c>
      <x:c r="B365" s="36" t="str">
        <x:v>CDHD</x:v>
      </x:c>
      <x:c r="C365" s="36" t="str">
        <x:v>REC-07</x:v>
      </x:c>
      <x:c r="D365" s="36" t="str">
        <x:v>CDHD-01</x:v>
      </x:c>
      <x:c r="E365" s="22"/>
      <x:c r="F365" s="22"/>
      <x:c r="G365" s="37"/>
      <x:c r="H365" s="22"/>
      <x:c r="I365" s="22"/>
      <x:c r="J365" s="22"/>
      <x:c r="K365" s="22"/>
      <x:c r="L365" s="6" t="str">
        <x:f>IF(COUNTA(E365:K365)=0,"",IF(OR(H365="不适用",H365="阻塞",H365="资料确认（未实测）"),"非实测记录",IF(AND(E365&lt;&gt;"",ISNUMBER(G365),G365&gt;0,H365&lt;&gt;"",I365&lt;&gt;"",J365&lt;&gt;""),"记录齐全","待补记录")))</x:f>
      </x:c>
    </x:row>
    <x:row r="366" ht="48" customHeight="1">
      <x:c r="A366" s="36" t="str">
        <x:v>REC-07/台达</x:v>
      </x:c>
      <x:c r="B366" s="36" t="str">
        <x:v>台达</x:v>
      </x:c>
      <x:c r="C366" s="36" t="str">
        <x:v>REC-07</x:v>
      </x:c>
      <x:c r="D366" s="36" t="str">
        <x:v>台达-01</x:v>
      </x:c>
      <x:c r="E366" s="22"/>
      <x:c r="F366" s="22"/>
      <x:c r="G366" s="37"/>
      <x:c r="H366" s="22"/>
      <x:c r="I366" s="22"/>
      <x:c r="J366" s="22"/>
      <x:c r="K366" s="22"/>
      <x:c r="L366" s="6" t="str">
        <x:f>IF(COUNTA(E366:K366)=0,"",IF(OR(H366="不适用",H366="阻塞",H366="资料确认（未实测）"),"非实测记录",IF(AND(E366&lt;&gt;"",ISNUMBER(G366),G366&gt;0,H366&lt;&gt;"",I366&lt;&gt;"",J366&lt;&gt;""),"记录齐全","待补记录")))</x:f>
      </x:c>
    </x:row>
    <x:row r="367" ht="48" customHeight="1">
      <x:c r="A367" s="36" t="str">
        <x:v>REC-07/繁易</x:v>
      </x:c>
      <x:c r="B367" s="36" t="str">
        <x:v>繁易</x:v>
      </x:c>
      <x:c r="C367" s="36" t="str">
        <x:v>REC-07</x:v>
      </x:c>
      <x:c r="D367" s="36" t="str">
        <x:v>繁易-01</x:v>
      </x:c>
      <x:c r="E367" s="22"/>
      <x:c r="F367" s="22"/>
      <x:c r="G367" s="37"/>
      <x:c r="H367" s="22"/>
      <x:c r="I367" s="22"/>
      <x:c r="J367" s="22"/>
      <x:c r="K367" s="22"/>
      <x:c r="L367" s="6" t="str">
        <x:f>IF(COUNTA(E367:K367)=0,"",IF(OR(H367="不适用",H367="阻塞",H367="资料确认（未实测）"),"非实测记录",IF(AND(E367&lt;&gt;"",ISNUMBER(G367),G367&gt;0,H367&lt;&gt;"",I367&lt;&gt;"",J367&lt;&gt;""),"记录齐全","待补记录")))</x:f>
      </x:c>
    </x:row>
    <x:row r="368" ht="48" customHeight="1">
      <x:c r="A368" s="36" t="str">
        <x:v>REC-07/Elmo</x:v>
      </x:c>
      <x:c r="B368" s="36" t="str">
        <x:v>Elmo</x:v>
      </x:c>
      <x:c r="C368" s="36" t="str">
        <x:v>REC-07</x:v>
      </x:c>
      <x:c r="D368" s="36" t="str">
        <x:v>Elmo-01</x:v>
      </x:c>
      <x:c r="E368" s="22"/>
      <x:c r="F368" s="22"/>
      <x:c r="G368" s="37"/>
      <x:c r="H368" s="22"/>
      <x:c r="I368" s="22"/>
      <x:c r="J368" s="22"/>
      <x:c r="K368" s="22"/>
      <x:c r="L368" s="6" t="str">
        <x:f>IF(COUNTA(E368:K368)=0,"",IF(OR(H368="不适用",H368="阻塞",H368="资料确认（未实测）"),"非实测记录",IF(AND(E368&lt;&gt;"",ISNUMBER(G368),G368&gt;0,H368&lt;&gt;"",I368&lt;&gt;"",J368&lt;&gt;""),"记录齐全","待补记录")))</x:f>
      </x:c>
    </x:row>
    <x:row r="369" ht="48" customHeight="1">
      <x:c r="A369" s="36" t="str">
        <x:v>REC-07/KEBA（可选）</x:v>
      </x:c>
      <x:c r="B369" s="36" t="str">
        <x:v>KEBA（可选）</x:v>
      </x:c>
      <x:c r="C369" s="36" t="str">
        <x:v>REC-07</x:v>
      </x:c>
      <x:c r="D369" s="36" t="str">
        <x:v>KEBA-01</x:v>
      </x:c>
      <x:c r="E369" s="22"/>
      <x:c r="F369" s="22"/>
      <x:c r="G369" s="37"/>
      <x:c r="H369" s="22"/>
      <x:c r="I369" s="22"/>
      <x:c r="J369" s="22"/>
      <x:c r="K369" s="22"/>
      <x:c r="L369" s="6" t="str">
        <x:f>IF(COUNTA(E369:K369)=0,"",IF(OR(H369="不适用",H369="阻塞",H369="资料确认（未实测）"),"非实测记录",IF(AND(E369&lt;&gt;"",ISNUMBER(G369),G369&gt;0,H369&lt;&gt;"",I369&lt;&gt;"",J369&lt;&gt;""),"记录齐全","待补记录")))</x:f>
      </x:c>
    </x:row>
    <x:row r="370" ht="48" customHeight="1">
      <x:c r="A370" s="36" t="str">
        <x:v>REC-08/CDHD</x:v>
      </x:c>
      <x:c r="B370" s="36" t="str">
        <x:v>CDHD</x:v>
      </x:c>
      <x:c r="C370" s="36" t="str">
        <x:v>REC-08</x:v>
      </x:c>
      <x:c r="D370" s="36" t="str">
        <x:v>CDHD-01</x:v>
      </x:c>
      <x:c r="E370" s="22"/>
      <x:c r="F370" s="22"/>
      <x:c r="G370" s="37"/>
      <x:c r="H370" s="22"/>
      <x:c r="I370" s="22"/>
      <x:c r="J370" s="22"/>
      <x:c r="K370" s="22"/>
      <x:c r="L370" s="6" t="str">
        <x:f>IF(COUNTA(E370:K370)=0,"",IF(OR(H370="不适用",H370="阻塞",H370="资料确认（未实测）"),"非实测记录",IF(AND(E370&lt;&gt;"",ISNUMBER(G370),G370&gt;0,H370&lt;&gt;"",I370&lt;&gt;"",J370&lt;&gt;""),"记录齐全","待补记录")))</x:f>
      </x:c>
    </x:row>
    <x:row r="371" ht="48" customHeight="1">
      <x:c r="A371" s="36" t="str">
        <x:v>REC-08/台达</x:v>
      </x:c>
      <x:c r="B371" s="36" t="str">
        <x:v>台达</x:v>
      </x:c>
      <x:c r="C371" s="36" t="str">
        <x:v>REC-08</x:v>
      </x:c>
      <x:c r="D371" s="36" t="str">
        <x:v>台达-01</x:v>
      </x:c>
      <x:c r="E371" s="22"/>
      <x:c r="F371" s="22"/>
      <x:c r="G371" s="37"/>
      <x:c r="H371" s="22"/>
      <x:c r="I371" s="22"/>
      <x:c r="J371" s="22"/>
      <x:c r="K371" s="22"/>
      <x:c r="L371" s="6" t="str">
        <x:f>IF(COUNTA(E371:K371)=0,"",IF(OR(H371="不适用",H371="阻塞",H371="资料确认（未实测）"),"非实测记录",IF(AND(E371&lt;&gt;"",ISNUMBER(G371),G371&gt;0,H371&lt;&gt;"",I371&lt;&gt;"",J371&lt;&gt;""),"记录齐全","待补记录")))</x:f>
      </x:c>
    </x:row>
    <x:row r="372" ht="48" customHeight="1">
      <x:c r="A372" s="36" t="str">
        <x:v>REC-08/繁易</x:v>
      </x:c>
      <x:c r="B372" s="36" t="str">
        <x:v>繁易</x:v>
      </x:c>
      <x:c r="C372" s="36" t="str">
        <x:v>REC-08</x:v>
      </x:c>
      <x:c r="D372" s="36" t="str">
        <x:v>繁易-01</x:v>
      </x:c>
      <x:c r="E372" s="22"/>
      <x:c r="F372" s="22"/>
      <x:c r="G372" s="37"/>
      <x:c r="H372" s="22"/>
      <x:c r="I372" s="22"/>
      <x:c r="J372" s="22"/>
      <x:c r="K372" s="22"/>
      <x:c r="L372" s="6" t="str">
        <x:f>IF(COUNTA(E372:K372)=0,"",IF(OR(H372="不适用",H372="阻塞",H372="资料确认（未实测）"),"非实测记录",IF(AND(E372&lt;&gt;"",ISNUMBER(G372),G372&gt;0,H372&lt;&gt;"",I372&lt;&gt;"",J372&lt;&gt;""),"记录齐全","待补记录")))</x:f>
      </x:c>
    </x:row>
    <x:row r="373" ht="48" customHeight="1">
      <x:c r="A373" s="36" t="str">
        <x:v>REC-08/Elmo</x:v>
      </x:c>
      <x:c r="B373" s="36" t="str">
        <x:v>Elmo</x:v>
      </x:c>
      <x:c r="C373" s="36" t="str">
        <x:v>REC-08</x:v>
      </x:c>
      <x:c r="D373" s="36" t="str">
        <x:v>Elmo-01</x:v>
      </x:c>
      <x:c r="E373" s="22"/>
      <x:c r="F373" s="22"/>
      <x:c r="G373" s="37"/>
      <x:c r="H373" s="22"/>
      <x:c r="I373" s="22"/>
      <x:c r="J373" s="22"/>
      <x:c r="K373" s="22"/>
      <x:c r="L373" s="6" t="str">
        <x:f>IF(COUNTA(E373:K373)=0,"",IF(OR(H373="不适用",H373="阻塞",H373="资料确认（未实测）"),"非实测记录",IF(AND(E373&lt;&gt;"",ISNUMBER(G373),G373&gt;0,H373&lt;&gt;"",I373&lt;&gt;"",J373&lt;&gt;""),"记录齐全","待补记录")))</x:f>
      </x:c>
    </x:row>
    <x:row r="374" ht="48" customHeight="1">
      <x:c r="A374" s="36" t="str">
        <x:v>REC-08/KEBA（可选）</x:v>
      </x:c>
      <x:c r="B374" s="36" t="str">
        <x:v>KEBA（可选）</x:v>
      </x:c>
      <x:c r="C374" s="36" t="str">
        <x:v>REC-08</x:v>
      </x:c>
      <x:c r="D374" s="36" t="str">
        <x:v>KEBA-01</x:v>
      </x:c>
      <x:c r="E374" s="22"/>
      <x:c r="F374" s="22"/>
      <x:c r="G374" s="37"/>
      <x:c r="H374" s="22"/>
      <x:c r="I374" s="22"/>
      <x:c r="J374" s="22"/>
      <x:c r="K374" s="22"/>
      <x:c r="L374" s="6" t="str">
        <x:f>IF(COUNTA(E374:K374)=0,"",IF(OR(H374="不适用",H374="阻塞",H374="资料确认（未实测）"),"非实测记录",IF(AND(E374&lt;&gt;"",ISNUMBER(G374),G374&gt;0,H374&lt;&gt;"",I374&lt;&gt;"",J374&lt;&gt;""),"记录齐全","待补记录")))</x:f>
      </x:c>
    </x:row>
    <x:row r="375" ht="48" customHeight="1">
      <x:c r="A375" s="36" t="str">
        <x:v>REC-09/CDHD</x:v>
      </x:c>
      <x:c r="B375" s="36" t="str">
        <x:v>CDHD</x:v>
      </x:c>
      <x:c r="C375" s="36" t="str">
        <x:v>REC-09</x:v>
      </x:c>
      <x:c r="D375" s="36" t="str">
        <x:v>CDHD-01</x:v>
      </x:c>
      <x:c r="E375" s="22"/>
      <x:c r="F375" s="22"/>
      <x:c r="G375" s="37"/>
      <x:c r="H375" s="22"/>
      <x:c r="I375" s="22"/>
      <x:c r="J375" s="22"/>
      <x:c r="K375" s="22"/>
      <x:c r="L375" s="6" t="str">
        <x:f>IF(COUNTA(E375:K375)=0,"",IF(OR(H375="不适用",H375="阻塞",H375="资料确认（未实测）"),"非实测记录",IF(AND(E375&lt;&gt;"",ISNUMBER(G375),G375&gt;0,H375&lt;&gt;"",I375&lt;&gt;"",J375&lt;&gt;""),"记录齐全","待补记录")))</x:f>
      </x:c>
    </x:row>
    <x:row r="376" ht="48" customHeight="1">
      <x:c r="A376" s="36" t="str">
        <x:v>REC-09/台达</x:v>
      </x:c>
      <x:c r="B376" s="36" t="str">
        <x:v>台达</x:v>
      </x:c>
      <x:c r="C376" s="36" t="str">
        <x:v>REC-09</x:v>
      </x:c>
      <x:c r="D376" s="36" t="str">
        <x:v>台达-01</x:v>
      </x:c>
      <x:c r="E376" s="22"/>
      <x:c r="F376" s="22"/>
      <x:c r="G376" s="37"/>
      <x:c r="H376" s="22"/>
      <x:c r="I376" s="22"/>
      <x:c r="J376" s="22"/>
      <x:c r="K376" s="22"/>
      <x:c r="L376" s="6" t="str">
        <x:f>IF(COUNTA(E376:K376)=0,"",IF(OR(H376="不适用",H376="阻塞",H376="资料确认（未实测）"),"非实测记录",IF(AND(E376&lt;&gt;"",ISNUMBER(G376),G376&gt;0,H376&lt;&gt;"",I376&lt;&gt;"",J376&lt;&gt;""),"记录齐全","待补记录")))</x:f>
      </x:c>
    </x:row>
    <x:row r="377" ht="48" customHeight="1">
      <x:c r="A377" s="36" t="str">
        <x:v>REC-09/繁易</x:v>
      </x:c>
      <x:c r="B377" s="36" t="str">
        <x:v>繁易</x:v>
      </x:c>
      <x:c r="C377" s="36" t="str">
        <x:v>REC-09</x:v>
      </x:c>
      <x:c r="D377" s="36" t="str">
        <x:v>繁易-01</x:v>
      </x:c>
      <x:c r="E377" s="22"/>
      <x:c r="F377" s="22"/>
      <x:c r="G377" s="37"/>
      <x:c r="H377" s="22"/>
      <x:c r="I377" s="22"/>
      <x:c r="J377" s="22"/>
      <x:c r="K377" s="22"/>
      <x:c r="L377" s="6" t="str">
        <x:f>IF(COUNTA(E377:K377)=0,"",IF(OR(H377="不适用",H377="阻塞",H377="资料确认（未实测）"),"非实测记录",IF(AND(E377&lt;&gt;"",ISNUMBER(G377),G377&gt;0,H377&lt;&gt;"",I377&lt;&gt;"",J377&lt;&gt;""),"记录齐全","待补记录")))</x:f>
      </x:c>
    </x:row>
    <x:row r="378" ht="48" customHeight="1">
      <x:c r="A378" s="36" t="str">
        <x:v>REC-09/Elmo</x:v>
      </x:c>
      <x:c r="B378" s="36" t="str">
        <x:v>Elmo</x:v>
      </x:c>
      <x:c r="C378" s="36" t="str">
        <x:v>REC-09</x:v>
      </x:c>
      <x:c r="D378" s="36" t="str">
        <x:v>Elmo-01</x:v>
      </x:c>
      <x:c r="E378" s="22"/>
      <x:c r="F378" s="22"/>
      <x:c r="G378" s="37"/>
      <x:c r="H378" s="22"/>
      <x:c r="I378" s="22"/>
      <x:c r="J378" s="22"/>
      <x:c r="K378" s="22"/>
      <x:c r="L378" s="6" t="str">
        <x:f>IF(COUNTA(E378:K378)=0,"",IF(OR(H378="不适用",H378="阻塞",H378="资料确认（未实测）"),"非实测记录",IF(AND(E378&lt;&gt;"",ISNUMBER(G378),G378&gt;0,H378&lt;&gt;"",I378&lt;&gt;"",J378&lt;&gt;""),"记录齐全","待补记录")))</x:f>
      </x:c>
    </x:row>
    <x:row r="379" ht="48" customHeight="1">
      <x:c r="A379" s="36" t="str">
        <x:v>REC-09/KEBA（可选）</x:v>
      </x:c>
      <x:c r="B379" s="36" t="str">
        <x:v>KEBA（可选）</x:v>
      </x:c>
      <x:c r="C379" s="36" t="str">
        <x:v>REC-09</x:v>
      </x:c>
      <x:c r="D379" s="36" t="str">
        <x:v>KEBA-01</x:v>
      </x:c>
      <x:c r="E379" s="22"/>
      <x:c r="F379" s="22"/>
      <x:c r="G379" s="37"/>
      <x:c r="H379" s="22"/>
      <x:c r="I379" s="22"/>
      <x:c r="J379" s="22"/>
      <x:c r="K379" s="22"/>
      <x:c r="L379" s="6" t="str">
        <x:f>IF(COUNTA(E379:K379)=0,"",IF(OR(H379="不适用",H379="阻塞",H379="资料确认（未实测）"),"非实测记录",IF(AND(E379&lt;&gt;"",ISNUMBER(G379),G379&gt;0,H379&lt;&gt;"",I379&lt;&gt;"",J379&lt;&gt;""),"记录齐全","待补记录")))</x:f>
      </x:c>
    </x:row>
    <x:row r="380" ht="48" customHeight="1">
      <x:c r="A380" s="36" t="str">
        <x:v>REC-10/CDHD</x:v>
      </x:c>
      <x:c r="B380" s="36" t="str">
        <x:v>CDHD</x:v>
      </x:c>
      <x:c r="C380" s="36" t="str">
        <x:v>REC-10</x:v>
      </x:c>
      <x:c r="D380" s="36" t="str">
        <x:v>CDHD-01</x:v>
      </x:c>
      <x:c r="E380" s="22"/>
      <x:c r="F380" s="22"/>
      <x:c r="G380" s="37"/>
      <x:c r="H380" s="22"/>
      <x:c r="I380" s="22"/>
      <x:c r="J380" s="22"/>
      <x:c r="K380" s="22"/>
      <x:c r="L380" s="6" t="str">
        <x:f>IF(COUNTA(E380:K380)=0,"",IF(OR(H380="不适用",H380="阻塞",H380="资料确认（未实测）"),"非实测记录",IF(AND(E380&lt;&gt;"",ISNUMBER(G380),G380&gt;0,H380&lt;&gt;"",I380&lt;&gt;"",J380&lt;&gt;""),"记录齐全","待补记录")))</x:f>
      </x:c>
    </x:row>
    <x:row r="381" ht="48" customHeight="1">
      <x:c r="A381" s="36" t="str">
        <x:v>REC-10/台达</x:v>
      </x:c>
      <x:c r="B381" s="36" t="str">
        <x:v>台达</x:v>
      </x:c>
      <x:c r="C381" s="36" t="str">
        <x:v>REC-10</x:v>
      </x:c>
      <x:c r="D381" s="36" t="str">
        <x:v>台达-01</x:v>
      </x:c>
      <x:c r="E381" s="22"/>
      <x:c r="F381" s="22"/>
      <x:c r="G381" s="37"/>
      <x:c r="H381" s="22"/>
      <x:c r="I381" s="22"/>
      <x:c r="J381" s="22"/>
      <x:c r="K381" s="22"/>
      <x:c r="L381" s="6" t="str">
        <x:f>IF(COUNTA(E381:K381)=0,"",IF(OR(H381="不适用",H381="阻塞",H381="资料确认（未实测）"),"非实测记录",IF(AND(E381&lt;&gt;"",ISNUMBER(G381),G381&gt;0,H381&lt;&gt;"",I381&lt;&gt;"",J381&lt;&gt;""),"记录齐全","待补记录")))</x:f>
      </x:c>
    </x:row>
    <x:row r="382" ht="48" customHeight="1">
      <x:c r="A382" s="36" t="str">
        <x:v>REC-10/繁易</x:v>
      </x:c>
      <x:c r="B382" s="36" t="str">
        <x:v>繁易</x:v>
      </x:c>
      <x:c r="C382" s="36" t="str">
        <x:v>REC-10</x:v>
      </x:c>
      <x:c r="D382" s="36" t="str">
        <x:v>繁易-01</x:v>
      </x:c>
      <x:c r="E382" s="22"/>
      <x:c r="F382" s="22"/>
      <x:c r="G382" s="37"/>
      <x:c r="H382" s="22"/>
      <x:c r="I382" s="22"/>
      <x:c r="J382" s="22"/>
      <x:c r="K382" s="22"/>
      <x:c r="L382" s="6" t="str">
        <x:f>IF(COUNTA(E382:K382)=0,"",IF(OR(H382="不适用",H382="阻塞",H382="资料确认（未实测）"),"非实测记录",IF(AND(E382&lt;&gt;"",ISNUMBER(G382),G382&gt;0,H382&lt;&gt;"",I382&lt;&gt;"",J382&lt;&gt;""),"记录齐全","待补记录")))</x:f>
      </x:c>
    </x:row>
    <x:row r="383" ht="48" customHeight="1">
      <x:c r="A383" s="36" t="str">
        <x:v>REC-10/Elmo</x:v>
      </x:c>
      <x:c r="B383" s="36" t="str">
        <x:v>Elmo</x:v>
      </x:c>
      <x:c r="C383" s="36" t="str">
        <x:v>REC-10</x:v>
      </x:c>
      <x:c r="D383" s="36" t="str">
        <x:v>Elmo-01</x:v>
      </x:c>
      <x:c r="E383" s="22"/>
      <x:c r="F383" s="22"/>
      <x:c r="G383" s="37"/>
      <x:c r="H383" s="22"/>
      <x:c r="I383" s="22"/>
      <x:c r="J383" s="22"/>
      <x:c r="K383" s="22"/>
      <x:c r="L383" s="6" t="str">
        <x:f>IF(COUNTA(E383:K383)=0,"",IF(OR(H383="不适用",H383="阻塞",H383="资料确认（未实测）"),"非实测记录",IF(AND(E383&lt;&gt;"",ISNUMBER(G383),G383&gt;0,H383&lt;&gt;"",I383&lt;&gt;"",J383&lt;&gt;""),"记录齐全","待补记录")))</x:f>
      </x:c>
    </x:row>
    <x:row r="384" ht="48" customHeight="1">
      <x:c r="A384" s="36" t="str">
        <x:v>REC-10/KEBA（可选）</x:v>
      </x:c>
      <x:c r="B384" s="36" t="str">
        <x:v>KEBA（可选）</x:v>
      </x:c>
      <x:c r="C384" s="36" t="str">
        <x:v>REC-10</x:v>
      </x:c>
      <x:c r="D384" s="36" t="str">
        <x:v>KEBA-01</x:v>
      </x:c>
      <x:c r="E384" s="22"/>
      <x:c r="F384" s="22"/>
      <x:c r="G384" s="37"/>
      <x:c r="H384" s="22"/>
      <x:c r="I384" s="22"/>
      <x:c r="J384" s="22"/>
      <x:c r="K384" s="22"/>
      <x:c r="L384" s="6" t="str">
        <x:f>IF(COUNTA(E384:K384)=0,"",IF(OR(H384="不适用",H384="阻塞",H384="资料确认（未实测）"),"非实测记录",IF(AND(E384&lt;&gt;"",ISNUMBER(G384),G384&gt;0,H384&lt;&gt;"",I384&lt;&gt;"",J384&lt;&gt;""),"记录齐全","待补记录")))</x:f>
      </x:c>
    </x:row>
    <x:row r="385" ht="48" customHeight="1">
      <x:c r="A385" s="36" t="str">
        <x:v>REC-11/CDHD</x:v>
      </x:c>
      <x:c r="B385" s="36" t="str">
        <x:v>CDHD</x:v>
      </x:c>
      <x:c r="C385" s="36" t="str">
        <x:v>REC-11</x:v>
      </x:c>
      <x:c r="D385" s="36" t="str">
        <x:v>CDHD-01</x:v>
      </x:c>
      <x:c r="E385" s="22"/>
      <x:c r="F385" s="22"/>
      <x:c r="G385" s="37"/>
      <x:c r="H385" s="22"/>
      <x:c r="I385" s="22"/>
      <x:c r="J385" s="22"/>
      <x:c r="K385" s="22"/>
      <x:c r="L385" s="6" t="str">
        <x:f>IF(COUNTA(E385:K385)=0,"",IF(OR(H385="不适用",H385="阻塞",H385="资料确认（未实测）"),"非实测记录",IF(AND(E385&lt;&gt;"",ISNUMBER(G385),G385&gt;0,H385&lt;&gt;"",I385&lt;&gt;"",J385&lt;&gt;""),"记录齐全","待补记录")))</x:f>
      </x:c>
    </x:row>
    <x:row r="386" ht="48" customHeight="1">
      <x:c r="A386" s="36" t="str">
        <x:v>REC-11/台达</x:v>
      </x:c>
      <x:c r="B386" s="36" t="str">
        <x:v>台达</x:v>
      </x:c>
      <x:c r="C386" s="36" t="str">
        <x:v>REC-11</x:v>
      </x:c>
      <x:c r="D386" s="36" t="str">
        <x:v>台达-01</x:v>
      </x:c>
      <x:c r="E386" s="22"/>
      <x:c r="F386" s="22"/>
      <x:c r="G386" s="37"/>
      <x:c r="H386" s="22"/>
      <x:c r="I386" s="22"/>
      <x:c r="J386" s="22"/>
      <x:c r="K386" s="22"/>
      <x:c r="L386" s="6" t="str">
        <x:f>IF(COUNTA(E386:K386)=0,"",IF(OR(H386="不适用",H386="阻塞",H386="资料确认（未实测）"),"非实测记录",IF(AND(E386&lt;&gt;"",ISNUMBER(G386),G386&gt;0,H386&lt;&gt;"",I386&lt;&gt;"",J386&lt;&gt;""),"记录齐全","待补记录")))</x:f>
      </x:c>
    </x:row>
    <x:row r="387" ht="48" customHeight="1">
      <x:c r="A387" s="36" t="str">
        <x:v>REC-11/繁易</x:v>
      </x:c>
      <x:c r="B387" s="36" t="str">
        <x:v>繁易</x:v>
      </x:c>
      <x:c r="C387" s="36" t="str">
        <x:v>REC-11</x:v>
      </x:c>
      <x:c r="D387" s="36" t="str">
        <x:v>繁易-01</x:v>
      </x:c>
      <x:c r="E387" s="22"/>
      <x:c r="F387" s="22"/>
      <x:c r="G387" s="37"/>
      <x:c r="H387" s="22"/>
      <x:c r="I387" s="22"/>
      <x:c r="J387" s="22"/>
      <x:c r="K387" s="22"/>
      <x:c r="L387" s="6" t="str">
        <x:f>IF(COUNTA(E387:K387)=0,"",IF(OR(H387="不适用",H387="阻塞",H387="资料确认（未实测）"),"非实测记录",IF(AND(E387&lt;&gt;"",ISNUMBER(G387),G387&gt;0,H387&lt;&gt;"",I387&lt;&gt;"",J387&lt;&gt;""),"记录齐全","待补记录")))</x:f>
      </x:c>
    </x:row>
    <x:row r="388" ht="48" customHeight="1">
      <x:c r="A388" s="36" t="str">
        <x:v>REC-11/Elmo</x:v>
      </x:c>
      <x:c r="B388" s="36" t="str">
        <x:v>Elmo</x:v>
      </x:c>
      <x:c r="C388" s="36" t="str">
        <x:v>REC-11</x:v>
      </x:c>
      <x:c r="D388" s="36" t="str">
        <x:v>Elmo-01</x:v>
      </x:c>
      <x:c r="E388" s="22"/>
      <x:c r="F388" s="22"/>
      <x:c r="G388" s="37"/>
      <x:c r="H388" s="22"/>
      <x:c r="I388" s="22"/>
      <x:c r="J388" s="22"/>
      <x:c r="K388" s="22"/>
      <x:c r="L388" s="6" t="str">
        <x:f>IF(COUNTA(E388:K388)=0,"",IF(OR(H388="不适用",H388="阻塞",H388="资料确认（未实测）"),"非实测记录",IF(AND(E388&lt;&gt;"",ISNUMBER(G388),G388&gt;0,H388&lt;&gt;"",I388&lt;&gt;"",J388&lt;&gt;""),"记录齐全","待补记录")))</x:f>
      </x:c>
    </x:row>
    <x:row r="389" ht="48" customHeight="1">
      <x:c r="A389" s="36" t="str">
        <x:v>REC-11/KEBA（可选）</x:v>
      </x:c>
      <x:c r="B389" s="36" t="str">
        <x:v>KEBA（可选）</x:v>
      </x:c>
      <x:c r="C389" s="36" t="str">
        <x:v>REC-11</x:v>
      </x:c>
      <x:c r="D389" s="36" t="str">
        <x:v>KEBA-01</x:v>
      </x:c>
      <x:c r="E389" s="22"/>
      <x:c r="F389" s="22"/>
      <x:c r="G389" s="37"/>
      <x:c r="H389" s="22"/>
      <x:c r="I389" s="22"/>
      <x:c r="J389" s="22"/>
      <x:c r="K389" s="22"/>
      <x:c r="L389" s="6" t="str">
        <x:f>IF(COUNTA(E389:K389)=0,"",IF(OR(H389="不适用",H389="阻塞",H389="资料确认（未实测）"),"非实测记录",IF(AND(E389&lt;&gt;"",ISNUMBER(G389),G389&gt;0,H389&lt;&gt;"",I389&lt;&gt;"",J389&lt;&gt;""),"记录齐全","待补记录")))</x:f>
      </x:c>
    </x:row>
    <x:row r="390" ht="48" customHeight="1">
      <x:c r="A390" s="36" t="str">
        <x:v>REC-12/CDHD</x:v>
      </x:c>
      <x:c r="B390" s="36" t="str">
        <x:v>CDHD</x:v>
      </x:c>
      <x:c r="C390" s="36" t="str">
        <x:v>REC-12</x:v>
      </x:c>
      <x:c r="D390" s="36" t="str">
        <x:v>CDHD-01</x:v>
      </x:c>
      <x:c r="E390" s="22"/>
      <x:c r="F390" s="22"/>
      <x:c r="G390" s="37"/>
      <x:c r="H390" s="22"/>
      <x:c r="I390" s="22"/>
      <x:c r="J390" s="22"/>
      <x:c r="K390" s="22"/>
      <x:c r="L390" s="6" t="str">
        <x:f>IF(COUNTA(E390:K390)=0,"",IF(OR(H390="不适用",H390="阻塞",H390="资料确认（未实测）"),"非实测记录",IF(AND(E390&lt;&gt;"",ISNUMBER(G390),G390&gt;0,H390&lt;&gt;"",I390&lt;&gt;"",J390&lt;&gt;""),"记录齐全","待补记录")))</x:f>
      </x:c>
    </x:row>
    <x:row r="391" ht="48" customHeight="1">
      <x:c r="A391" s="36" t="str">
        <x:v>REC-12/台达</x:v>
      </x:c>
      <x:c r="B391" s="36" t="str">
        <x:v>台达</x:v>
      </x:c>
      <x:c r="C391" s="36" t="str">
        <x:v>REC-12</x:v>
      </x:c>
      <x:c r="D391" s="36" t="str">
        <x:v>台达-01</x:v>
      </x:c>
      <x:c r="E391" s="22"/>
      <x:c r="F391" s="22"/>
      <x:c r="G391" s="37"/>
      <x:c r="H391" s="22"/>
      <x:c r="I391" s="22"/>
      <x:c r="J391" s="22"/>
      <x:c r="K391" s="22"/>
      <x:c r="L391" s="6" t="str">
        <x:f>IF(COUNTA(E391:K391)=0,"",IF(OR(H391="不适用",H391="阻塞",H391="资料确认（未实测）"),"非实测记录",IF(AND(E391&lt;&gt;"",ISNUMBER(G391),G391&gt;0,H391&lt;&gt;"",I391&lt;&gt;"",J391&lt;&gt;""),"记录齐全","待补记录")))</x:f>
      </x:c>
    </x:row>
    <x:row r="392" ht="48" customHeight="1">
      <x:c r="A392" s="36" t="str">
        <x:v>REC-12/繁易</x:v>
      </x:c>
      <x:c r="B392" s="36" t="str">
        <x:v>繁易</x:v>
      </x:c>
      <x:c r="C392" s="36" t="str">
        <x:v>REC-12</x:v>
      </x:c>
      <x:c r="D392" s="36" t="str">
        <x:v>繁易-01</x:v>
      </x:c>
      <x:c r="E392" s="22"/>
      <x:c r="F392" s="22"/>
      <x:c r="G392" s="37"/>
      <x:c r="H392" s="22"/>
      <x:c r="I392" s="22"/>
      <x:c r="J392" s="22"/>
      <x:c r="K392" s="22"/>
      <x:c r="L392" s="6" t="str">
        <x:f>IF(COUNTA(E392:K392)=0,"",IF(OR(H392="不适用",H392="阻塞",H392="资料确认（未实测）"),"非实测记录",IF(AND(E392&lt;&gt;"",ISNUMBER(G392),G392&gt;0,H392&lt;&gt;"",I392&lt;&gt;"",J392&lt;&gt;""),"记录齐全","待补记录")))</x:f>
      </x:c>
    </x:row>
    <x:row r="393" ht="48" customHeight="1">
      <x:c r="A393" s="36" t="str">
        <x:v>REC-12/Elmo</x:v>
      </x:c>
      <x:c r="B393" s="36" t="str">
        <x:v>Elmo</x:v>
      </x:c>
      <x:c r="C393" s="36" t="str">
        <x:v>REC-12</x:v>
      </x:c>
      <x:c r="D393" s="36" t="str">
        <x:v>Elmo-01</x:v>
      </x:c>
      <x:c r="E393" s="22"/>
      <x:c r="F393" s="22"/>
      <x:c r="G393" s="37"/>
      <x:c r="H393" s="22"/>
      <x:c r="I393" s="22"/>
      <x:c r="J393" s="22"/>
      <x:c r="K393" s="22"/>
      <x:c r="L393" s="6" t="str">
        <x:f>IF(COUNTA(E393:K393)=0,"",IF(OR(H393="不适用",H393="阻塞",H393="资料确认（未实测）"),"非实测记录",IF(AND(E393&lt;&gt;"",ISNUMBER(G393),G393&gt;0,H393&lt;&gt;"",I393&lt;&gt;"",J393&lt;&gt;""),"记录齐全","待补记录")))</x:f>
      </x:c>
    </x:row>
    <x:row r="394" ht="48" customHeight="1">
      <x:c r="A394" s="36" t="str">
        <x:v>REC-12/KEBA（可选）</x:v>
      </x:c>
      <x:c r="B394" s="36" t="str">
        <x:v>KEBA（可选）</x:v>
      </x:c>
      <x:c r="C394" s="36" t="str">
        <x:v>REC-12</x:v>
      </x:c>
      <x:c r="D394" s="36" t="str">
        <x:v>KEBA-01</x:v>
      </x:c>
      <x:c r="E394" s="22"/>
      <x:c r="F394" s="22"/>
      <x:c r="G394" s="37"/>
      <x:c r="H394" s="22"/>
      <x:c r="I394" s="22"/>
      <x:c r="J394" s="22"/>
      <x:c r="K394" s="22"/>
      <x:c r="L394" s="6" t="str">
        <x:f>IF(COUNTA(E394:K394)=0,"",IF(OR(H394="不适用",H394="阻塞",H394="资料确认（未实测）"),"非实测记录",IF(AND(E394&lt;&gt;"",ISNUMBER(G394),G394&gt;0,H394&lt;&gt;"",I394&lt;&gt;"",J394&lt;&gt;""),"记录齐全","待补记录")))</x:f>
      </x:c>
    </x:row>
    <x:row r="395" ht="48" customHeight="1">
      <x:c r="A395" s="36" t="str">
        <x:v>REC-13/CDHD</x:v>
      </x:c>
      <x:c r="B395" s="36" t="str">
        <x:v>CDHD</x:v>
      </x:c>
      <x:c r="C395" s="36" t="str">
        <x:v>REC-13</x:v>
      </x:c>
      <x:c r="D395" s="36" t="str">
        <x:v>CDHD-01</x:v>
      </x:c>
      <x:c r="E395" s="22"/>
      <x:c r="F395" s="22"/>
      <x:c r="G395" s="37"/>
      <x:c r="H395" s="22"/>
      <x:c r="I395" s="22"/>
      <x:c r="J395" s="22"/>
      <x:c r="K395" s="22"/>
      <x:c r="L395" s="6" t="str">
        <x:f>IF(COUNTA(E395:K395)=0,"",IF(OR(H395="不适用",H395="阻塞",H395="资料确认（未实测）"),"非实测记录",IF(AND(E395&lt;&gt;"",ISNUMBER(G395),G395&gt;0,H395&lt;&gt;"",I395&lt;&gt;"",J395&lt;&gt;""),"记录齐全","待补记录")))</x:f>
      </x:c>
    </x:row>
    <x:row r="396" ht="48" customHeight="1">
      <x:c r="A396" s="36" t="str">
        <x:v>REC-13/台达</x:v>
      </x:c>
      <x:c r="B396" s="36" t="str">
        <x:v>台达</x:v>
      </x:c>
      <x:c r="C396" s="36" t="str">
        <x:v>REC-13</x:v>
      </x:c>
      <x:c r="D396" s="36" t="str">
        <x:v>台达-01</x:v>
      </x:c>
      <x:c r="E396" s="22"/>
      <x:c r="F396" s="22"/>
      <x:c r="G396" s="37"/>
      <x:c r="H396" s="22"/>
      <x:c r="I396" s="22"/>
      <x:c r="J396" s="22"/>
      <x:c r="K396" s="22"/>
      <x:c r="L396" s="6" t="str">
        <x:f>IF(COUNTA(E396:K396)=0,"",IF(OR(H396="不适用",H396="阻塞",H396="资料确认（未实测）"),"非实测记录",IF(AND(E396&lt;&gt;"",ISNUMBER(G396),G396&gt;0,H396&lt;&gt;"",I396&lt;&gt;"",J396&lt;&gt;""),"记录齐全","待补记录")))</x:f>
      </x:c>
    </x:row>
    <x:row r="397" ht="48" customHeight="1">
      <x:c r="A397" s="36" t="str">
        <x:v>REC-13/繁易</x:v>
      </x:c>
      <x:c r="B397" s="36" t="str">
        <x:v>繁易</x:v>
      </x:c>
      <x:c r="C397" s="36" t="str">
        <x:v>REC-13</x:v>
      </x:c>
      <x:c r="D397" s="36" t="str">
        <x:v>繁易-01</x:v>
      </x:c>
      <x:c r="E397" s="22"/>
      <x:c r="F397" s="22"/>
      <x:c r="G397" s="37"/>
      <x:c r="H397" s="22"/>
      <x:c r="I397" s="22"/>
      <x:c r="J397" s="22"/>
      <x:c r="K397" s="22"/>
      <x:c r="L397" s="6" t="str">
        <x:f>IF(COUNTA(E397:K397)=0,"",IF(OR(H397="不适用",H397="阻塞",H397="资料确认（未实测）"),"非实测记录",IF(AND(E397&lt;&gt;"",ISNUMBER(G397),G397&gt;0,H397&lt;&gt;"",I397&lt;&gt;"",J397&lt;&gt;""),"记录齐全","待补记录")))</x:f>
      </x:c>
    </x:row>
    <x:row r="398" ht="48" customHeight="1">
      <x:c r="A398" s="36" t="str">
        <x:v>REC-13/Elmo</x:v>
      </x:c>
      <x:c r="B398" s="36" t="str">
        <x:v>Elmo</x:v>
      </x:c>
      <x:c r="C398" s="36" t="str">
        <x:v>REC-13</x:v>
      </x:c>
      <x:c r="D398" s="36" t="str">
        <x:v>Elmo-01</x:v>
      </x:c>
      <x:c r="E398" s="22"/>
      <x:c r="F398" s="22"/>
      <x:c r="G398" s="37"/>
      <x:c r="H398" s="22"/>
      <x:c r="I398" s="22"/>
      <x:c r="J398" s="22"/>
      <x:c r="K398" s="22"/>
      <x:c r="L398" s="6" t="str">
        <x:f>IF(COUNTA(E398:K398)=0,"",IF(OR(H398="不适用",H398="阻塞",H398="资料确认（未实测）"),"非实测记录",IF(AND(E398&lt;&gt;"",ISNUMBER(G398),G398&gt;0,H398&lt;&gt;"",I398&lt;&gt;"",J398&lt;&gt;""),"记录齐全","待补记录")))</x:f>
      </x:c>
    </x:row>
    <x:row r="399" ht="48" customHeight="1">
      <x:c r="A399" s="36" t="str">
        <x:v>REC-13/KEBA（可选）</x:v>
      </x:c>
      <x:c r="B399" s="36" t="str">
        <x:v>KEBA（可选）</x:v>
      </x:c>
      <x:c r="C399" s="36" t="str">
        <x:v>REC-13</x:v>
      </x:c>
      <x:c r="D399" s="36" t="str">
        <x:v>KEBA-01</x:v>
      </x:c>
      <x:c r="E399" s="22"/>
      <x:c r="F399" s="22"/>
      <x:c r="G399" s="37"/>
      <x:c r="H399" s="22"/>
      <x:c r="I399" s="22"/>
      <x:c r="J399" s="22"/>
      <x:c r="K399" s="22"/>
      <x:c r="L399" s="6" t="str">
        <x:f>IF(COUNTA(E399:K399)=0,"",IF(OR(H399="不适用",H399="阻塞",H399="资料确认（未实测）"),"非实测记录",IF(AND(E399&lt;&gt;"",ISNUMBER(G399),G399&gt;0,H399&lt;&gt;"",I399&lt;&gt;"",J399&lt;&gt;""),"记录齐全","待补记录")))</x:f>
      </x:c>
    </x:row>
    <x:row r="400" ht="48" customHeight="1">
      <x:c r="A400" s="36" t="str">
        <x:v>REC-14/CDHD</x:v>
      </x:c>
      <x:c r="B400" s="36" t="str">
        <x:v>CDHD</x:v>
      </x:c>
      <x:c r="C400" s="36" t="str">
        <x:v>REC-14</x:v>
      </x:c>
      <x:c r="D400" s="36" t="str">
        <x:v>CDHD-01</x:v>
      </x:c>
      <x:c r="E400" s="22"/>
      <x:c r="F400" s="22"/>
      <x:c r="G400" s="37"/>
      <x:c r="H400" s="22"/>
      <x:c r="I400" s="22"/>
      <x:c r="J400" s="22"/>
      <x:c r="K400" s="22"/>
      <x:c r="L400" s="6" t="str">
        <x:f>IF(COUNTA(E400:K400)=0,"",IF(OR(H400="不适用",H400="阻塞",H400="资料确认（未实测）"),"非实测记录",IF(AND(E400&lt;&gt;"",ISNUMBER(G400),G400&gt;0,H400&lt;&gt;"",I400&lt;&gt;"",J400&lt;&gt;""),"记录齐全","待补记录")))</x:f>
      </x:c>
    </x:row>
    <x:row r="401" ht="48" customHeight="1">
      <x:c r="A401" s="36" t="str">
        <x:v>REC-14/台达</x:v>
      </x:c>
      <x:c r="B401" s="36" t="str">
        <x:v>台达</x:v>
      </x:c>
      <x:c r="C401" s="36" t="str">
        <x:v>REC-14</x:v>
      </x:c>
      <x:c r="D401" s="36" t="str">
        <x:v>台达-01</x:v>
      </x:c>
      <x:c r="E401" s="22"/>
      <x:c r="F401" s="22"/>
      <x:c r="G401" s="37"/>
      <x:c r="H401" s="22"/>
      <x:c r="I401" s="22"/>
      <x:c r="J401" s="22"/>
      <x:c r="K401" s="22"/>
      <x:c r="L401" s="6" t="str">
        <x:f>IF(COUNTA(E401:K401)=0,"",IF(OR(H401="不适用",H401="阻塞",H401="资料确认（未实测）"),"非实测记录",IF(AND(E401&lt;&gt;"",ISNUMBER(G401),G401&gt;0,H401&lt;&gt;"",I401&lt;&gt;"",J401&lt;&gt;""),"记录齐全","待补记录")))</x:f>
      </x:c>
    </x:row>
    <x:row r="402" ht="48" customHeight="1">
      <x:c r="A402" s="36" t="str">
        <x:v>REC-14/繁易</x:v>
      </x:c>
      <x:c r="B402" s="36" t="str">
        <x:v>繁易</x:v>
      </x:c>
      <x:c r="C402" s="36" t="str">
        <x:v>REC-14</x:v>
      </x:c>
      <x:c r="D402" s="36" t="str">
        <x:v>繁易-01</x:v>
      </x:c>
      <x:c r="E402" s="22"/>
      <x:c r="F402" s="22"/>
      <x:c r="G402" s="37"/>
      <x:c r="H402" s="22"/>
      <x:c r="I402" s="22"/>
      <x:c r="J402" s="22"/>
      <x:c r="K402" s="22"/>
      <x:c r="L402" s="6" t="str">
        <x:f>IF(COUNTA(E402:K402)=0,"",IF(OR(H402="不适用",H402="阻塞",H402="资料确认（未实测）"),"非实测记录",IF(AND(E402&lt;&gt;"",ISNUMBER(G402),G402&gt;0,H402&lt;&gt;"",I402&lt;&gt;"",J402&lt;&gt;""),"记录齐全","待补记录")))</x:f>
      </x:c>
    </x:row>
    <x:row r="403" ht="48" customHeight="1">
      <x:c r="A403" s="36" t="str">
        <x:v>REC-14/Elmo</x:v>
      </x:c>
      <x:c r="B403" s="36" t="str">
        <x:v>Elmo</x:v>
      </x:c>
      <x:c r="C403" s="36" t="str">
        <x:v>REC-14</x:v>
      </x:c>
      <x:c r="D403" s="36" t="str">
        <x:v>Elmo-01</x:v>
      </x:c>
      <x:c r="E403" s="22"/>
      <x:c r="F403" s="22"/>
      <x:c r="G403" s="37"/>
      <x:c r="H403" s="22"/>
      <x:c r="I403" s="22"/>
      <x:c r="J403" s="22"/>
      <x:c r="K403" s="22"/>
      <x:c r="L403" s="6" t="str">
        <x:f>IF(COUNTA(E403:K403)=0,"",IF(OR(H403="不适用",H403="阻塞",H403="资料确认（未实测）"),"非实测记录",IF(AND(E403&lt;&gt;"",ISNUMBER(G403),G403&gt;0,H403&lt;&gt;"",I403&lt;&gt;"",J403&lt;&gt;""),"记录齐全","待补记录")))</x:f>
      </x:c>
    </x:row>
    <x:row r="404" ht="48" customHeight="1">
      <x:c r="A404" s="36" t="str">
        <x:v>REC-14/KEBA（可选）</x:v>
      </x:c>
      <x:c r="B404" s="36" t="str">
        <x:v>KEBA（可选）</x:v>
      </x:c>
      <x:c r="C404" s="36" t="str">
        <x:v>REC-14</x:v>
      </x:c>
      <x:c r="D404" s="36" t="str">
        <x:v>KEBA-01</x:v>
      </x:c>
      <x:c r="E404" s="22"/>
      <x:c r="F404" s="22"/>
      <x:c r="G404" s="37"/>
      <x:c r="H404" s="22"/>
      <x:c r="I404" s="22"/>
      <x:c r="J404" s="22"/>
      <x:c r="K404" s="22"/>
      <x:c r="L404" s="6" t="str">
        <x:f>IF(COUNTA(E404:K404)=0,"",IF(OR(H404="不适用",H404="阻塞",H404="资料确认（未实测）"),"非实测记录",IF(AND(E404&lt;&gt;"",ISNUMBER(G404),G404&gt;0,H404&lt;&gt;"",I404&lt;&gt;"",J404&lt;&gt;""),"记录齐全","待补记录")))</x:f>
      </x:c>
    </x:row>
    <x:row r="405" ht="48" customHeight="1">
      <x:c r="A405" s="36" t="str">
        <x:v>ADV-01/CDHD</x:v>
      </x:c>
      <x:c r="B405" s="36" t="str">
        <x:v>CDHD</x:v>
      </x:c>
      <x:c r="C405" s="36" t="str">
        <x:v>ADV-01</x:v>
      </x:c>
      <x:c r="D405" s="36" t="str">
        <x:v>CDHD-01</x:v>
      </x:c>
      <x:c r="E405" s="22"/>
      <x:c r="F405" s="22"/>
      <x:c r="G405" s="37"/>
      <x:c r="H405" s="22"/>
      <x:c r="I405" s="22"/>
      <x:c r="J405" s="22"/>
      <x:c r="K405" s="22"/>
      <x:c r="L405" s="6" t="str">
        <x:f>IF(COUNTA(E405:K405)=0,"",IF(OR(H405="不适用",H405="阻塞",H405="资料确认（未实测）"),"非实测记录",IF(AND(E405&lt;&gt;"",ISNUMBER(G405),G405&gt;0,H405&lt;&gt;"",I405&lt;&gt;"",J405&lt;&gt;""),"记录齐全","待补记录")))</x:f>
      </x:c>
    </x:row>
    <x:row r="406" ht="48" customHeight="1">
      <x:c r="A406" s="36" t="str">
        <x:v>ADV-01/台达</x:v>
      </x:c>
      <x:c r="B406" s="36" t="str">
        <x:v>台达</x:v>
      </x:c>
      <x:c r="C406" s="36" t="str">
        <x:v>ADV-01</x:v>
      </x:c>
      <x:c r="D406" s="36" t="str">
        <x:v>台达-01</x:v>
      </x:c>
      <x:c r="E406" s="22"/>
      <x:c r="F406" s="22"/>
      <x:c r="G406" s="37"/>
      <x:c r="H406" s="22"/>
      <x:c r="I406" s="22"/>
      <x:c r="J406" s="22"/>
      <x:c r="K406" s="22"/>
      <x:c r="L406" s="6" t="str">
        <x:f>IF(COUNTA(E406:K406)=0,"",IF(OR(H406="不适用",H406="阻塞",H406="资料确认（未实测）"),"非实测记录",IF(AND(E406&lt;&gt;"",ISNUMBER(G406),G406&gt;0,H406&lt;&gt;"",I406&lt;&gt;"",J406&lt;&gt;""),"记录齐全","待补记录")))</x:f>
      </x:c>
    </x:row>
    <x:row r="407" ht="48" customHeight="1">
      <x:c r="A407" s="36" t="str">
        <x:v>ADV-01/繁易</x:v>
      </x:c>
      <x:c r="B407" s="36" t="str">
        <x:v>繁易</x:v>
      </x:c>
      <x:c r="C407" s="36" t="str">
        <x:v>ADV-01</x:v>
      </x:c>
      <x:c r="D407" s="36" t="str">
        <x:v>繁易-01</x:v>
      </x:c>
      <x:c r="E407" s="22"/>
      <x:c r="F407" s="22"/>
      <x:c r="G407" s="37"/>
      <x:c r="H407" s="22"/>
      <x:c r="I407" s="22"/>
      <x:c r="J407" s="22"/>
      <x:c r="K407" s="22"/>
      <x:c r="L407" s="6" t="str">
        <x:f>IF(COUNTA(E407:K407)=0,"",IF(OR(H407="不适用",H407="阻塞",H407="资料确认（未实测）"),"非实测记录",IF(AND(E407&lt;&gt;"",ISNUMBER(G407),G407&gt;0,H407&lt;&gt;"",I407&lt;&gt;"",J407&lt;&gt;""),"记录齐全","待补记录")))</x:f>
      </x:c>
    </x:row>
    <x:row r="408" ht="48" customHeight="1">
      <x:c r="A408" s="36" t="str">
        <x:v>ADV-01/Elmo</x:v>
      </x:c>
      <x:c r="B408" s="36" t="str">
        <x:v>Elmo</x:v>
      </x:c>
      <x:c r="C408" s="36" t="str">
        <x:v>ADV-01</x:v>
      </x:c>
      <x:c r="D408" s="36" t="str">
        <x:v>Elmo-01</x:v>
      </x:c>
      <x:c r="E408" s="22"/>
      <x:c r="F408" s="22"/>
      <x:c r="G408" s="37"/>
      <x:c r="H408" s="22"/>
      <x:c r="I408" s="22"/>
      <x:c r="J408" s="22"/>
      <x:c r="K408" s="22"/>
      <x:c r="L408" s="6" t="str">
        <x:f>IF(COUNTA(E408:K408)=0,"",IF(OR(H408="不适用",H408="阻塞",H408="资料确认（未实测）"),"非实测记录",IF(AND(E408&lt;&gt;"",ISNUMBER(G408),G408&gt;0,H408&lt;&gt;"",I408&lt;&gt;"",J408&lt;&gt;""),"记录齐全","待补记录")))</x:f>
      </x:c>
    </x:row>
    <x:row r="409" ht="48" customHeight="1">
      <x:c r="A409" s="36" t="str">
        <x:v>ADV-01/KEBA（可选）</x:v>
      </x:c>
      <x:c r="B409" s="36" t="str">
        <x:v>KEBA（可选）</x:v>
      </x:c>
      <x:c r="C409" s="36" t="str">
        <x:v>ADV-01</x:v>
      </x:c>
      <x:c r="D409" s="36" t="str">
        <x:v>KEBA-01</x:v>
      </x:c>
      <x:c r="E409" s="22"/>
      <x:c r="F409" s="22"/>
      <x:c r="G409" s="37"/>
      <x:c r="H409" s="22"/>
      <x:c r="I409" s="22"/>
      <x:c r="J409" s="22"/>
      <x:c r="K409" s="22"/>
      <x:c r="L409" s="6" t="str">
        <x:f>IF(COUNTA(E409:K409)=0,"",IF(OR(H409="不适用",H409="阻塞",H409="资料确认（未实测）"),"非实测记录",IF(AND(E409&lt;&gt;"",ISNUMBER(G409),G409&gt;0,H409&lt;&gt;"",I409&lt;&gt;"",J409&lt;&gt;""),"记录齐全","待补记录")))</x:f>
      </x:c>
    </x:row>
    <x:row r="410" ht="48" customHeight="1">
      <x:c r="A410" s="36" t="str">
        <x:v>ADV-02/CDHD</x:v>
      </x:c>
      <x:c r="B410" s="36" t="str">
        <x:v>CDHD</x:v>
      </x:c>
      <x:c r="C410" s="36" t="str">
        <x:v>ADV-02</x:v>
      </x:c>
      <x:c r="D410" s="36" t="str">
        <x:v>CDHD-01</x:v>
      </x:c>
      <x:c r="E410" s="22"/>
      <x:c r="F410" s="22"/>
      <x:c r="G410" s="37"/>
      <x:c r="H410" s="22"/>
      <x:c r="I410" s="22"/>
      <x:c r="J410" s="22"/>
      <x:c r="K410" s="22"/>
      <x:c r="L410" s="6" t="str">
        <x:f>IF(COUNTA(E410:K410)=0,"",IF(OR(H410="不适用",H410="阻塞",H410="资料确认（未实测）"),"非实测记录",IF(AND(E410&lt;&gt;"",ISNUMBER(G410),G410&gt;0,H410&lt;&gt;"",I410&lt;&gt;"",J410&lt;&gt;""),"记录齐全","待补记录")))</x:f>
      </x:c>
    </x:row>
    <x:row r="411" ht="48" customHeight="1">
      <x:c r="A411" s="36" t="str">
        <x:v>ADV-02/台达</x:v>
      </x:c>
      <x:c r="B411" s="36" t="str">
        <x:v>台达</x:v>
      </x:c>
      <x:c r="C411" s="36" t="str">
        <x:v>ADV-02</x:v>
      </x:c>
      <x:c r="D411" s="36" t="str">
        <x:v>台达-01</x:v>
      </x:c>
      <x:c r="E411" s="22"/>
      <x:c r="F411" s="22"/>
      <x:c r="G411" s="37"/>
      <x:c r="H411" s="22"/>
      <x:c r="I411" s="22"/>
      <x:c r="J411" s="22"/>
      <x:c r="K411" s="22"/>
      <x:c r="L411" s="6" t="str">
        <x:f>IF(COUNTA(E411:K411)=0,"",IF(OR(H411="不适用",H411="阻塞",H411="资料确认（未实测）"),"非实测记录",IF(AND(E411&lt;&gt;"",ISNUMBER(G411),G411&gt;0,H411&lt;&gt;"",I411&lt;&gt;"",J411&lt;&gt;""),"记录齐全","待补记录")))</x:f>
      </x:c>
    </x:row>
    <x:row r="412" ht="48" customHeight="1">
      <x:c r="A412" s="36" t="str">
        <x:v>ADV-02/繁易</x:v>
      </x:c>
      <x:c r="B412" s="36" t="str">
        <x:v>繁易</x:v>
      </x:c>
      <x:c r="C412" s="36" t="str">
        <x:v>ADV-02</x:v>
      </x:c>
      <x:c r="D412" s="36" t="str">
        <x:v>繁易-01</x:v>
      </x:c>
      <x:c r="E412" s="22"/>
      <x:c r="F412" s="22"/>
      <x:c r="G412" s="37"/>
      <x:c r="H412" s="22"/>
      <x:c r="I412" s="22"/>
      <x:c r="J412" s="22"/>
      <x:c r="K412" s="22"/>
      <x:c r="L412" s="6" t="str">
        <x:f>IF(COUNTA(E412:K412)=0,"",IF(OR(H412="不适用",H412="阻塞",H412="资料确认（未实测）"),"非实测记录",IF(AND(E412&lt;&gt;"",ISNUMBER(G412),G412&gt;0,H412&lt;&gt;"",I412&lt;&gt;"",J412&lt;&gt;""),"记录齐全","待补记录")))</x:f>
      </x:c>
    </x:row>
    <x:row r="413" ht="48" customHeight="1">
      <x:c r="A413" s="36" t="str">
        <x:v>ADV-02/Elmo</x:v>
      </x:c>
      <x:c r="B413" s="36" t="str">
        <x:v>Elmo</x:v>
      </x:c>
      <x:c r="C413" s="36" t="str">
        <x:v>ADV-02</x:v>
      </x:c>
      <x:c r="D413" s="36" t="str">
        <x:v>Elmo-01</x:v>
      </x:c>
      <x:c r="E413" s="22"/>
      <x:c r="F413" s="22"/>
      <x:c r="G413" s="37"/>
      <x:c r="H413" s="22"/>
      <x:c r="I413" s="22"/>
      <x:c r="J413" s="22"/>
      <x:c r="K413" s="22"/>
      <x:c r="L413" s="6" t="str">
        <x:f>IF(COUNTA(E413:K413)=0,"",IF(OR(H413="不适用",H413="阻塞",H413="资料确认（未实测）"),"非实测记录",IF(AND(E413&lt;&gt;"",ISNUMBER(G413),G413&gt;0,H413&lt;&gt;"",I413&lt;&gt;"",J413&lt;&gt;""),"记录齐全","待补记录")))</x:f>
      </x:c>
    </x:row>
    <x:row r="414" ht="48" customHeight="1">
      <x:c r="A414" s="36" t="str">
        <x:v>ADV-02/KEBA（可选）</x:v>
      </x:c>
      <x:c r="B414" s="36" t="str">
        <x:v>KEBA（可选）</x:v>
      </x:c>
      <x:c r="C414" s="36" t="str">
        <x:v>ADV-02</x:v>
      </x:c>
      <x:c r="D414" s="36" t="str">
        <x:v>KEBA-01</x:v>
      </x:c>
      <x:c r="E414" s="22"/>
      <x:c r="F414" s="22"/>
      <x:c r="G414" s="37"/>
      <x:c r="H414" s="22"/>
      <x:c r="I414" s="22"/>
      <x:c r="J414" s="22"/>
      <x:c r="K414" s="22"/>
      <x:c r="L414" s="6" t="str">
        <x:f>IF(COUNTA(E414:K414)=0,"",IF(OR(H414="不适用",H414="阻塞",H414="资料确认（未实测）"),"非实测记录",IF(AND(E414&lt;&gt;"",ISNUMBER(G414),G414&gt;0,H414&lt;&gt;"",I414&lt;&gt;"",J414&lt;&gt;""),"记录齐全","待补记录")))</x:f>
      </x:c>
    </x:row>
    <x:row r="415" ht="48" customHeight="1">
      <x:c r="A415" s="36" t="str">
        <x:v>ADV-03/CDHD</x:v>
      </x:c>
      <x:c r="B415" s="36" t="str">
        <x:v>CDHD</x:v>
      </x:c>
      <x:c r="C415" s="36" t="str">
        <x:v>ADV-03</x:v>
      </x:c>
      <x:c r="D415" s="36" t="str">
        <x:v>CDHD-01</x:v>
      </x:c>
      <x:c r="E415" s="22"/>
      <x:c r="F415" s="22"/>
      <x:c r="G415" s="37"/>
      <x:c r="H415" s="22"/>
      <x:c r="I415" s="22"/>
      <x:c r="J415" s="22"/>
      <x:c r="K415" s="22"/>
      <x:c r="L415" s="6" t="str">
        <x:f>IF(COUNTA(E415:K415)=0,"",IF(OR(H415="不适用",H415="阻塞",H415="资料确认（未实测）"),"非实测记录",IF(AND(E415&lt;&gt;"",ISNUMBER(G415),G415&gt;0,H415&lt;&gt;"",I415&lt;&gt;"",J415&lt;&gt;""),"记录齐全","待补记录")))</x:f>
      </x:c>
    </x:row>
    <x:row r="416" ht="48" customHeight="1">
      <x:c r="A416" s="36" t="str">
        <x:v>ADV-03/台达</x:v>
      </x:c>
      <x:c r="B416" s="36" t="str">
        <x:v>台达</x:v>
      </x:c>
      <x:c r="C416" s="36" t="str">
        <x:v>ADV-03</x:v>
      </x:c>
      <x:c r="D416" s="36" t="str">
        <x:v>台达-01</x:v>
      </x:c>
      <x:c r="E416" s="22"/>
      <x:c r="F416" s="22"/>
      <x:c r="G416" s="37"/>
      <x:c r="H416" s="22"/>
      <x:c r="I416" s="22"/>
      <x:c r="J416" s="22"/>
      <x:c r="K416" s="22"/>
      <x:c r="L416" s="6" t="str">
        <x:f>IF(COUNTA(E416:K416)=0,"",IF(OR(H416="不适用",H416="阻塞",H416="资料确认（未实测）"),"非实测记录",IF(AND(E416&lt;&gt;"",ISNUMBER(G416),G416&gt;0,H416&lt;&gt;"",I416&lt;&gt;"",J416&lt;&gt;""),"记录齐全","待补记录")))</x:f>
      </x:c>
    </x:row>
    <x:row r="417" ht="48" customHeight="1">
      <x:c r="A417" s="36" t="str">
        <x:v>ADV-03/繁易</x:v>
      </x:c>
      <x:c r="B417" s="36" t="str">
        <x:v>繁易</x:v>
      </x:c>
      <x:c r="C417" s="36" t="str">
        <x:v>ADV-03</x:v>
      </x:c>
      <x:c r="D417" s="36" t="str">
        <x:v>繁易-01</x:v>
      </x:c>
      <x:c r="E417" s="22"/>
      <x:c r="F417" s="22"/>
      <x:c r="G417" s="37"/>
      <x:c r="H417" s="22"/>
      <x:c r="I417" s="22"/>
      <x:c r="J417" s="22"/>
      <x:c r="K417" s="22"/>
      <x:c r="L417" s="6" t="str">
        <x:f>IF(COUNTA(E417:K417)=0,"",IF(OR(H417="不适用",H417="阻塞",H417="资料确认（未实测）"),"非实测记录",IF(AND(E417&lt;&gt;"",ISNUMBER(G417),G417&gt;0,H417&lt;&gt;"",I417&lt;&gt;"",J417&lt;&gt;""),"记录齐全","待补记录")))</x:f>
      </x:c>
    </x:row>
    <x:row r="418" ht="48" customHeight="1">
      <x:c r="A418" s="36" t="str">
        <x:v>ADV-03/Elmo</x:v>
      </x:c>
      <x:c r="B418" s="36" t="str">
        <x:v>Elmo</x:v>
      </x:c>
      <x:c r="C418" s="36" t="str">
        <x:v>ADV-03</x:v>
      </x:c>
      <x:c r="D418" s="36" t="str">
        <x:v>Elmo-01</x:v>
      </x:c>
      <x:c r="E418" s="22"/>
      <x:c r="F418" s="22"/>
      <x:c r="G418" s="37"/>
      <x:c r="H418" s="22"/>
      <x:c r="I418" s="22"/>
      <x:c r="J418" s="22"/>
      <x:c r="K418" s="22"/>
      <x:c r="L418" s="6" t="str">
        <x:f>IF(COUNTA(E418:K418)=0,"",IF(OR(H418="不适用",H418="阻塞",H418="资料确认（未实测）"),"非实测记录",IF(AND(E418&lt;&gt;"",ISNUMBER(G418),G418&gt;0,H418&lt;&gt;"",I418&lt;&gt;"",J418&lt;&gt;""),"记录齐全","待补记录")))</x:f>
      </x:c>
    </x:row>
    <x:row r="419" ht="48" customHeight="1">
      <x:c r="A419" s="36" t="str">
        <x:v>ADV-03/KEBA（可选）</x:v>
      </x:c>
      <x:c r="B419" s="36" t="str">
        <x:v>KEBA（可选）</x:v>
      </x:c>
      <x:c r="C419" s="36" t="str">
        <x:v>ADV-03</x:v>
      </x:c>
      <x:c r="D419" s="36" t="str">
        <x:v>KEBA-01</x:v>
      </x:c>
      <x:c r="E419" s="22"/>
      <x:c r="F419" s="22"/>
      <x:c r="G419" s="37"/>
      <x:c r="H419" s="22"/>
      <x:c r="I419" s="22"/>
      <x:c r="J419" s="22"/>
      <x:c r="K419" s="22"/>
      <x:c r="L419" s="6" t="str">
        <x:f>IF(COUNTA(E419:K419)=0,"",IF(OR(H419="不适用",H419="阻塞",H419="资料确认（未实测）"),"非实测记录",IF(AND(E419&lt;&gt;"",ISNUMBER(G419),G419&gt;0,H419&lt;&gt;"",I419&lt;&gt;"",J419&lt;&gt;""),"记录齐全","待补记录")))</x:f>
      </x:c>
    </x:row>
    <x:row r="420" ht="48" customHeight="1">
      <x:c r="A420" s="36" t="str">
        <x:v>ADV-04/CDHD</x:v>
      </x:c>
      <x:c r="B420" s="36" t="str">
        <x:v>CDHD</x:v>
      </x:c>
      <x:c r="C420" s="36" t="str">
        <x:v>ADV-04</x:v>
      </x:c>
      <x:c r="D420" s="36" t="str">
        <x:v>CDHD-01</x:v>
      </x:c>
      <x:c r="E420" s="22"/>
      <x:c r="F420" s="22"/>
      <x:c r="G420" s="37"/>
      <x:c r="H420" s="22"/>
      <x:c r="I420" s="22"/>
      <x:c r="J420" s="22"/>
      <x:c r="K420" s="22"/>
      <x:c r="L420" s="6" t="str">
        <x:f>IF(COUNTA(E420:K420)=0,"",IF(OR(H420="不适用",H420="阻塞",H420="资料确认（未实测）"),"非实测记录",IF(AND(E420&lt;&gt;"",ISNUMBER(G420),G420&gt;0,H420&lt;&gt;"",I420&lt;&gt;"",J420&lt;&gt;""),"记录齐全","待补记录")))</x:f>
      </x:c>
    </x:row>
    <x:row r="421" ht="48" customHeight="1">
      <x:c r="A421" s="36" t="str">
        <x:v>ADV-04/台达</x:v>
      </x:c>
      <x:c r="B421" s="36" t="str">
        <x:v>台达</x:v>
      </x:c>
      <x:c r="C421" s="36" t="str">
        <x:v>ADV-04</x:v>
      </x:c>
      <x:c r="D421" s="36" t="str">
        <x:v>台达-01</x:v>
      </x:c>
      <x:c r="E421" s="22"/>
      <x:c r="F421" s="22"/>
      <x:c r="G421" s="37"/>
      <x:c r="H421" s="22"/>
      <x:c r="I421" s="22"/>
      <x:c r="J421" s="22"/>
      <x:c r="K421" s="22"/>
      <x:c r="L421" s="6" t="str">
        <x:f>IF(COUNTA(E421:K421)=0,"",IF(OR(H421="不适用",H421="阻塞",H421="资料确认（未实测）"),"非实测记录",IF(AND(E421&lt;&gt;"",ISNUMBER(G421),G421&gt;0,H421&lt;&gt;"",I421&lt;&gt;"",J421&lt;&gt;""),"记录齐全","待补记录")))</x:f>
      </x:c>
    </x:row>
    <x:row r="422" ht="48" customHeight="1">
      <x:c r="A422" s="36" t="str">
        <x:v>ADV-04/繁易</x:v>
      </x:c>
      <x:c r="B422" s="36" t="str">
        <x:v>繁易</x:v>
      </x:c>
      <x:c r="C422" s="36" t="str">
        <x:v>ADV-04</x:v>
      </x:c>
      <x:c r="D422" s="36" t="str">
        <x:v>繁易-01</x:v>
      </x:c>
      <x:c r="E422" s="22"/>
      <x:c r="F422" s="22"/>
      <x:c r="G422" s="37"/>
      <x:c r="H422" s="22"/>
      <x:c r="I422" s="22"/>
      <x:c r="J422" s="22"/>
      <x:c r="K422" s="22"/>
      <x:c r="L422" s="6" t="str">
        <x:f>IF(COUNTA(E422:K422)=0,"",IF(OR(H422="不适用",H422="阻塞",H422="资料确认（未实测）"),"非实测记录",IF(AND(E422&lt;&gt;"",ISNUMBER(G422),G422&gt;0,H422&lt;&gt;"",I422&lt;&gt;"",J422&lt;&gt;""),"记录齐全","待补记录")))</x:f>
      </x:c>
    </x:row>
    <x:row r="423" ht="48" customHeight="1">
      <x:c r="A423" s="36" t="str">
        <x:v>ADV-04/Elmo</x:v>
      </x:c>
      <x:c r="B423" s="36" t="str">
        <x:v>Elmo</x:v>
      </x:c>
      <x:c r="C423" s="36" t="str">
        <x:v>ADV-04</x:v>
      </x:c>
      <x:c r="D423" s="36" t="str">
        <x:v>Elmo-01</x:v>
      </x:c>
      <x:c r="E423" s="22"/>
      <x:c r="F423" s="22"/>
      <x:c r="G423" s="37"/>
      <x:c r="H423" s="22"/>
      <x:c r="I423" s="22"/>
      <x:c r="J423" s="22"/>
      <x:c r="K423" s="22"/>
      <x:c r="L423" s="6" t="str">
        <x:f>IF(COUNTA(E423:K423)=0,"",IF(OR(H423="不适用",H423="阻塞",H423="资料确认（未实测）"),"非实测记录",IF(AND(E423&lt;&gt;"",ISNUMBER(G423),G423&gt;0,H423&lt;&gt;"",I423&lt;&gt;"",J423&lt;&gt;""),"记录齐全","待补记录")))</x:f>
      </x:c>
    </x:row>
    <x:row r="424" ht="48" customHeight="1">
      <x:c r="A424" s="36" t="str">
        <x:v>ADV-04/KEBA（可选）</x:v>
      </x:c>
      <x:c r="B424" s="36" t="str">
        <x:v>KEBA（可选）</x:v>
      </x:c>
      <x:c r="C424" s="36" t="str">
        <x:v>ADV-04</x:v>
      </x:c>
      <x:c r="D424" s="36" t="str">
        <x:v>KEBA-01</x:v>
      </x:c>
      <x:c r="E424" s="22"/>
      <x:c r="F424" s="22"/>
      <x:c r="G424" s="37"/>
      <x:c r="H424" s="22"/>
      <x:c r="I424" s="22"/>
      <x:c r="J424" s="22"/>
      <x:c r="K424" s="22"/>
      <x:c r="L424" s="6" t="str">
        <x:f>IF(COUNTA(E424:K424)=0,"",IF(OR(H424="不适用",H424="阻塞",H424="资料确认（未实测）"),"非实测记录",IF(AND(E424&lt;&gt;"",ISNUMBER(G424),G424&gt;0,H424&lt;&gt;"",I424&lt;&gt;"",J424&lt;&gt;""),"记录齐全","待补记录")))</x:f>
      </x:c>
    </x:row>
    <x:row r="425" ht="48" customHeight="1">
      <x:c r="A425" s="36" t="str">
        <x:v>ADV-05/CDHD</x:v>
      </x:c>
      <x:c r="B425" s="36" t="str">
        <x:v>CDHD</x:v>
      </x:c>
      <x:c r="C425" s="36" t="str">
        <x:v>ADV-05</x:v>
      </x:c>
      <x:c r="D425" s="36" t="str">
        <x:v>CDHD-01</x:v>
      </x:c>
      <x:c r="E425" s="22"/>
      <x:c r="F425" s="22"/>
      <x:c r="G425" s="37"/>
      <x:c r="H425" s="22"/>
      <x:c r="I425" s="22"/>
      <x:c r="J425" s="22"/>
      <x:c r="K425" s="22"/>
      <x:c r="L425" s="6" t="str">
        <x:f>IF(COUNTA(E425:K425)=0,"",IF(OR(H425="不适用",H425="阻塞",H425="资料确认（未实测）"),"非实测记录",IF(AND(E425&lt;&gt;"",ISNUMBER(G425),G425&gt;0,H425&lt;&gt;"",I425&lt;&gt;"",J425&lt;&gt;""),"记录齐全","待补记录")))</x:f>
      </x:c>
    </x:row>
    <x:row r="426" ht="48" customHeight="1">
      <x:c r="A426" s="36" t="str">
        <x:v>ADV-05/台达</x:v>
      </x:c>
      <x:c r="B426" s="36" t="str">
        <x:v>台达</x:v>
      </x:c>
      <x:c r="C426" s="36" t="str">
        <x:v>ADV-05</x:v>
      </x:c>
      <x:c r="D426" s="36" t="str">
        <x:v>台达-01</x:v>
      </x:c>
      <x:c r="E426" s="22"/>
      <x:c r="F426" s="22"/>
      <x:c r="G426" s="37"/>
      <x:c r="H426" s="22"/>
      <x:c r="I426" s="22"/>
      <x:c r="J426" s="22"/>
      <x:c r="K426" s="22"/>
      <x:c r="L426" s="6" t="str">
        <x:f>IF(COUNTA(E426:K426)=0,"",IF(OR(H426="不适用",H426="阻塞",H426="资料确认（未实测）"),"非实测记录",IF(AND(E426&lt;&gt;"",ISNUMBER(G426),G426&gt;0,H426&lt;&gt;"",I426&lt;&gt;"",J426&lt;&gt;""),"记录齐全","待补记录")))</x:f>
      </x:c>
    </x:row>
    <x:row r="427" ht="48" customHeight="1">
      <x:c r="A427" s="36" t="str">
        <x:v>ADV-05/繁易</x:v>
      </x:c>
      <x:c r="B427" s="36" t="str">
        <x:v>繁易</x:v>
      </x:c>
      <x:c r="C427" s="36" t="str">
        <x:v>ADV-05</x:v>
      </x:c>
      <x:c r="D427" s="36" t="str">
        <x:v>繁易-01</x:v>
      </x:c>
      <x:c r="E427" s="22"/>
      <x:c r="F427" s="22"/>
      <x:c r="G427" s="37"/>
      <x:c r="H427" s="22"/>
      <x:c r="I427" s="22"/>
      <x:c r="J427" s="22"/>
      <x:c r="K427" s="22"/>
      <x:c r="L427" s="6" t="str">
        <x:f>IF(COUNTA(E427:K427)=0,"",IF(OR(H427="不适用",H427="阻塞",H427="资料确认（未实测）"),"非实测记录",IF(AND(E427&lt;&gt;"",ISNUMBER(G427),G427&gt;0,H427&lt;&gt;"",I427&lt;&gt;"",J427&lt;&gt;""),"记录齐全","待补记录")))</x:f>
      </x:c>
    </x:row>
    <x:row r="428" ht="48" customHeight="1">
      <x:c r="A428" s="36" t="str">
        <x:v>ADV-05/Elmo</x:v>
      </x:c>
      <x:c r="B428" s="36" t="str">
        <x:v>Elmo</x:v>
      </x:c>
      <x:c r="C428" s="36" t="str">
        <x:v>ADV-05</x:v>
      </x:c>
      <x:c r="D428" s="36" t="str">
        <x:v>Elmo-01</x:v>
      </x:c>
      <x:c r="E428" s="22"/>
      <x:c r="F428" s="22"/>
      <x:c r="G428" s="37"/>
      <x:c r="H428" s="22"/>
      <x:c r="I428" s="22"/>
      <x:c r="J428" s="22"/>
      <x:c r="K428" s="22"/>
      <x:c r="L428" s="6" t="str">
        <x:f>IF(COUNTA(E428:K428)=0,"",IF(OR(H428="不适用",H428="阻塞",H428="资料确认（未实测）"),"非实测记录",IF(AND(E428&lt;&gt;"",ISNUMBER(G428),G428&gt;0,H428&lt;&gt;"",I428&lt;&gt;"",J428&lt;&gt;""),"记录齐全","待补记录")))</x:f>
      </x:c>
    </x:row>
    <x:row r="429" ht="48" customHeight="1">
      <x:c r="A429" s="36" t="str">
        <x:v>ADV-05/KEBA（可选）</x:v>
      </x:c>
      <x:c r="B429" s="36" t="str">
        <x:v>KEBA（可选）</x:v>
      </x:c>
      <x:c r="C429" s="36" t="str">
        <x:v>ADV-05</x:v>
      </x:c>
      <x:c r="D429" s="36" t="str">
        <x:v>KEBA-01</x:v>
      </x:c>
      <x:c r="E429" s="22"/>
      <x:c r="F429" s="22"/>
      <x:c r="G429" s="37"/>
      <x:c r="H429" s="22"/>
      <x:c r="I429" s="22"/>
      <x:c r="J429" s="22"/>
      <x:c r="K429" s="22"/>
      <x:c r="L429" s="6" t="str">
        <x:f>IF(COUNTA(E429:K429)=0,"",IF(OR(H429="不适用",H429="阻塞",H429="资料确认（未实测）"),"非实测记录",IF(AND(E429&lt;&gt;"",ISNUMBER(G429),G429&gt;0,H429&lt;&gt;"",I429&lt;&gt;"",J429&lt;&gt;""),"记录齐全","待补记录")))</x:f>
      </x:c>
    </x:row>
    <x:row r="430" ht="48" customHeight="1">
      <x:c r="A430" s="36" t="str">
        <x:v>ADV-06/CDHD</x:v>
      </x:c>
      <x:c r="B430" s="36" t="str">
        <x:v>CDHD</x:v>
      </x:c>
      <x:c r="C430" s="36" t="str">
        <x:v>ADV-06</x:v>
      </x:c>
      <x:c r="D430" s="36" t="str">
        <x:v>CDHD-01</x:v>
      </x:c>
      <x:c r="E430" s="22"/>
      <x:c r="F430" s="22"/>
      <x:c r="G430" s="37"/>
      <x:c r="H430" s="22"/>
      <x:c r="I430" s="22"/>
      <x:c r="J430" s="22"/>
      <x:c r="K430" s="22"/>
      <x:c r="L430" s="6" t="str">
        <x:f>IF(COUNTA(E430:K430)=0,"",IF(OR(H430="不适用",H430="阻塞",H430="资料确认（未实测）"),"非实测记录",IF(AND(E430&lt;&gt;"",ISNUMBER(G430),G430&gt;0,H430&lt;&gt;"",I430&lt;&gt;"",J430&lt;&gt;""),"记录齐全","待补记录")))</x:f>
      </x:c>
    </x:row>
    <x:row r="431" ht="48" customHeight="1">
      <x:c r="A431" s="36" t="str">
        <x:v>ADV-06/台达</x:v>
      </x:c>
      <x:c r="B431" s="36" t="str">
        <x:v>台达</x:v>
      </x:c>
      <x:c r="C431" s="36" t="str">
        <x:v>ADV-06</x:v>
      </x:c>
      <x:c r="D431" s="36" t="str">
        <x:v>台达-01</x:v>
      </x:c>
      <x:c r="E431" s="22"/>
      <x:c r="F431" s="22"/>
      <x:c r="G431" s="37"/>
      <x:c r="H431" s="22"/>
      <x:c r="I431" s="22"/>
      <x:c r="J431" s="22"/>
      <x:c r="K431" s="22"/>
      <x:c r="L431" s="6" t="str">
        <x:f>IF(COUNTA(E431:K431)=0,"",IF(OR(H431="不适用",H431="阻塞",H431="资料确认（未实测）"),"非实测记录",IF(AND(E431&lt;&gt;"",ISNUMBER(G431),G431&gt;0,H431&lt;&gt;"",I431&lt;&gt;"",J431&lt;&gt;""),"记录齐全","待补记录")))</x:f>
      </x:c>
    </x:row>
    <x:row r="432" ht="48" customHeight="1">
      <x:c r="A432" s="36" t="str">
        <x:v>ADV-06/繁易</x:v>
      </x:c>
      <x:c r="B432" s="36" t="str">
        <x:v>繁易</x:v>
      </x:c>
      <x:c r="C432" s="36" t="str">
        <x:v>ADV-06</x:v>
      </x:c>
      <x:c r="D432" s="36" t="str">
        <x:v>繁易-01</x:v>
      </x:c>
      <x:c r="E432" s="22"/>
      <x:c r="F432" s="22"/>
      <x:c r="G432" s="37"/>
      <x:c r="H432" s="22"/>
      <x:c r="I432" s="22"/>
      <x:c r="J432" s="22"/>
      <x:c r="K432" s="22"/>
      <x:c r="L432" s="6" t="str">
        <x:f>IF(COUNTA(E432:K432)=0,"",IF(OR(H432="不适用",H432="阻塞",H432="资料确认（未实测）"),"非实测记录",IF(AND(E432&lt;&gt;"",ISNUMBER(G432),G432&gt;0,H432&lt;&gt;"",I432&lt;&gt;"",J432&lt;&gt;""),"记录齐全","待补记录")))</x:f>
      </x:c>
    </x:row>
    <x:row r="433" ht="48" customHeight="1">
      <x:c r="A433" s="36" t="str">
        <x:v>ADV-06/Elmo</x:v>
      </x:c>
      <x:c r="B433" s="36" t="str">
        <x:v>Elmo</x:v>
      </x:c>
      <x:c r="C433" s="36" t="str">
        <x:v>ADV-06</x:v>
      </x:c>
      <x:c r="D433" s="36" t="str">
        <x:v>Elmo-01</x:v>
      </x:c>
      <x:c r="E433" s="22"/>
      <x:c r="F433" s="22"/>
      <x:c r="G433" s="37"/>
      <x:c r="H433" s="22"/>
      <x:c r="I433" s="22"/>
      <x:c r="J433" s="22"/>
      <x:c r="K433" s="22"/>
      <x:c r="L433" s="6" t="str">
        <x:f>IF(COUNTA(E433:K433)=0,"",IF(OR(H433="不适用",H433="阻塞",H433="资料确认（未实测）"),"非实测记录",IF(AND(E433&lt;&gt;"",ISNUMBER(G433),G433&gt;0,H433&lt;&gt;"",I433&lt;&gt;"",J433&lt;&gt;""),"记录齐全","待补记录")))</x:f>
      </x:c>
    </x:row>
    <x:row r="434" ht="48" customHeight="1">
      <x:c r="A434" s="36" t="str">
        <x:v>ADV-06/KEBA（可选）</x:v>
      </x:c>
      <x:c r="B434" s="36" t="str">
        <x:v>KEBA（可选）</x:v>
      </x:c>
      <x:c r="C434" s="36" t="str">
        <x:v>ADV-06</x:v>
      </x:c>
      <x:c r="D434" s="36" t="str">
        <x:v>KEBA-01</x:v>
      </x:c>
      <x:c r="E434" s="22"/>
      <x:c r="F434" s="22"/>
      <x:c r="G434" s="37"/>
      <x:c r="H434" s="22"/>
      <x:c r="I434" s="22"/>
      <x:c r="J434" s="22"/>
      <x:c r="K434" s="22"/>
      <x:c r="L434" s="6" t="str">
        <x:f>IF(COUNTA(E434:K434)=0,"",IF(OR(H434="不适用",H434="阻塞",H434="资料确认（未实测）"),"非实测记录",IF(AND(E434&lt;&gt;"",ISNUMBER(G434),G434&gt;0,H434&lt;&gt;"",I434&lt;&gt;"",J434&lt;&gt;""),"记录齐全","待补记录")))</x:f>
      </x:c>
    </x:row>
    <x:row r="435" ht="48" customHeight="1">
      <x:c r="A435" s="36" t="str">
        <x:v>ADV-07/CDHD</x:v>
      </x:c>
      <x:c r="B435" s="36" t="str">
        <x:v>CDHD</x:v>
      </x:c>
      <x:c r="C435" s="36" t="str">
        <x:v>ADV-07</x:v>
      </x:c>
      <x:c r="D435" s="36" t="str">
        <x:v>CDHD-01</x:v>
      </x:c>
      <x:c r="E435" s="22"/>
      <x:c r="F435" s="22"/>
      <x:c r="G435" s="37"/>
      <x:c r="H435" s="22"/>
      <x:c r="I435" s="22"/>
      <x:c r="J435" s="22"/>
      <x:c r="K435" s="22"/>
      <x:c r="L435" s="6" t="str">
        <x:f>IF(COUNTA(E435:K435)=0,"",IF(OR(H435="不适用",H435="阻塞",H435="资料确认（未实测）"),"非实测记录",IF(AND(E435&lt;&gt;"",ISNUMBER(G435),G435&gt;0,H435&lt;&gt;"",I435&lt;&gt;"",J435&lt;&gt;""),"记录齐全","待补记录")))</x:f>
      </x:c>
    </x:row>
    <x:row r="436" ht="48" customHeight="1">
      <x:c r="A436" s="36" t="str">
        <x:v>ADV-07/台达</x:v>
      </x:c>
      <x:c r="B436" s="36" t="str">
        <x:v>台达</x:v>
      </x:c>
      <x:c r="C436" s="36" t="str">
        <x:v>ADV-07</x:v>
      </x:c>
      <x:c r="D436" s="36" t="str">
        <x:v>台达-01</x:v>
      </x:c>
      <x:c r="E436" s="22"/>
      <x:c r="F436" s="22"/>
      <x:c r="G436" s="37"/>
      <x:c r="H436" s="22"/>
      <x:c r="I436" s="22"/>
      <x:c r="J436" s="22"/>
      <x:c r="K436" s="22"/>
      <x:c r="L436" s="6" t="str">
        <x:f>IF(COUNTA(E436:K436)=0,"",IF(OR(H436="不适用",H436="阻塞",H436="资料确认（未实测）"),"非实测记录",IF(AND(E436&lt;&gt;"",ISNUMBER(G436),G436&gt;0,H436&lt;&gt;"",I436&lt;&gt;"",J436&lt;&gt;""),"记录齐全","待补记录")))</x:f>
      </x:c>
    </x:row>
    <x:row r="437" ht="48" customHeight="1">
      <x:c r="A437" s="36" t="str">
        <x:v>ADV-07/繁易</x:v>
      </x:c>
      <x:c r="B437" s="36" t="str">
        <x:v>繁易</x:v>
      </x:c>
      <x:c r="C437" s="36" t="str">
        <x:v>ADV-07</x:v>
      </x:c>
      <x:c r="D437" s="36" t="str">
        <x:v>繁易-01</x:v>
      </x:c>
      <x:c r="E437" s="22"/>
      <x:c r="F437" s="22"/>
      <x:c r="G437" s="37"/>
      <x:c r="H437" s="22"/>
      <x:c r="I437" s="22"/>
      <x:c r="J437" s="22"/>
      <x:c r="K437" s="22"/>
      <x:c r="L437" s="6" t="str">
        <x:f>IF(COUNTA(E437:K437)=0,"",IF(OR(H437="不适用",H437="阻塞",H437="资料确认（未实测）"),"非实测记录",IF(AND(E437&lt;&gt;"",ISNUMBER(G437),G437&gt;0,H437&lt;&gt;"",I437&lt;&gt;"",J437&lt;&gt;""),"记录齐全","待补记录")))</x:f>
      </x:c>
    </x:row>
    <x:row r="438" ht="48" customHeight="1">
      <x:c r="A438" s="36" t="str">
        <x:v>ADV-07/Elmo</x:v>
      </x:c>
      <x:c r="B438" s="36" t="str">
        <x:v>Elmo</x:v>
      </x:c>
      <x:c r="C438" s="36" t="str">
        <x:v>ADV-07</x:v>
      </x:c>
      <x:c r="D438" s="36" t="str">
        <x:v>Elmo-01</x:v>
      </x:c>
      <x:c r="E438" s="22"/>
      <x:c r="F438" s="22"/>
      <x:c r="G438" s="37"/>
      <x:c r="H438" s="22"/>
      <x:c r="I438" s="22"/>
      <x:c r="J438" s="22"/>
      <x:c r="K438" s="22"/>
      <x:c r="L438" s="6" t="str">
        <x:f>IF(COUNTA(E438:K438)=0,"",IF(OR(H438="不适用",H438="阻塞",H438="资料确认（未实测）"),"非实测记录",IF(AND(E438&lt;&gt;"",ISNUMBER(G438),G438&gt;0,H438&lt;&gt;"",I438&lt;&gt;"",J438&lt;&gt;""),"记录齐全","待补记录")))</x:f>
      </x:c>
    </x:row>
    <x:row r="439" ht="48" customHeight="1">
      <x:c r="A439" s="36" t="str">
        <x:v>ADV-07/KEBA（可选）</x:v>
      </x:c>
      <x:c r="B439" s="36" t="str">
        <x:v>KEBA（可选）</x:v>
      </x:c>
      <x:c r="C439" s="36" t="str">
        <x:v>ADV-07</x:v>
      </x:c>
      <x:c r="D439" s="36" t="str">
        <x:v>KEBA-01</x:v>
      </x:c>
      <x:c r="E439" s="22"/>
      <x:c r="F439" s="22"/>
      <x:c r="G439" s="37"/>
      <x:c r="H439" s="22"/>
      <x:c r="I439" s="22"/>
      <x:c r="J439" s="22"/>
      <x:c r="K439" s="22"/>
      <x:c r="L439" s="6" t="str">
        <x:f>IF(COUNTA(E439:K439)=0,"",IF(OR(H439="不适用",H439="阻塞",H439="资料确认（未实测）"),"非实测记录",IF(AND(E439&lt;&gt;"",ISNUMBER(G439),G439&gt;0,H439&lt;&gt;"",I439&lt;&gt;"",J439&lt;&gt;""),"记录齐全","待补记录")))</x:f>
      </x:c>
    </x:row>
    <x:row r="440" ht="48" customHeight="1">
      <x:c r="A440" s="36" t="str">
        <x:v>ADV-08/CDHD</x:v>
      </x:c>
      <x:c r="B440" s="36" t="str">
        <x:v>CDHD</x:v>
      </x:c>
      <x:c r="C440" s="36" t="str">
        <x:v>ADV-08</x:v>
      </x:c>
      <x:c r="D440" s="36" t="str">
        <x:v>CDHD-01</x:v>
      </x:c>
      <x:c r="E440" s="22"/>
      <x:c r="F440" s="22"/>
      <x:c r="G440" s="37"/>
      <x:c r="H440" s="22"/>
      <x:c r="I440" s="22"/>
      <x:c r="J440" s="22"/>
      <x:c r="K440" s="22"/>
      <x:c r="L440" s="6" t="str">
        <x:f>IF(COUNTA(E440:K440)=0,"",IF(OR(H440="不适用",H440="阻塞",H440="资料确认（未实测）"),"非实测记录",IF(AND(E440&lt;&gt;"",ISNUMBER(G440),G440&gt;0,H440&lt;&gt;"",I440&lt;&gt;"",J440&lt;&gt;""),"记录齐全","待补记录")))</x:f>
      </x:c>
    </x:row>
    <x:row r="441" ht="48" customHeight="1">
      <x:c r="A441" s="36" t="str">
        <x:v>ADV-08/台达</x:v>
      </x:c>
      <x:c r="B441" s="36" t="str">
        <x:v>台达</x:v>
      </x:c>
      <x:c r="C441" s="36" t="str">
        <x:v>ADV-08</x:v>
      </x:c>
      <x:c r="D441" s="36" t="str">
        <x:v>台达-01</x:v>
      </x:c>
      <x:c r="E441" s="22"/>
      <x:c r="F441" s="22"/>
      <x:c r="G441" s="37"/>
      <x:c r="H441" s="22"/>
      <x:c r="I441" s="22"/>
      <x:c r="J441" s="22"/>
      <x:c r="K441" s="22"/>
      <x:c r="L441" s="6" t="str">
        <x:f>IF(COUNTA(E441:K441)=0,"",IF(OR(H441="不适用",H441="阻塞",H441="资料确认（未实测）"),"非实测记录",IF(AND(E441&lt;&gt;"",ISNUMBER(G441),G441&gt;0,H441&lt;&gt;"",I441&lt;&gt;"",J441&lt;&gt;""),"记录齐全","待补记录")))</x:f>
      </x:c>
    </x:row>
    <x:row r="442" ht="48" customHeight="1">
      <x:c r="A442" s="36" t="str">
        <x:v>ADV-08/繁易</x:v>
      </x:c>
      <x:c r="B442" s="36" t="str">
        <x:v>繁易</x:v>
      </x:c>
      <x:c r="C442" s="36" t="str">
        <x:v>ADV-08</x:v>
      </x:c>
      <x:c r="D442" s="36" t="str">
        <x:v>繁易-01</x:v>
      </x:c>
      <x:c r="E442" s="22"/>
      <x:c r="F442" s="22"/>
      <x:c r="G442" s="37"/>
      <x:c r="H442" s="22"/>
      <x:c r="I442" s="22"/>
      <x:c r="J442" s="22"/>
      <x:c r="K442" s="22"/>
      <x:c r="L442" s="6" t="str">
        <x:f>IF(COUNTA(E442:K442)=0,"",IF(OR(H442="不适用",H442="阻塞",H442="资料确认（未实测）"),"非实测记录",IF(AND(E442&lt;&gt;"",ISNUMBER(G442),G442&gt;0,H442&lt;&gt;"",I442&lt;&gt;"",J442&lt;&gt;""),"记录齐全","待补记录")))</x:f>
      </x:c>
    </x:row>
    <x:row r="443" ht="48" customHeight="1">
      <x:c r="A443" s="36" t="str">
        <x:v>ADV-08/Elmo</x:v>
      </x:c>
      <x:c r="B443" s="36" t="str">
        <x:v>Elmo</x:v>
      </x:c>
      <x:c r="C443" s="36" t="str">
        <x:v>ADV-08</x:v>
      </x:c>
      <x:c r="D443" s="36" t="str">
        <x:v>Elmo-01</x:v>
      </x:c>
      <x:c r="E443" s="22"/>
      <x:c r="F443" s="22"/>
      <x:c r="G443" s="37"/>
      <x:c r="H443" s="22"/>
      <x:c r="I443" s="22"/>
      <x:c r="J443" s="22"/>
      <x:c r="K443" s="22"/>
      <x:c r="L443" s="6" t="str">
        <x:f>IF(COUNTA(E443:K443)=0,"",IF(OR(H443="不适用",H443="阻塞",H443="资料确认（未实测）"),"非实测记录",IF(AND(E443&lt;&gt;"",ISNUMBER(G443),G443&gt;0,H443&lt;&gt;"",I443&lt;&gt;"",J443&lt;&gt;""),"记录齐全","待补记录")))</x:f>
      </x:c>
    </x:row>
    <x:row r="444" ht="48" customHeight="1">
      <x:c r="A444" s="36" t="str">
        <x:v>ADV-08/KEBA（可选）</x:v>
      </x:c>
      <x:c r="B444" s="36" t="str">
        <x:v>KEBA（可选）</x:v>
      </x:c>
      <x:c r="C444" s="36" t="str">
        <x:v>ADV-08</x:v>
      </x:c>
      <x:c r="D444" s="36" t="str">
        <x:v>KEBA-01</x:v>
      </x:c>
      <x:c r="E444" s="22"/>
      <x:c r="F444" s="22"/>
      <x:c r="G444" s="37"/>
      <x:c r="H444" s="22"/>
      <x:c r="I444" s="22"/>
      <x:c r="J444" s="22"/>
      <x:c r="K444" s="22"/>
      <x:c r="L444" s="6" t="str">
        <x:f>IF(COUNTA(E444:K444)=0,"",IF(OR(H444="不适用",H444="阻塞",H444="资料确认（未实测）"),"非实测记录",IF(AND(E444&lt;&gt;"",ISNUMBER(G444),G444&gt;0,H444&lt;&gt;"",I444&lt;&gt;"",J444&lt;&gt;""),"记录齐全","待补记录")))</x:f>
      </x:c>
    </x:row>
    <x:row r="445" ht="48" customHeight="1">
      <x:c r="A445" s="36" t="str">
        <x:v>LIF-01/CDHD</x:v>
      </x:c>
      <x:c r="B445" s="36" t="str">
        <x:v>CDHD</x:v>
      </x:c>
      <x:c r="C445" s="36" t="str">
        <x:v>LIF-01</x:v>
      </x:c>
      <x:c r="D445" s="36" t="str">
        <x:v>CDHD-01</x:v>
      </x:c>
      <x:c r="E445" s="22"/>
      <x:c r="F445" s="22"/>
      <x:c r="G445" s="37"/>
      <x:c r="H445" s="22"/>
      <x:c r="I445" s="22"/>
      <x:c r="J445" s="22"/>
      <x:c r="K445" s="22"/>
      <x:c r="L445" s="6" t="str">
        <x:f>IF(COUNTA(E445:K445)=0,"",IF(OR(H445="不适用",H445="阻塞",H445="资料确认（未实测）"),"非实测记录",IF(AND(E445&lt;&gt;"",ISNUMBER(G445),G445&gt;0,H445&lt;&gt;"",I445&lt;&gt;"",J445&lt;&gt;""),"记录齐全","待补记录")))</x:f>
      </x:c>
    </x:row>
    <x:row r="446" ht="48" customHeight="1">
      <x:c r="A446" s="36" t="str">
        <x:v>LIF-01/台达</x:v>
      </x:c>
      <x:c r="B446" s="36" t="str">
        <x:v>台达</x:v>
      </x:c>
      <x:c r="C446" s="36" t="str">
        <x:v>LIF-01</x:v>
      </x:c>
      <x:c r="D446" s="36" t="str">
        <x:v>台达-01</x:v>
      </x:c>
      <x:c r="E446" s="22"/>
      <x:c r="F446" s="22"/>
      <x:c r="G446" s="37"/>
      <x:c r="H446" s="22"/>
      <x:c r="I446" s="22"/>
      <x:c r="J446" s="22"/>
      <x:c r="K446" s="22"/>
      <x:c r="L446" s="6" t="str">
        <x:f>IF(COUNTA(E446:K446)=0,"",IF(OR(H446="不适用",H446="阻塞",H446="资料确认（未实测）"),"非实测记录",IF(AND(E446&lt;&gt;"",ISNUMBER(G446),G446&gt;0,H446&lt;&gt;"",I446&lt;&gt;"",J446&lt;&gt;""),"记录齐全","待补记录")))</x:f>
      </x:c>
    </x:row>
    <x:row r="447" ht="48" customHeight="1">
      <x:c r="A447" s="36" t="str">
        <x:v>LIF-01/繁易</x:v>
      </x:c>
      <x:c r="B447" s="36" t="str">
        <x:v>繁易</x:v>
      </x:c>
      <x:c r="C447" s="36" t="str">
        <x:v>LIF-01</x:v>
      </x:c>
      <x:c r="D447" s="36" t="str">
        <x:v>繁易-01</x:v>
      </x:c>
      <x:c r="E447" s="22"/>
      <x:c r="F447" s="22"/>
      <x:c r="G447" s="37"/>
      <x:c r="H447" s="22"/>
      <x:c r="I447" s="22"/>
      <x:c r="J447" s="22"/>
      <x:c r="K447" s="22"/>
      <x:c r="L447" s="6" t="str">
        <x:f>IF(COUNTA(E447:K447)=0,"",IF(OR(H447="不适用",H447="阻塞",H447="资料确认（未实测）"),"非实测记录",IF(AND(E447&lt;&gt;"",ISNUMBER(G447),G447&gt;0,H447&lt;&gt;"",I447&lt;&gt;"",J447&lt;&gt;""),"记录齐全","待补记录")))</x:f>
      </x:c>
    </x:row>
    <x:row r="448" ht="48" customHeight="1">
      <x:c r="A448" s="36" t="str">
        <x:v>LIF-01/Elmo</x:v>
      </x:c>
      <x:c r="B448" s="36" t="str">
        <x:v>Elmo</x:v>
      </x:c>
      <x:c r="C448" s="36" t="str">
        <x:v>LIF-01</x:v>
      </x:c>
      <x:c r="D448" s="36" t="str">
        <x:v>Elmo-01</x:v>
      </x:c>
      <x:c r="E448" s="22"/>
      <x:c r="F448" s="22"/>
      <x:c r="G448" s="37"/>
      <x:c r="H448" s="22"/>
      <x:c r="I448" s="22"/>
      <x:c r="J448" s="22"/>
      <x:c r="K448" s="22"/>
      <x:c r="L448" s="6" t="str">
        <x:f>IF(COUNTA(E448:K448)=0,"",IF(OR(H448="不适用",H448="阻塞",H448="资料确认（未实测）"),"非实测记录",IF(AND(E448&lt;&gt;"",ISNUMBER(G448),G448&gt;0,H448&lt;&gt;"",I448&lt;&gt;"",J448&lt;&gt;""),"记录齐全","待补记录")))</x:f>
      </x:c>
    </x:row>
    <x:row r="449" ht="48" customHeight="1">
      <x:c r="A449" s="36" t="str">
        <x:v>LIF-01/KEBA（可选）</x:v>
      </x:c>
      <x:c r="B449" s="36" t="str">
        <x:v>KEBA（可选）</x:v>
      </x:c>
      <x:c r="C449" s="36" t="str">
        <x:v>LIF-01</x:v>
      </x:c>
      <x:c r="D449" s="36" t="str">
        <x:v>KEBA-01</x:v>
      </x:c>
      <x:c r="E449" s="22"/>
      <x:c r="F449" s="22"/>
      <x:c r="G449" s="37"/>
      <x:c r="H449" s="22"/>
      <x:c r="I449" s="22"/>
      <x:c r="J449" s="22"/>
      <x:c r="K449" s="22"/>
      <x:c r="L449" s="6" t="str">
        <x:f>IF(COUNTA(E449:K449)=0,"",IF(OR(H449="不适用",H449="阻塞",H449="资料确认（未实测）"),"非实测记录",IF(AND(E449&lt;&gt;"",ISNUMBER(G449),G449&gt;0,H449&lt;&gt;"",I449&lt;&gt;"",J449&lt;&gt;""),"记录齐全","待补记录")))</x:f>
      </x:c>
    </x:row>
    <x:row r="450" ht="48" customHeight="1">
      <x:c r="A450" s="36" t="str">
        <x:v>LIF-02/CDHD</x:v>
      </x:c>
      <x:c r="B450" s="36" t="str">
        <x:v>CDHD</x:v>
      </x:c>
      <x:c r="C450" s="36" t="str">
        <x:v>LIF-02</x:v>
      </x:c>
      <x:c r="D450" s="36" t="str">
        <x:v>CDHD-01</x:v>
      </x:c>
      <x:c r="E450" s="22"/>
      <x:c r="F450" s="22"/>
      <x:c r="G450" s="37"/>
      <x:c r="H450" s="22"/>
      <x:c r="I450" s="22"/>
      <x:c r="J450" s="22"/>
      <x:c r="K450" s="22"/>
      <x:c r="L450" s="6" t="str">
        <x:f>IF(COUNTA(E450:K450)=0,"",IF(OR(H450="不适用",H450="阻塞",H450="资料确认（未实测）"),"非实测记录",IF(AND(E450&lt;&gt;"",ISNUMBER(G450),G450&gt;0,H450&lt;&gt;"",I450&lt;&gt;"",J450&lt;&gt;""),"记录齐全","待补记录")))</x:f>
      </x:c>
    </x:row>
    <x:row r="451" ht="48" customHeight="1">
      <x:c r="A451" s="36" t="str">
        <x:v>LIF-02/台达</x:v>
      </x:c>
      <x:c r="B451" s="36" t="str">
        <x:v>台达</x:v>
      </x:c>
      <x:c r="C451" s="36" t="str">
        <x:v>LIF-02</x:v>
      </x:c>
      <x:c r="D451" s="36" t="str">
        <x:v>台达-01</x:v>
      </x:c>
      <x:c r="E451" s="22"/>
      <x:c r="F451" s="22"/>
      <x:c r="G451" s="37"/>
      <x:c r="H451" s="22"/>
      <x:c r="I451" s="22"/>
      <x:c r="J451" s="22"/>
      <x:c r="K451" s="22"/>
      <x:c r="L451" s="6" t="str">
        <x:f>IF(COUNTA(E451:K451)=0,"",IF(OR(H451="不适用",H451="阻塞",H451="资料确认（未实测）"),"非实测记录",IF(AND(E451&lt;&gt;"",ISNUMBER(G451),G451&gt;0,H451&lt;&gt;"",I451&lt;&gt;"",J451&lt;&gt;""),"记录齐全","待补记录")))</x:f>
      </x:c>
    </x:row>
    <x:row r="452" ht="48" customHeight="1">
      <x:c r="A452" s="36" t="str">
        <x:v>LIF-02/繁易</x:v>
      </x:c>
      <x:c r="B452" s="36" t="str">
        <x:v>繁易</x:v>
      </x:c>
      <x:c r="C452" s="36" t="str">
        <x:v>LIF-02</x:v>
      </x:c>
      <x:c r="D452" s="36" t="str">
        <x:v>繁易-01</x:v>
      </x:c>
      <x:c r="E452" s="22"/>
      <x:c r="F452" s="22"/>
      <x:c r="G452" s="37"/>
      <x:c r="H452" s="22"/>
      <x:c r="I452" s="22"/>
      <x:c r="J452" s="22"/>
      <x:c r="K452" s="22"/>
      <x:c r="L452" s="6" t="str">
        <x:f>IF(COUNTA(E452:K452)=0,"",IF(OR(H452="不适用",H452="阻塞",H452="资料确认（未实测）"),"非实测记录",IF(AND(E452&lt;&gt;"",ISNUMBER(G452),G452&gt;0,H452&lt;&gt;"",I452&lt;&gt;"",J452&lt;&gt;""),"记录齐全","待补记录")))</x:f>
      </x:c>
    </x:row>
    <x:row r="453" ht="48" customHeight="1">
      <x:c r="A453" s="36" t="str">
        <x:v>LIF-02/Elmo</x:v>
      </x:c>
      <x:c r="B453" s="36" t="str">
        <x:v>Elmo</x:v>
      </x:c>
      <x:c r="C453" s="36" t="str">
        <x:v>LIF-02</x:v>
      </x:c>
      <x:c r="D453" s="36" t="str">
        <x:v>Elmo-01</x:v>
      </x:c>
      <x:c r="E453" s="22"/>
      <x:c r="F453" s="22"/>
      <x:c r="G453" s="37"/>
      <x:c r="H453" s="22"/>
      <x:c r="I453" s="22"/>
      <x:c r="J453" s="22"/>
      <x:c r="K453" s="22"/>
      <x:c r="L453" s="6" t="str">
        <x:f>IF(COUNTA(E453:K453)=0,"",IF(OR(H453="不适用",H453="阻塞",H453="资料确认（未实测）"),"非实测记录",IF(AND(E453&lt;&gt;"",ISNUMBER(G453),G453&gt;0,H453&lt;&gt;"",I453&lt;&gt;"",J453&lt;&gt;""),"记录齐全","待补记录")))</x:f>
      </x:c>
    </x:row>
    <x:row r="454" ht="48" customHeight="1">
      <x:c r="A454" s="36" t="str">
        <x:v>LIF-02/KEBA（可选）</x:v>
      </x:c>
      <x:c r="B454" s="36" t="str">
        <x:v>KEBA（可选）</x:v>
      </x:c>
      <x:c r="C454" s="36" t="str">
        <x:v>LIF-02</x:v>
      </x:c>
      <x:c r="D454" s="36" t="str">
        <x:v>KEBA-01</x:v>
      </x:c>
      <x:c r="E454" s="22"/>
      <x:c r="F454" s="22"/>
      <x:c r="G454" s="37"/>
      <x:c r="H454" s="22"/>
      <x:c r="I454" s="22"/>
      <x:c r="J454" s="22"/>
      <x:c r="K454" s="22"/>
      <x:c r="L454" s="6" t="str">
        <x:f>IF(COUNTA(E454:K454)=0,"",IF(OR(H454="不适用",H454="阻塞",H454="资料确认（未实测）"),"非实测记录",IF(AND(E454&lt;&gt;"",ISNUMBER(G454),G454&gt;0,H454&lt;&gt;"",I454&lt;&gt;"",J454&lt;&gt;""),"记录齐全","待补记录")))</x:f>
      </x:c>
    </x:row>
    <x:row r="455" ht="48" customHeight="1">
      <x:c r="A455" s="36" t="str">
        <x:v>LIF-03/CDHD</x:v>
      </x:c>
      <x:c r="B455" s="36" t="str">
        <x:v>CDHD</x:v>
      </x:c>
      <x:c r="C455" s="36" t="str">
        <x:v>LIF-03</x:v>
      </x:c>
      <x:c r="D455" s="36" t="str">
        <x:v>CDHD-01</x:v>
      </x:c>
      <x:c r="E455" s="22"/>
      <x:c r="F455" s="22"/>
      <x:c r="G455" s="37"/>
      <x:c r="H455" s="22"/>
      <x:c r="I455" s="22"/>
      <x:c r="J455" s="22"/>
      <x:c r="K455" s="22"/>
      <x:c r="L455" s="6" t="str">
        <x:f>IF(COUNTA(E455:K455)=0,"",IF(OR(H455="不适用",H455="阻塞",H455="资料确认（未实测）"),"非实测记录",IF(AND(E455&lt;&gt;"",ISNUMBER(G455),G455&gt;0,H455&lt;&gt;"",I455&lt;&gt;"",J455&lt;&gt;""),"记录齐全","待补记录")))</x:f>
      </x:c>
    </x:row>
    <x:row r="456" ht="48" customHeight="1">
      <x:c r="A456" s="36" t="str">
        <x:v>LIF-03/台达</x:v>
      </x:c>
      <x:c r="B456" s="36" t="str">
        <x:v>台达</x:v>
      </x:c>
      <x:c r="C456" s="36" t="str">
        <x:v>LIF-03</x:v>
      </x:c>
      <x:c r="D456" s="36" t="str">
        <x:v>台达-01</x:v>
      </x:c>
      <x:c r="E456" s="22"/>
      <x:c r="F456" s="22"/>
      <x:c r="G456" s="37"/>
      <x:c r="H456" s="22"/>
      <x:c r="I456" s="22"/>
      <x:c r="J456" s="22"/>
      <x:c r="K456" s="22"/>
      <x:c r="L456" s="6" t="str">
        <x:f>IF(COUNTA(E456:K456)=0,"",IF(OR(H456="不适用",H456="阻塞",H456="资料确认（未实测）"),"非实测记录",IF(AND(E456&lt;&gt;"",ISNUMBER(G456),G456&gt;0,H456&lt;&gt;"",I456&lt;&gt;"",J456&lt;&gt;""),"记录齐全","待补记录")))</x:f>
      </x:c>
    </x:row>
    <x:row r="457" ht="48" customHeight="1">
      <x:c r="A457" s="36" t="str">
        <x:v>LIF-03/繁易</x:v>
      </x:c>
      <x:c r="B457" s="36" t="str">
        <x:v>繁易</x:v>
      </x:c>
      <x:c r="C457" s="36" t="str">
        <x:v>LIF-03</x:v>
      </x:c>
      <x:c r="D457" s="36" t="str">
        <x:v>繁易-01</x:v>
      </x:c>
      <x:c r="E457" s="22"/>
      <x:c r="F457" s="22"/>
      <x:c r="G457" s="37"/>
      <x:c r="H457" s="22"/>
      <x:c r="I457" s="22"/>
      <x:c r="J457" s="22"/>
      <x:c r="K457" s="22"/>
      <x:c r="L457" s="6" t="str">
        <x:f>IF(COUNTA(E457:K457)=0,"",IF(OR(H457="不适用",H457="阻塞",H457="资料确认（未实测）"),"非实测记录",IF(AND(E457&lt;&gt;"",ISNUMBER(G457),G457&gt;0,H457&lt;&gt;"",I457&lt;&gt;"",J457&lt;&gt;""),"记录齐全","待补记录")))</x:f>
      </x:c>
    </x:row>
    <x:row r="458" ht="48" customHeight="1">
      <x:c r="A458" s="36" t="str">
        <x:v>LIF-03/Elmo</x:v>
      </x:c>
      <x:c r="B458" s="36" t="str">
        <x:v>Elmo</x:v>
      </x:c>
      <x:c r="C458" s="36" t="str">
        <x:v>LIF-03</x:v>
      </x:c>
      <x:c r="D458" s="36" t="str">
        <x:v>Elmo-01</x:v>
      </x:c>
      <x:c r="E458" s="22"/>
      <x:c r="F458" s="22"/>
      <x:c r="G458" s="37"/>
      <x:c r="H458" s="22"/>
      <x:c r="I458" s="22"/>
      <x:c r="J458" s="22"/>
      <x:c r="K458" s="22"/>
      <x:c r="L458" s="6" t="str">
        <x:f>IF(COUNTA(E458:K458)=0,"",IF(OR(H458="不适用",H458="阻塞",H458="资料确认（未实测）"),"非实测记录",IF(AND(E458&lt;&gt;"",ISNUMBER(G458),G458&gt;0,H458&lt;&gt;"",I458&lt;&gt;"",J458&lt;&gt;""),"记录齐全","待补记录")))</x:f>
      </x:c>
    </x:row>
    <x:row r="459" ht="48" customHeight="1">
      <x:c r="A459" s="36" t="str">
        <x:v>LIF-03/KEBA（可选）</x:v>
      </x:c>
      <x:c r="B459" s="36" t="str">
        <x:v>KEBA（可选）</x:v>
      </x:c>
      <x:c r="C459" s="36" t="str">
        <x:v>LIF-03</x:v>
      </x:c>
      <x:c r="D459" s="36" t="str">
        <x:v>KEBA-01</x:v>
      </x:c>
      <x:c r="E459" s="22"/>
      <x:c r="F459" s="22"/>
      <x:c r="G459" s="37"/>
      <x:c r="H459" s="22"/>
      <x:c r="I459" s="22"/>
      <x:c r="J459" s="22"/>
      <x:c r="K459" s="22"/>
      <x:c r="L459" s="6" t="str">
        <x:f>IF(COUNTA(E459:K459)=0,"",IF(OR(H459="不适用",H459="阻塞",H459="资料确认（未实测）"),"非实测记录",IF(AND(E459&lt;&gt;"",ISNUMBER(G459),G459&gt;0,H459&lt;&gt;"",I459&lt;&gt;"",J459&lt;&gt;""),"记录齐全","待补记录")))</x:f>
      </x:c>
    </x:row>
    <x:row r="460" ht="48" customHeight="1">
      <x:c r="A460" s="36" t="str">
        <x:v>LIF-04/CDHD</x:v>
      </x:c>
      <x:c r="B460" s="36" t="str">
        <x:v>CDHD</x:v>
      </x:c>
      <x:c r="C460" s="36" t="str">
        <x:v>LIF-04</x:v>
      </x:c>
      <x:c r="D460" s="36" t="str">
        <x:v>CDHD-01</x:v>
      </x:c>
      <x:c r="E460" s="22"/>
      <x:c r="F460" s="22"/>
      <x:c r="G460" s="37"/>
      <x:c r="H460" s="22"/>
      <x:c r="I460" s="22"/>
      <x:c r="J460" s="22"/>
      <x:c r="K460" s="22"/>
      <x:c r="L460" s="6" t="str">
        <x:f>IF(COUNTA(E460:K460)=0,"",IF(OR(H460="不适用",H460="阻塞",H460="资料确认（未实测）"),"非实测记录",IF(AND(E460&lt;&gt;"",ISNUMBER(G460),G460&gt;0,H460&lt;&gt;"",I460&lt;&gt;"",J460&lt;&gt;""),"记录齐全","待补记录")))</x:f>
      </x:c>
    </x:row>
    <x:row r="461" ht="48" customHeight="1">
      <x:c r="A461" s="36" t="str">
        <x:v>LIF-04/台达</x:v>
      </x:c>
      <x:c r="B461" s="36" t="str">
        <x:v>台达</x:v>
      </x:c>
      <x:c r="C461" s="36" t="str">
        <x:v>LIF-04</x:v>
      </x:c>
      <x:c r="D461" s="36" t="str">
        <x:v>台达-01</x:v>
      </x:c>
      <x:c r="E461" s="22"/>
      <x:c r="F461" s="22"/>
      <x:c r="G461" s="37"/>
      <x:c r="H461" s="22"/>
      <x:c r="I461" s="22"/>
      <x:c r="J461" s="22"/>
      <x:c r="K461" s="22"/>
      <x:c r="L461" s="6" t="str">
        <x:f>IF(COUNTA(E461:K461)=0,"",IF(OR(H461="不适用",H461="阻塞",H461="资料确认（未实测）"),"非实测记录",IF(AND(E461&lt;&gt;"",ISNUMBER(G461),G461&gt;0,H461&lt;&gt;"",I461&lt;&gt;"",J461&lt;&gt;""),"记录齐全","待补记录")))</x:f>
      </x:c>
    </x:row>
    <x:row r="462" ht="48" customHeight="1">
      <x:c r="A462" s="36" t="str">
        <x:v>LIF-04/繁易</x:v>
      </x:c>
      <x:c r="B462" s="36" t="str">
        <x:v>繁易</x:v>
      </x:c>
      <x:c r="C462" s="36" t="str">
        <x:v>LIF-04</x:v>
      </x:c>
      <x:c r="D462" s="36" t="str">
        <x:v>繁易-01</x:v>
      </x:c>
      <x:c r="E462" s="22"/>
      <x:c r="F462" s="22"/>
      <x:c r="G462" s="37"/>
      <x:c r="H462" s="22"/>
      <x:c r="I462" s="22"/>
      <x:c r="J462" s="22"/>
      <x:c r="K462" s="22"/>
      <x:c r="L462" s="6" t="str">
        <x:f>IF(COUNTA(E462:K462)=0,"",IF(OR(H462="不适用",H462="阻塞",H462="资料确认（未实测）"),"非实测记录",IF(AND(E462&lt;&gt;"",ISNUMBER(G462),G462&gt;0,H462&lt;&gt;"",I462&lt;&gt;"",J462&lt;&gt;""),"记录齐全","待补记录")))</x:f>
      </x:c>
    </x:row>
    <x:row r="463" ht="48" customHeight="1">
      <x:c r="A463" s="36" t="str">
        <x:v>LIF-04/Elmo</x:v>
      </x:c>
      <x:c r="B463" s="36" t="str">
        <x:v>Elmo</x:v>
      </x:c>
      <x:c r="C463" s="36" t="str">
        <x:v>LIF-04</x:v>
      </x:c>
      <x:c r="D463" s="36" t="str">
        <x:v>Elmo-01</x:v>
      </x:c>
      <x:c r="E463" s="22"/>
      <x:c r="F463" s="22"/>
      <x:c r="G463" s="37"/>
      <x:c r="H463" s="22"/>
      <x:c r="I463" s="22"/>
      <x:c r="J463" s="22"/>
      <x:c r="K463" s="22"/>
      <x:c r="L463" s="6" t="str">
        <x:f>IF(COUNTA(E463:K463)=0,"",IF(OR(H463="不适用",H463="阻塞",H463="资料确认（未实测）"),"非实测记录",IF(AND(E463&lt;&gt;"",ISNUMBER(G463),G463&gt;0,H463&lt;&gt;"",I463&lt;&gt;"",J463&lt;&gt;""),"记录齐全","待补记录")))</x:f>
      </x:c>
    </x:row>
    <x:row r="464" ht="48" customHeight="1">
      <x:c r="A464" s="36" t="str">
        <x:v>LIF-04/KEBA（可选）</x:v>
      </x:c>
      <x:c r="B464" s="36" t="str">
        <x:v>KEBA（可选）</x:v>
      </x:c>
      <x:c r="C464" s="36" t="str">
        <x:v>LIF-04</x:v>
      </x:c>
      <x:c r="D464" s="36" t="str">
        <x:v>KEBA-01</x:v>
      </x:c>
      <x:c r="E464" s="22"/>
      <x:c r="F464" s="22"/>
      <x:c r="G464" s="37"/>
      <x:c r="H464" s="22"/>
      <x:c r="I464" s="22"/>
      <x:c r="J464" s="22"/>
      <x:c r="K464" s="22"/>
      <x:c r="L464" s="6" t="str">
        <x:f>IF(COUNTA(E464:K464)=0,"",IF(OR(H464="不适用",H464="阻塞",H464="资料确认（未实测）"),"非实测记录",IF(AND(E464&lt;&gt;"",ISNUMBER(G464),G464&gt;0,H464&lt;&gt;"",I464&lt;&gt;"",J464&lt;&gt;""),"记录齐全","待补记录")))</x:f>
      </x:c>
    </x:row>
    <x:row r="465" ht="48" customHeight="1">
      <x:c r="A465" s="36" t="str">
        <x:v>LIF-05/CDHD</x:v>
      </x:c>
      <x:c r="B465" s="36" t="str">
        <x:v>CDHD</x:v>
      </x:c>
      <x:c r="C465" s="36" t="str">
        <x:v>LIF-05</x:v>
      </x:c>
      <x:c r="D465" s="36" t="str">
        <x:v>CDHD-01</x:v>
      </x:c>
      <x:c r="E465" s="22"/>
      <x:c r="F465" s="22"/>
      <x:c r="G465" s="37"/>
      <x:c r="H465" s="22"/>
      <x:c r="I465" s="22"/>
      <x:c r="J465" s="22"/>
      <x:c r="K465" s="22"/>
      <x:c r="L465" s="6" t="str">
        <x:f>IF(COUNTA(E465:K465)=0,"",IF(OR(H465="不适用",H465="阻塞",H465="资料确认（未实测）"),"非实测记录",IF(AND(E465&lt;&gt;"",ISNUMBER(G465),G465&gt;0,H465&lt;&gt;"",I465&lt;&gt;"",J465&lt;&gt;""),"记录齐全","待补记录")))</x:f>
      </x:c>
    </x:row>
    <x:row r="466" ht="48" customHeight="1">
      <x:c r="A466" s="36" t="str">
        <x:v>LIF-05/台达</x:v>
      </x:c>
      <x:c r="B466" s="36" t="str">
        <x:v>台达</x:v>
      </x:c>
      <x:c r="C466" s="36" t="str">
        <x:v>LIF-05</x:v>
      </x:c>
      <x:c r="D466" s="36" t="str">
        <x:v>台达-01</x:v>
      </x:c>
      <x:c r="E466" s="22"/>
      <x:c r="F466" s="22"/>
      <x:c r="G466" s="37"/>
      <x:c r="H466" s="22"/>
      <x:c r="I466" s="22"/>
      <x:c r="J466" s="22"/>
      <x:c r="K466" s="22"/>
      <x:c r="L466" s="6" t="str">
        <x:f>IF(COUNTA(E466:K466)=0,"",IF(OR(H466="不适用",H466="阻塞",H466="资料确认（未实测）"),"非实测记录",IF(AND(E466&lt;&gt;"",ISNUMBER(G466),G466&gt;0,H466&lt;&gt;"",I466&lt;&gt;"",J466&lt;&gt;""),"记录齐全","待补记录")))</x:f>
      </x:c>
    </x:row>
    <x:row r="467" ht="48" customHeight="1">
      <x:c r="A467" s="36" t="str">
        <x:v>LIF-05/繁易</x:v>
      </x:c>
      <x:c r="B467" s="36" t="str">
        <x:v>繁易</x:v>
      </x:c>
      <x:c r="C467" s="36" t="str">
        <x:v>LIF-05</x:v>
      </x:c>
      <x:c r="D467" s="36" t="str">
        <x:v>繁易-01</x:v>
      </x:c>
      <x:c r="E467" s="22"/>
      <x:c r="F467" s="22"/>
      <x:c r="G467" s="37"/>
      <x:c r="H467" s="22"/>
      <x:c r="I467" s="22"/>
      <x:c r="J467" s="22"/>
      <x:c r="K467" s="22"/>
      <x:c r="L467" s="6" t="str">
        <x:f>IF(COUNTA(E467:K467)=0,"",IF(OR(H467="不适用",H467="阻塞",H467="资料确认（未实测）"),"非实测记录",IF(AND(E467&lt;&gt;"",ISNUMBER(G467),G467&gt;0,H467&lt;&gt;"",I467&lt;&gt;"",J467&lt;&gt;""),"记录齐全","待补记录")))</x:f>
      </x:c>
    </x:row>
    <x:row r="468" ht="48" customHeight="1">
      <x:c r="A468" s="36" t="str">
        <x:v>LIF-05/Elmo</x:v>
      </x:c>
      <x:c r="B468" s="36" t="str">
        <x:v>Elmo</x:v>
      </x:c>
      <x:c r="C468" s="36" t="str">
        <x:v>LIF-05</x:v>
      </x:c>
      <x:c r="D468" s="36" t="str">
        <x:v>Elmo-01</x:v>
      </x:c>
      <x:c r="E468" s="22"/>
      <x:c r="F468" s="22"/>
      <x:c r="G468" s="37"/>
      <x:c r="H468" s="22"/>
      <x:c r="I468" s="22"/>
      <x:c r="J468" s="22"/>
      <x:c r="K468" s="22"/>
      <x:c r="L468" s="6" t="str">
        <x:f>IF(COUNTA(E468:K468)=0,"",IF(OR(H468="不适用",H468="阻塞",H468="资料确认（未实测）"),"非实测记录",IF(AND(E468&lt;&gt;"",ISNUMBER(G468),G468&gt;0,H468&lt;&gt;"",I468&lt;&gt;"",J468&lt;&gt;""),"记录齐全","待补记录")))</x:f>
      </x:c>
    </x:row>
    <x:row r="469" ht="48" customHeight="1">
      <x:c r="A469" s="36" t="str">
        <x:v>LIF-05/KEBA（可选）</x:v>
      </x:c>
      <x:c r="B469" s="36" t="str">
        <x:v>KEBA（可选）</x:v>
      </x:c>
      <x:c r="C469" s="36" t="str">
        <x:v>LIF-05</x:v>
      </x:c>
      <x:c r="D469" s="36" t="str">
        <x:v>KEBA-01</x:v>
      </x:c>
      <x:c r="E469" s="22"/>
      <x:c r="F469" s="22"/>
      <x:c r="G469" s="37"/>
      <x:c r="H469" s="22"/>
      <x:c r="I469" s="22"/>
      <x:c r="J469" s="22"/>
      <x:c r="K469" s="22"/>
      <x:c r="L469" s="6" t="str">
        <x:f>IF(COUNTA(E469:K469)=0,"",IF(OR(H469="不适用",H469="阻塞",H469="资料确认（未实测）"),"非实测记录",IF(AND(E469&lt;&gt;"",ISNUMBER(G469),G469&gt;0,H469&lt;&gt;"",I469&lt;&gt;"",J469&lt;&gt;""),"记录齐全","待补记录")))</x:f>
      </x:c>
    </x:row>
    <x:row r="470" ht="48" customHeight="1">
      <x:c r="A470" s="36" t="str">
        <x:v>LIF-06/CDHD</x:v>
      </x:c>
      <x:c r="B470" s="36" t="str">
        <x:v>CDHD</x:v>
      </x:c>
      <x:c r="C470" s="36" t="str">
        <x:v>LIF-06</x:v>
      </x:c>
      <x:c r="D470" s="36" t="str">
        <x:v>CDHD-01</x:v>
      </x:c>
      <x:c r="E470" s="22"/>
      <x:c r="F470" s="22"/>
      <x:c r="G470" s="37"/>
      <x:c r="H470" s="22"/>
      <x:c r="I470" s="22"/>
      <x:c r="J470" s="22"/>
      <x:c r="K470" s="22"/>
      <x:c r="L470" s="6" t="str">
        <x:f>IF(COUNTA(E470:K470)=0,"",IF(OR(H470="不适用",H470="阻塞",H470="资料确认（未实测）"),"非实测记录",IF(AND(E470&lt;&gt;"",ISNUMBER(G470),G470&gt;0,H470&lt;&gt;"",I470&lt;&gt;"",J470&lt;&gt;""),"记录齐全","待补记录")))</x:f>
      </x:c>
    </x:row>
    <x:row r="471" ht="48" customHeight="1">
      <x:c r="A471" s="36" t="str">
        <x:v>LIF-06/台达</x:v>
      </x:c>
      <x:c r="B471" s="36" t="str">
        <x:v>台达</x:v>
      </x:c>
      <x:c r="C471" s="36" t="str">
        <x:v>LIF-06</x:v>
      </x:c>
      <x:c r="D471" s="36" t="str">
        <x:v>台达-01</x:v>
      </x:c>
      <x:c r="E471" s="22"/>
      <x:c r="F471" s="22"/>
      <x:c r="G471" s="37"/>
      <x:c r="H471" s="22"/>
      <x:c r="I471" s="22"/>
      <x:c r="J471" s="22"/>
      <x:c r="K471" s="22"/>
      <x:c r="L471" s="6" t="str">
        <x:f>IF(COUNTA(E471:K471)=0,"",IF(OR(H471="不适用",H471="阻塞",H471="资料确认（未实测）"),"非实测记录",IF(AND(E471&lt;&gt;"",ISNUMBER(G471),G471&gt;0,H471&lt;&gt;"",I471&lt;&gt;"",J471&lt;&gt;""),"记录齐全","待补记录")))</x:f>
      </x:c>
    </x:row>
    <x:row r="472" ht="48" customHeight="1">
      <x:c r="A472" s="36" t="str">
        <x:v>LIF-06/繁易</x:v>
      </x:c>
      <x:c r="B472" s="36" t="str">
        <x:v>繁易</x:v>
      </x:c>
      <x:c r="C472" s="36" t="str">
        <x:v>LIF-06</x:v>
      </x:c>
      <x:c r="D472" s="36" t="str">
        <x:v>繁易-01</x:v>
      </x:c>
      <x:c r="E472" s="22"/>
      <x:c r="F472" s="22"/>
      <x:c r="G472" s="37"/>
      <x:c r="H472" s="22"/>
      <x:c r="I472" s="22"/>
      <x:c r="J472" s="22"/>
      <x:c r="K472" s="22"/>
      <x:c r="L472" s="6" t="str">
        <x:f>IF(COUNTA(E472:K472)=0,"",IF(OR(H472="不适用",H472="阻塞",H472="资料确认（未实测）"),"非实测记录",IF(AND(E472&lt;&gt;"",ISNUMBER(G472),G472&gt;0,H472&lt;&gt;"",I472&lt;&gt;"",J472&lt;&gt;""),"记录齐全","待补记录")))</x:f>
      </x:c>
    </x:row>
    <x:row r="473" ht="48" customHeight="1">
      <x:c r="A473" s="36" t="str">
        <x:v>LIF-06/Elmo</x:v>
      </x:c>
      <x:c r="B473" s="36" t="str">
        <x:v>Elmo</x:v>
      </x:c>
      <x:c r="C473" s="36" t="str">
        <x:v>LIF-06</x:v>
      </x:c>
      <x:c r="D473" s="36" t="str">
        <x:v>Elmo-01</x:v>
      </x:c>
      <x:c r="E473" s="22"/>
      <x:c r="F473" s="22"/>
      <x:c r="G473" s="37"/>
      <x:c r="H473" s="22"/>
      <x:c r="I473" s="22"/>
      <x:c r="J473" s="22"/>
      <x:c r="K473" s="22"/>
      <x:c r="L473" s="6" t="str">
        <x:f>IF(COUNTA(E473:K473)=0,"",IF(OR(H473="不适用",H473="阻塞",H473="资料确认（未实测）"),"非实测记录",IF(AND(E473&lt;&gt;"",ISNUMBER(G473),G473&gt;0,H473&lt;&gt;"",I473&lt;&gt;"",J473&lt;&gt;""),"记录齐全","待补记录")))</x:f>
      </x:c>
    </x:row>
    <x:row r="474" ht="48" customHeight="1">
      <x:c r="A474" s="36" t="str">
        <x:v>LIF-06/KEBA（可选）</x:v>
      </x:c>
      <x:c r="B474" s="36" t="str">
        <x:v>KEBA（可选）</x:v>
      </x:c>
      <x:c r="C474" s="36" t="str">
        <x:v>LIF-06</x:v>
      </x:c>
      <x:c r="D474" s="36" t="str">
        <x:v>KEBA-01</x:v>
      </x:c>
      <x:c r="E474" s="22"/>
      <x:c r="F474" s="22"/>
      <x:c r="G474" s="37"/>
      <x:c r="H474" s="22"/>
      <x:c r="I474" s="22"/>
      <x:c r="J474" s="22"/>
      <x:c r="K474" s="22"/>
      <x:c r="L474" s="6" t="str">
        <x:f>IF(COUNTA(E474:K474)=0,"",IF(OR(H474="不适用",H474="阻塞",H474="资料确认（未实测）"),"非实测记录",IF(AND(E474&lt;&gt;"",ISNUMBER(G474),G474&gt;0,H474&lt;&gt;"",I474&lt;&gt;"",J474&lt;&gt;""),"记录齐全","待补记录")))</x:f>
      </x:c>
    </x:row>
    <x:row r="475" ht="48" customHeight="1">
      <x:c r="A475" s="36" t="str">
        <x:v>LIF-07/CDHD</x:v>
      </x:c>
      <x:c r="B475" s="36" t="str">
        <x:v>CDHD</x:v>
      </x:c>
      <x:c r="C475" s="36" t="str">
        <x:v>LIF-07</x:v>
      </x:c>
      <x:c r="D475" s="36" t="str">
        <x:v>CDHD-01</x:v>
      </x:c>
      <x:c r="E475" s="22"/>
      <x:c r="F475" s="22"/>
      <x:c r="G475" s="37"/>
      <x:c r="H475" s="22"/>
      <x:c r="I475" s="22"/>
      <x:c r="J475" s="22"/>
      <x:c r="K475" s="22"/>
      <x:c r="L475" s="6" t="str">
        <x:f>IF(COUNTA(E475:K475)=0,"",IF(OR(H475="不适用",H475="阻塞",H475="资料确认（未实测）"),"非实测记录",IF(AND(E475&lt;&gt;"",ISNUMBER(G475),G475&gt;0,H475&lt;&gt;"",I475&lt;&gt;"",J475&lt;&gt;""),"记录齐全","待补记录")))</x:f>
      </x:c>
    </x:row>
    <x:row r="476" ht="48" customHeight="1">
      <x:c r="A476" s="36" t="str">
        <x:v>LIF-07/台达</x:v>
      </x:c>
      <x:c r="B476" s="36" t="str">
        <x:v>台达</x:v>
      </x:c>
      <x:c r="C476" s="36" t="str">
        <x:v>LIF-07</x:v>
      </x:c>
      <x:c r="D476" s="36" t="str">
        <x:v>台达-01</x:v>
      </x:c>
      <x:c r="E476" s="22"/>
      <x:c r="F476" s="22"/>
      <x:c r="G476" s="37"/>
      <x:c r="H476" s="22"/>
      <x:c r="I476" s="22"/>
      <x:c r="J476" s="22"/>
      <x:c r="K476" s="22"/>
      <x:c r="L476" s="6" t="str">
        <x:f>IF(COUNTA(E476:K476)=0,"",IF(OR(H476="不适用",H476="阻塞",H476="资料确认（未实测）"),"非实测记录",IF(AND(E476&lt;&gt;"",ISNUMBER(G476),G476&gt;0,H476&lt;&gt;"",I476&lt;&gt;"",J476&lt;&gt;""),"记录齐全","待补记录")))</x:f>
      </x:c>
    </x:row>
    <x:row r="477" ht="48" customHeight="1">
      <x:c r="A477" s="36" t="str">
        <x:v>LIF-07/繁易</x:v>
      </x:c>
      <x:c r="B477" s="36" t="str">
        <x:v>繁易</x:v>
      </x:c>
      <x:c r="C477" s="36" t="str">
        <x:v>LIF-07</x:v>
      </x:c>
      <x:c r="D477" s="36" t="str">
        <x:v>繁易-01</x:v>
      </x:c>
      <x:c r="E477" s="22"/>
      <x:c r="F477" s="22"/>
      <x:c r="G477" s="37"/>
      <x:c r="H477" s="22"/>
      <x:c r="I477" s="22"/>
      <x:c r="J477" s="22"/>
      <x:c r="K477" s="22"/>
      <x:c r="L477" s="6" t="str">
        <x:f>IF(COUNTA(E477:K477)=0,"",IF(OR(H477="不适用",H477="阻塞",H477="资料确认（未实测）"),"非实测记录",IF(AND(E477&lt;&gt;"",ISNUMBER(G477),G477&gt;0,H477&lt;&gt;"",I477&lt;&gt;"",J477&lt;&gt;""),"记录齐全","待补记录")))</x:f>
      </x:c>
    </x:row>
    <x:row r="478" ht="48" customHeight="1">
      <x:c r="A478" s="36" t="str">
        <x:v>LIF-07/Elmo</x:v>
      </x:c>
      <x:c r="B478" s="36" t="str">
        <x:v>Elmo</x:v>
      </x:c>
      <x:c r="C478" s="36" t="str">
        <x:v>LIF-07</x:v>
      </x:c>
      <x:c r="D478" s="36" t="str">
        <x:v>Elmo-01</x:v>
      </x:c>
      <x:c r="E478" s="22"/>
      <x:c r="F478" s="22"/>
      <x:c r="G478" s="37"/>
      <x:c r="H478" s="22"/>
      <x:c r="I478" s="22"/>
      <x:c r="J478" s="22"/>
      <x:c r="K478" s="22"/>
      <x:c r="L478" s="6" t="str">
        <x:f>IF(COUNTA(E478:K478)=0,"",IF(OR(H478="不适用",H478="阻塞",H478="资料确认（未实测）"),"非实测记录",IF(AND(E478&lt;&gt;"",ISNUMBER(G478),G478&gt;0,H478&lt;&gt;"",I478&lt;&gt;"",J478&lt;&gt;""),"记录齐全","待补记录")))</x:f>
      </x:c>
    </x:row>
    <x:row r="479" ht="48" customHeight="1">
      <x:c r="A479" s="36" t="str">
        <x:v>LIF-07/KEBA（可选）</x:v>
      </x:c>
      <x:c r="B479" s="36" t="str">
        <x:v>KEBA（可选）</x:v>
      </x:c>
      <x:c r="C479" s="36" t="str">
        <x:v>LIF-07</x:v>
      </x:c>
      <x:c r="D479" s="36" t="str">
        <x:v>KEBA-01</x:v>
      </x:c>
      <x:c r="E479" s="22"/>
      <x:c r="F479" s="22"/>
      <x:c r="G479" s="37"/>
      <x:c r="H479" s="22"/>
      <x:c r="I479" s="22"/>
      <x:c r="J479" s="22"/>
      <x:c r="K479" s="22"/>
      <x:c r="L479" s="6" t="str">
        <x:f>IF(COUNTA(E479:K479)=0,"",IF(OR(H479="不适用",H479="阻塞",H479="资料确认（未实测）"),"非实测记录",IF(AND(E479&lt;&gt;"",ISNUMBER(G479),G479&gt;0,H479&lt;&gt;"",I479&lt;&gt;"",J479&lt;&gt;""),"记录齐全","待补记录")))</x:f>
      </x:c>
    </x:row>
    <x:row r="480" ht="48" customHeight="1">
      <x:c r="A480" s="36" t="str">
        <x:v>LIF-08/CDHD</x:v>
      </x:c>
      <x:c r="B480" s="36" t="str">
        <x:v>CDHD</x:v>
      </x:c>
      <x:c r="C480" s="36" t="str">
        <x:v>LIF-08</x:v>
      </x:c>
      <x:c r="D480" s="36" t="str">
        <x:v>CDHD-01</x:v>
      </x:c>
      <x:c r="E480" s="22"/>
      <x:c r="F480" s="22"/>
      <x:c r="G480" s="37"/>
      <x:c r="H480" s="22"/>
      <x:c r="I480" s="22"/>
      <x:c r="J480" s="22"/>
      <x:c r="K480" s="22"/>
      <x:c r="L480" s="6" t="str">
        <x:f>IF(COUNTA(E480:K480)=0,"",IF(OR(H480="不适用",H480="阻塞",H480="资料确认（未实测）"),"非实测记录",IF(AND(E480&lt;&gt;"",ISNUMBER(G480),G480&gt;0,H480&lt;&gt;"",I480&lt;&gt;"",J480&lt;&gt;""),"记录齐全","待补记录")))</x:f>
      </x:c>
    </x:row>
    <x:row r="481" ht="48" customHeight="1">
      <x:c r="A481" s="36" t="str">
        <x:v>LIF-08/台达</x:v>
      </x:c>
      <x:c r="B481" s="36" t="str">
        <x:v>台达</x:v>
      </x:c>
      <x:c r="C481" s="36" t="str">
        <x:v>LIF-08</x:v>
      </x:c>
      <x:c r="D481" s="36" t="str">
        <x:v>台达-01</x:v>
      </x:c>
      <x:c r="E481" s="22"/>
      <x:c r="F481" s="22"/>
      <x:c r="G481" s="37"/>
      <x:c r="H481" s="22"/>
      <x:c r="I481" s="22"/>
      <x:c r="J481" s="22"/>
      <x:c r="K481" s="22"/>
      <x:c r="L481" s="6" t="str">
        <x:f>IF(COUNTA(E481:K481)=0,"",IF(OR(H481="不适用",H481="阻塞",H481="资料确认（未实测）"),"非实测记录",IF(AND(E481&lt;&gt;"",ISNUMBER(G481),G481&gt;0,H481&lt;&gt;"",I481&lt;&gt;"",J481&lt;&gt;""),"记录齐全","待补记录")))</x:f>
      </x:c>
    </x:row>
    <x:row r="482" ht="48" customHeight="1">
      <x:c r="A482" s="36" t="str">
        <x:v>LIF-08/繁易</x:v>
      </x:c>
      <x:c r="B482" s="36" t="str">
        <x:v>繁易</x:v>
      </x:c>
      <x:c r="C482" s="36" t="str">
        <x:v>LIF-08</x:v>
      </x:c>
      <x:c r="D482" s="36" t="str">
        <x:v>繁易-01</x:v>
      </x:c>
      <x:c r="E482" s="22"/>
      <x:c r="F482" s="22"/>
      <x:c r="G482" s="37"/>
      <x:c r="H482" s="22"/>
      <x:c r="I482" s="22"/>
      <x:c r="J482" s="22"/>
      <x:c r="K482" s="22"/>
      <x:c r="L482" s="6" t="str">
        <x:f>IF(COUNTA(E482:K482)=0,"",IF(OR(H482="不适用",H482="阻塞",H482="资料确认（未实测）"),"非实测记录",IF(AND(E482&lt;&gt;"",ISNUMBER(G482),G482&gt;0,H482&lt;&gt;"",I482&lt;&gt;"",J482&lt;&gt;""),"记录齐全","待补记录")))</x:f>
      </x:c>
    </x:row>
    <x:row r="483" ht="48" customHeight="1">
      <x:c r="A483" s="36" t="str">
        <x:v>LIF-08/Elmo</x:v>
      </x:c>
      <x:c r="B483" s="36" t="str">
        <x:v>Elmo</x:v>
      </x:c>
      <x:c r="C483" s="36" t="str">
        <x:v>LIF-08</x:v>
      </x:c>
      <x:c r="D483" s="36" t="str">
        <x:v>Elmo-01</x:v>
      </x:c>
      <x:c r="E483" s="22"/>
      <x:c r="F483" s="22"/>
      <x:c r="G483" s="37"/>
      <x:c r="H483" s="22"/>
      <x:c r="I483" s="22"/>
      <x:c r="J483" s="22"/>
      <x:c r="K483" s="22"/>
      <x:c r="L483" s="6" t="str">
        <x:f>IF(COUNTA(E483:K483)=0,"",IF(OR(H483="不适用",H483="阻塞",H483="资料确认（未实测）"),"非实测记录",IF(AND(E483&lt;&gt;"",ISNUMBER(G483),G483&gt;0,H483&lt;&gt;"",I483&lt;&gt;"",J483&lt;&gt;""),"记录齐全","待补记录")))</x:f>
      </x:c>
    </x:row>
    <x:row r="484" ht="48" customHeight="1">
      <x:c r="A484" s="36" t="str">
        <x:v>LIF-08/KEBA（可选）</x:v>
      </x:c>
      <x:c r="B484" s="36" t="str">
        <x:v>KEBA（可选）</x:v>
      </x:c>
      <x:c r="C484" s="36" t="str">
        <x:v>LIF-08</x:v>
      </x:c>
      <x:c r="D484" s="36" t="str">
        <x:v>KEBA-01</x:v>
      </x:c>
      <x:c r="E484" s="22"/>
      <x:c r="F484" s="22"/>
      <x:c r="G484" s="37"/>
      <x:c r="H484" s="22"/>
      <x:c r="I484" s="22"/>
      <x:c r="J484" s="22"/>
      <x:c r="K484" s="22"/>
      <x:c r="L484" s="6" t="str">
        <x:f>IF(COUNTA(E484:K484)=0,"",IF(OR(H484="不适用",H484="阻塞",H484="资料确认（未实测）"),"非实测记录",IF(AND(E484&lt;&gt;"",ISNUMBER(G484),G484&gt;0,H484&lt;&gt;"",I484&lt;&gt;"",J484&lt;&gt;""),"记录齐全","待补记录")))</x:f>
      </x:c>
    </x:row>
    <x:row r="485" ht="48" customHeight="1">
      <x:c r="A485" s="36" t="str">
        <x:v>LIF-09/CDHD</x:v>
      </x:c>
      <x:c r="B485" s="36" t="str">
        <x:v>CDHD</x:v>
      </x:c>
      <x:c r="C485" s="36" t="str">
        <x:v>LIF-09</x:v>
      </x:c>
      <x:c r="D485" s="36" t="str">
        <x:v>CDHD-01</x:v>
      </x:c>
      <x:c r="E485" s="22"/>
      <x:c r="F485" s="22"/>
      <x:c r="G485" s="37"/>
      <x:c r="H485" s="22"/>
      <x:c r="I485" s="22"/>
      <x:c r="J485" s="22"/>
      <x:c r="K485" s="22"/>
      <x:c r="L485" s="6" t="str">
        <x:f>IF(COUNTA(E485:K485)=0,"",IF(OR(H485="不适用",H485="阻塞",H485="资料确认（未实测）"),"非实测记录",IF(AND(E485&lt;&gt;"",ISNUMBER(G485),G485&gt;0,H485&lt;&gt;"",I485&lt;&gt;"",J485&lt;&gt;""),"记录齐全","待补记录")))</x:f>
      </x:c>
    </x:row>
    <x:row r="486" ht="48" customHeight="1">
      <x:c r="A486" s="36" t="str">
        <x:v>LIF-09/台达</x:v>
      </x:c>
      <x:c r="B486" s="36" t="str">
        <x:v>台达</x:v>
      </x:c>
      <x:c r="C486" s="36" t="str">
        <x:v>LIF-09</x:v>
      </x:c>
      <x:c r="D486" s="36" t="str">
        <x:v>台达-01</x:v>
      </x:c>
      <x:c r="E486" s="22"/>
      <x:c r="F486" s="22"/>
      <x:c r="G486" s="37"/>
      <x:c r="H486" s="22"/>
      <x:c r="I486" s="22"/>
      <x:c r="J486" s="22"/>
      <x:c r="K486" s="22"/>
      <x:c r="L486" s="6" t="str">
        <x:f>IF(COUNTA(E486:K486)=0,"",IF(OR(H486="不适用",H486="阻塞",H486="资料确认（未实测）"),"非实测记录",IF(AND(E486&lt;&gt;"",ISNUMBER(G486),G486&gt;0,H486&lt;&gt;"",I486&lt;&gt;"",J486&lt;&gt;""),"记录齐全","待补记录")))</x:f>
      </x:c>
    </x:row>
    <x:row r="487" ht="48" customHeight="1">
      <x:c r="A487" s="36" t="str">
        <x:v>LIF-09/繁易</x:v>
      </x:c>
      <x:c r="B487" s="36" t="str">
        <x:v>繁易</x:v>
      </x:c>
      <x:c r="C487" s="36" t="str">
        <x:v>LIF-09</x:v>
      </x:c>
      <x:c r="D487" s="36" t="str">
        <x:v>繁易-01</x:v>
      </x:c>
      <x:c r="E487" s="22"/>
      <x:c r="F487" s="22"/>
      <x:c r="G487" s="37"/>
      <x:c r="H487" s="22"/>
      <x:c r="I487" s="22"/>
      <x:c r="J487" s="22"/>
      <x:c r="K487" s="22"/>
      <x:c r="L487" s="6" t="str">
        <x:f>IF(COUNTA(E487:K487)=0,"",IF(OR(H487="不适用",H487="阻塞",H487="资料确认（未实测）"),"非实测记录",IF(AND(E487&lt;&gt;"",ISNUMBER(G487),G487&gt;0,H487&lt;&gt;"",I487&lt;&gt;"",J487&lt;&gt;""),"记录齐全","待补记录")))</x:f>
      </x:c>
    </x:row>
    <x:row r="488" ht="48" customHeight="1">
      <x:c r="A488" s="36" t="str">
        <x:v>LIF-09/Elmo</x:v>
      </x:c>
      <x:c r="B488" s="36" t="str">
        <x:v>Elmo</x:v>
      </x:c>
      <x:c r="C488" s="36" t="str">
        <x:v>LIF-09</x:v>
      </x:c>
      <x:c r="D488" s="36" t="str">
        <x:v>Elmo-01</x:v>
      </x:c>
      <x:c r="E488" s="22"/>
      <x:c r="F488" s="22"/>
      <x:c r="G488" s="37"/>
      <x:c r="H488" s="22"/>
      <x:c r="I488" s="22"/>
      <x:c r="J488" s="22"/>
      <x:c r="K488" s="22"/>
      <x:c r="L488" s="6" t="str">
        <x:f>IF(COUNTA(E488:K488)=0,"",IF(OR(H488="不适用",H488="阻塞",H488="资料确认（未实测）"),"非实测记录",IF(AND(E488&lt;&gt;"",ISNUMBER(G488),G488&gt;0,H488&lt;&gt;"",I488&lt;&gt;"",J488&lt;&gt;""),"记录齐全","待补记录")))</x:f>
      </x:c>
    </x:row>
    <x:row r="489" ht="48" customHeight="1">
      <x:c r="A489" s="36" t="str">
        <x:v>LIF-09/KEBA（可选）</x:v>
      </x:c>
      <x:c r="B489" s="36" t="str">
        <x:v>KEBA（可选）</x:v>
      </x:c>
      <x:c r="C489" s="36" t="str">
        <x:v>LIF-09</x:v>
      </x:c>
      <x:c r="D489" s="36" t="str">
        <x:v>KEBA-01</x:v>
      </x:c>
      <x:c r="E489" s="22"/>
      <x:c r="F489" s="22"/>
      <x:c r="G489" s="37"/>
      <x:c r="H489" s="22"/>
      <x:c r="I489" s="22"/>
      <x:c r="J489" s="22"/>
      <x:c r="K489" s="22"/>
      <x:c r="L489" s="6" t="str">
        <x:f>IF(COUNTA(E489:K489)=0,"",IF(OR(H489="不适用",H489="阻塞",H489="资料确认（未实测）"),"非实测记录",IF(AND(E489&lt;&gt;"",ISNUMBER(G489),G489&gt;0,H489&lt;&gt;"",I489&lt;&gt;"",J489&lt;&gt;""),"记录齐全","待补记录")))</x:f>
      </x:c>
    </x:row>
    <x:row r="490" ht="48" customHeight="1">
      <x:c r="A490" s="36" t="str">
        <x:v>LIF-10/CDHD</x:v>
      </x:c>
      <x:c r="B490" s="36" t="str">
        <x:v>CDHD</x:v>
      </x:c>
      <x:c r="C490" s="36" t="str">
        <x:v>LIF-10</x:v>
      </x:c>
      <x:c r="D490" s="36" t="str">
        <x:v>CDHD-01</x:v>
      </x:c>
      <x:c r="E490" s="22"/>
      <x:c r="F490" s="22"/>
      <x:c r="G490" s="37"/>
      <x:c r="H490" s="22"/>
      <x:c r="I490" s="22"/>
      <x:c r="J490" s="22"/>
      <x:c r="K490" s="22"/>
      <x:c r="L490" s="6" t="str">
        <x:f>IF(COUNTA(E490:K490)=0,"",IF(OR(H490="不适用",H490="阻塞",H490="资料确认（未实测）"),"非实测记录",IF(AND(E490&lt;&gt;"",ISNUMBER(G490),G490&gt;0,H490&lt;&gt;"",I490&lt;&gt;"",J490&lt;&gt;""),"记录齐全","待补记录")))</x:f>
      </x:c>
    </x:row>
    <x:row r="491" ht="48" customHeight="1">
      <x:c r="A491" s="36" t="str">
        <x:v>LIF-10/台达</x:v>
      </x:c>
      <x:c r="B491" s="36" t="str">
        <x:v>台达</x:v>
      </x:c>
      <x:c r="C491" s="36" t="str">
        <x:v>LIF-10</x:v>
      </x:c>
      <x:c r="D491" s="36" t="str">
        <x:v>台达-01</x:v>
      </x:c>
      <x:c r="E491" s="22"/>
      <x:c r="F491" s="22"/>
      <x:c r="G491" s="37"/>
      <x:c r="H491" s="22"/>
      <x:c r="I491" s="22"/>
      <x:c r="J491" s="22"/>
      <x:c r="K491" s="22"/>
      <x:c r="L491" s="6" t="str">
        <x:f>IF(COUNTA(E491:K491)=0,"",IF(OR(H491="不适用",H491="阻塞",H491="资料确认（未实测）"),"非实测记录",IF(AND(E491&lt;&gt;"",ISNUMBER(G491),G491&gt;0,H491&lt;&gt;"",I491&lt;&gt;"",J491&lt;&gt;""),"记录齐全","待补记录")))</x:f>
      </x:c>
    </x:row>
    <x:row r="492" ht="48" customHeight="1">
      <x:c r="A492" s="36" t="str">
        <x:v>LIF-10/繁易</x:v>
      </x:c>
      <x:c r="B492" s="36" t="str">
        <x:v>繁易</x:v>
      </x:c>
      <x:c r="C492" s="36" t="str">
        <x:v>LIF-10</x:v>
      </x:c>
      <x:c r="D492" s="36" t="str">
        <x:v>繁易-01</x:v>
      </x:c>
      <x:c r="E492" s="22"/>
      <x:c r="F492" s="22"/>
      <x:c r="G492" s="37"/>
      <x:c r="H492" s="22"/>
      <x:c r="I492" s="22"/>
      <x:c r="J492" s="22"/>
      <x:c r="K492" s="22"/>
      <x:c r="L492" s="6" t="str">
        <x:f>IF(COUNTA(E492:K492)=0,"",IF(OR(H492="不适用",H492="阻塞",H492="资料确认（未实测）"),"非实测记录",IF(AND(E492&lt;&gt;"",ISNUMBER(G492),G492&gt;0,H492&lt;&gt;"",I492&lt;&gt;"",J492&lt;&gt;""),"记录齐全","待补记录")))</x:f>
      </x:c>
    </x:row>
    <x:row r="493" ht="48" customHeight="1">
      <x:c r="A493" s="36" t="str">
        <x:v>LIF-10/Elmo</x:v>
      </x:c>
      <x:c r="B493" s="36" t="str">
        <x:v>Elmo</x:v>
      </x:c>
      <x:c r="C493" s="36" t="str">
        <x:v>LIF-10</x:v>
      </x:c>
      <x:c r="D493" s="36" t="str">
        <x:v>Elmo-01</x:v>
      </x:c>
      <x:c r="E493" s="22"/>
      <x:c r="F493" s="22"/>
      <x:c r="G493" s="37"/>
      <x:c r="H493" s="22"/>
      <x:c r="I493" s="22"/>
      <x:c r="J493" s="22"/>
      <x:c r="K493" s="22"/>
      <x:c r="L493" s="6" t="str">
        <x:f>IF(COUNTA(E493:K493)=0,"",IF(OR(H493="不适用",H493="阻塞",H493="资料确认（未实测）"),"非实测记录",IF(AND(E493&lt;&gt;"",ISNUMBER(G493),G493&gt;0,H493&lt;&gt;"",I493&lt;&gt;"",J493&lt;&gt;""),"记录齐全","待补记录")))</x:f>
      </x:c>
    </x:row>
    <x:row r="494" ht="48" customHeight="1">
      <x:c r="A494" s="36" t="str">
        <x:v>LIF-10/KEBA（可选）</x:v>
      </x:c>
      <x:c r="B494" s="36" t="str">
        <x:v>KEBA（可选）</x:v>
      </x:c>
      <x:c r="C494" s="36" t="str">
        <x:v>LIF-10</x:v>
      </x:c>
      <x:c r="D494" s="36" t="str">
        <x:v>KEBA-01</x:v>
      </x:c>
      <x:c r="E494" s="22"/>
      <x:c r="F494" s="22"/>
      <x:c r="G494" s="37"/>
      <x:c r="H494" s="22"/>
      <x:c r="I494" s="22"/>
      <x:c r="J494" s="22"/>
      <x:c r="K494" s="22"/>
      <x:c r="L494" s="6" t="str">
        <x:f>IF(COUNTA(E494:K494)=0,"",IF(OR(H494="不适用",H494="阻塞",H494="资料确认（未实测）"),"非实测记录",IF(AND(E494&lt;&gt;"",ISNUMBER(G494),G494&gt;0,H494&lt;&gt;"",I494&lt;&gt;"",J494&lt;&gt;""),"记录齐全","待补记录")))</x:f>
      </x:c>
    </x:row>
    <x:row r="495" ht="48" customHeight="1">
      <x:c r="A495" s="36" t="str">
        <x:v>SUP-01/CDHD</x:v>
      </x:c>
      <x:c r="B495" s="36" t="str">
        <x:v>CDHD</x:v>
      </x:c>
      <x:c r="C495" s="36" t="str">
        <x:v>SUP-01</x:v>
      </x:c>
      <x:c r="D495" s="36" t="str">
        <x:v>CDHD-01</x:v>
      </x:c>
      <x:c r="E495" s="22"/>
      <x:c r="F495" s="22"/>
      <x:c r="G495" s="37"/>
      <x:c r="H495" s="22"/>
      <x:c r="I495" s="22"/>
      <x:c r="J495" s="22"/>
      <x:c r="K495" s="22"/>
      <x:c r="L495" s="6" t="str">
        <x:f>IF(COUNTA(E495:K495)=0,"",IF(OR(H495="不适用",H495="阻塞",H495="资料确认（未实测）"),"非实测记录",IF(AND(E495&lt;&gt;"",ISNUMBER(G495),G495&gt;0,H495&lt;&gt;"",I495&lt;&gt;"",J495&lt;&gt;""),"记录齐全","待补记录")))</x:f>
      </x:c>
    </x:row>
    <x:row r="496" ht="48" customHeight="1">
      <x:c r="A496" s="36" t="str">
        <x:v>SUP-01/台达</x:v>
      </x:c>
      <x:c r="B496" s="36" t="str">
        <x:v>台达</x:v>
      </x:c>
      <x:c r="C496" s="36" t="str">
        <x:v>SUP-01</x:v>
      </x:c>
      <x:c r="D496" s="36" t="str">
        <x:v>台达-01</x:v>
      </x:c>
      <x:c r="E496" s="22"/>
      <x:c r="F496" s="22"/>
      <x:c r="G496" s="37"/>
      <x:c r="H496" s="22"/>
      <x:c r="I496" s="22"/>
      <x:c r="J496" s="22"/>
      <x:c r="K496" s="22"/>
      <x:c r="L496" s="6" t="str">
        <x:f>IF(COUNTA(E496:K496)=0,"",IF(OR(H496="不适用",H496="阻塞",H496="资料确认（未实测）"),"非实测记录",IF(AND(E496&lt;&gt;"",ISNUMBER(G496),G496&gt;0,H496&lt;&gt;"",I496&lt;&gt;"",J496&lt;&gt;""),"记录齐全","待补记录")))</x:f>
      </x:c>
    </x:row>
    <x:row r="497" ht="48" customHeight="1">
      <x:c r="A497" s="36" t="str">
        <x:v>SUP-01/繁易</x:v>
      </x:c>
      <x:c r="B497" s="36" t="str">
        <x:v>繁易</x:v>
      </x:c>
      <x:c r="C497" s="36" t="str">
        <x:v>SUP-01</x:v>
      </x:c>
      <x:c r="D497" s="36" t="str">
        <x:v>繁易-01</x:v>
      </x:c>
      <x:c r="E497" s="22"/>
      <x:c r="F497" s="22"/>
      <x:c r="G497" s="37"/>
      <x:c r="H497" s="22"/>
      <x:c r="I497" s="22"/>
      <x:c r="J497" s="22"/>
      <x:c r="K497" s="22"/>
      <x:c r="L497" s="6" t="str">
        <x:f>IF(COUNTA(E497:K497)=0,"",IF(OR(H497="不适用",H497="阻塞",H497="资料确认（未实测）"),"非实测记录",IF(AND(E497&lt;&gt;"",ISNUMBER(G497),G497&gt;0,H497&lt;&gt;"",I497&lt;&gt;"",J497&lt;&gt;""),"记录齐全","待补记录")))</x:f>
      </x:c>
    </x:row>
    <x:row r="498" ht="48" customHeight="1">
      <x:c r="A498" s="36" t="str">
        <x:v>SUP-01/Elmo</x:v>
      </x:c>
      <x:c r="B498" s="36" t="str">
        <x:v>Elmo</x:v>
      </x:c>
      <x:c r="C498" s="36" t="str">
        <x:v>SUP-01</x:v>
      </x:c>
      <x:c r="D498" s="36" t="str">
        <x:v>Elmo-01</x:v>
      </x:c>
      <x:c r="E498" s="22"/>
      <x:c r="F498" s="22"/>
      <x:c r="G498" s="37"/>
      <x:c r="H498" s="22"/>
      <x:c r="I498" s="22"/>
      <x:c r="J498" s="22"/>
      <x:c r="K498" s="22"/>
      <x:c r="L498" s="6" t="str">
        <x:f>IF(COUNTA(E498:K498)=0,"",IF(OR(H498="不适用",H498="阻塞",H498="资料确认（未实测）"),"非实测记录",IF(AND(E498&lt;&gt;"",ISNUMBER(G498),G498&gt;0,H498&lt;&gt;"",I498&lt;&gt;"",J498&lt;&gt;""),"记录齐全","待补记录")))</x:f>
      </x:c>
    </x:row>
    <x:row r="499" ht="48" customHeight="1">
      <x:c r="A499" s="36" t="str">
        <x:v>SUP-01/KEBA（可选）</x:v>
      </x:c>
      <x:c r="B499" s="36" t="str">
        <x:v>KEBA（可选）</x:v>
      </x:c>
      <x:c r="C499" s="36" t="str">
        <x:v>SUP-01</x:v>
      </x:c>
      <x:c r="D499" s="36" t="str">
        <x:v>KEBA-01</x:v>
      </x:c>
      <x:c r="E499" s="22"/>
      <x:c r="F499" s="22"/>
      <x:c r="G499" s="37"/>
      <x:c r="H499" s="22"/>
      <x:c r="I499" s="22"/>
      <x:c r="J499" s="22"/>
      <x:c r="K499" s="22"/>
      <x:c r="L499" s="6" t="str">
        <x:f>IF(COUNTA(E499:K499)=0,"",IF(OR(H499="不适用",H499="阻塞",H499="资料确认（未实测）"),"非实测记录",IF(AND(E499&lt;&gt;"",ISNUMBER(G499),G499&gt;0,H499&lt;&gt;"",I499&lt;&gt;"",J499&lt;&gt;""),"记录齐全","待补记录")))</x:f>
      </x:c>
    </x:row>
    <x:row r="500" ht="48" customHeight="1">
      <x:c r="A500" s="36" t="str">
        <x:v>SUP-02/CDHD</x:v>
      </x:c>
      <x:c r="B500" s="36" t="str">
        <x:v>CDHD</x:v>
      </x:c>
      <x:c r="C500" s="36" t="str">
        <x:v>SUP-02</x:v>
      </x:c>
      <x:c r="D500" s="36" t="str">
        <x:v>CDHD-01</x:v>
      </x:c>
      <x:c r="E500" s="22"/>
      <x:c r="F500" s="22"/>
      <x:c r="G500" s="37"/>
      <x:c r="H500" s="22"/>
      <x:c r="I500" s="22"/>
      <x:c r="J500" s="22"/>
      <x:c r="K500" s="22"/>
      <x:c r="L500" s="6" t="str">
        <x:f>IF(COUNTA(E500:K500)=0,"",IF(OR(H500="不适用",H500="阻塞",H500="资料确认（未实测）"),"非实测记录",IF(AND(E500&lt;&gt;"",ISNUMBER(G500),G500&gt;0,H500&lt;&gt;"",I500&lt;&gt;"",J500&lt;&gt;""),"记录齐全","待补记录")))</x:f>
      </x:c>
    </x:row>
    <x:row r="501" ht="48" customHeight="1">
      <x:c r="A501" s="36" t="str">
        <x:v>SUP-02/台达</x:v>
      </x:c>
      <x:c r="B501" s="36" t="str">
        <x:v>台达</x:v>
      </x:c>
      <x:c r="C501" s="36" t="str">
        <x:v>SUP-02</x:v>
      </x:c>
      <x:c r="D501" s="36" t="str">
        <x:v>台达-01</x:v>
      </x:c>
      <x:c r="E501" s="22"/>
      <x:c r="F501" s="22"/>
      <x:c r="G501" s="37"/>
      <x:c r="H501" s="22"/>
      <x:c r="I501" s="22"/>
      <x:c r="J501" s="22"/>
      <x:c r="K501" s="22"/>
      <x:c r="L501" s="6" t="str">
        <x:f>IF(COUNTA(E501:K501)=0,"",IF(OR(H501="不适用",H501="阻塞",H501="资料确认（未实测）"),"非实测记录",IF(AND(E501&lt;&gt;"",ISNUMBER(G501),G501&gt;0,H501&lt;&gt;"",I501&lt;&gt;"",J501&lt;&gt;""),"记录齐全","待补记录")))</x:f>
      </x:c>
    </x:row>
    <x:row r="502" ht="48" customHeight="1">
      <x:c r="A502" s="36" t="str">
        <x:v>SUP-02/繁易</x:v>
      </x:c>
      <x:c r="B502" s="36" t="str">
        <x:v>繁易</x:v>
      </x:c>
      <x:c r="C502" s="36" t="str">
        <x:v>SUP-02</x:v>
      </x:c>
      <x:c r="D502" s="36" t="str">
        <x:v>繁易-01</x:v>
      </x:c>
      <x:c r="E502" s="22"/>
      <x:c r="F502" s="22"/>
      <x:c r="G502" s="37"/>
      <x:c r="H502" s="22"/>
      <x:c r="I502" s="22"/>
      <x:c r="J502" s="22"/>
      <x:c r="K502" s="22"/>
      <x:c r="L502" s="6" t="str">
        <x:f>IF(COUNTA(E502:K502)=0,"",IF(OR(H502="不适用",H502="阻塞",H502="资料确认（未实测）"),"非实测记录",IF(AND(E502&lt;&gt;"",ISNUMBER(G502),G502&gt;0,H502&lt;&gt;"",I502&lt;&gt;"",J502&lt;&gt;""),"记录齐全","待补记录")))</x:f>
      </x:c>
    </x:row>
    <x:row r="503" ht="48" customHeight="1">
      <x:c r="A503" s="36" t="str">
        <x:v>SUP-02/Elmo</x:v>
      </x:c>
      <x:c r="B503" s="36" t="str">
        <x:v>Elmo</x:v>
      </x:c>
      <x:c r="C503" s="36" t="str">
        <x:v>SUP-02</x:v>
      </x:c>
      <x:c r="D503" s="36" t="str">
        <x:v>Elmo-01</x:v>
      </x:c>
      <x:c r="E503" s="22"/>
      <x:c r="F503" s="22"/>
      <x:c r="G503" s="37"/>
      <x:c r="H503" s="22"/>
      <x:c r="I503" s="22"/>
      <x:c r="J503" s="22"/>
      <x:c r="K503" s="22"/>
      <x:c r="L503" s="6" t="str">
        <x:f>IF(COUNTA(E503:K503)=0,"",IF(OR(H503="不适用",H503="阻塞",H503="资料确认（未实测）"),"非实测记录",IF(AND(E503&lt;&gt;"",ISNUMBER(G503),G503&gt;0,H503&lt;&gt;"",I503&lt;&gt;"",J503&lt;&gt;""),"记录齐全","待补记录")))</x:f>
      </x:c>
    </x:row>
    <x:row r="504" ht="48" customHeight="1">
      <x:c r="A504" s="36" t="str">
        <x:v>SUP-02/KEBA（可选）</x:v>
      </x:c>
      <x:c r="B504" s="36" t="str">
        <x:v>KEBA（可选）</x:v>
      </x:c>
      <x:c r="C504" s="36" t="str">
        <x:v>SUP-02</x:v>
      </x:c>
      <x:c r="D504" s="36" t="str">
        <x:v>KEBA-01</x:v>
      </x:c>
      <x:c r="E504" s="22"/>
      <x:c r="F504" s="22"/>
      <x:c r="G504" s="37"/>
      <x:c r="H504" s="22"/>
      <x:c r="I504" s="22"/>
      <x:c r="J504" s="22"/>
      <x:c r="K504" s="22"/>
      <x:c r="L504" s="6" t="str">
        <x:f>IF(COUNTA(E504:K504)=0,"",IF(OR(H504="不适用",H504="阻塞",H504="资料确认（未实测）"),"非实测记录",IF(AND(E504&lt;&gt;"",ISNUMBER(G504),G504&gt;0,H504&lt;&gt;"",I504&lt;&gt;"",J504&lt;&gt;""),"记录齐全","待补记录")))</x:f>
      </x:c>
    </x:row>
    <x:row r="505" ht="48" customHeight="1">
      <x:c r="A505" s="36" t="str">
        <x:v>SUP-03/CDHD</x:v>
      </x:c>
      <x:c r="B505" s="36" t="str">
        <x:v>CDHD</x:v>
      </x:c>
      <x:c r="C505" s="36" t="str">
        <x:v>SUP-03</x:v>
      </x:c>
      <x:c r="D505" s="36" t="str">
        <x:v>CDHD-01</x:v>
      </x:c>
      <x:c r="E505" s="22"/>
      <x:c r="F505" s="22"/>
      <x:c r="G505" s="37"/>
      <x:c r="H505" s="22"/>
      <x:c r="I505" s="22"/>
      <x:c r="J505" s="22"/>
      <x:c r="K505" s="22"/>
      <x:c r="L505" s="6" t="str">
        <x:f>IF(COUNTA(E505:K505)=0,"",IF(OR(H505="不适用",H505="阻塞",H505="资料确认（未实测）"),"非实测记录",IF(AND(E505&lt;&gt;"",ISNUMBER(G505),G505&gt;0,H505&lt;&gt;"",I505&lt;&gt;"",J505&lt;&gt;""),"记录齐全","待补记录")))</x:f>
      </x:c>
    </x:row>
    <x:row r="506" ht="48" customHeight="1">
      <x:c r="A506" s="36" t="str">
        <x:v>SUP-03/台达</x:v>
      </x:c>
      <x:c r="B506" s="36" t="str">
        <x:v>台达</x:v>
      </x:c>
      <x:c r="C506" s="36" t="str">
        <x:v>SUP-03</x:v>
      </x:c>
      <x:c r="D506" s="36" t="str">
        <x:v>台达-01</x:v>
      </x:c>
      <x:c r="E506" s="22"/>
      <x:c r="F506" s="22"/>
      <x:c r="G506" s="37"/>
      <x:c r="H506" s="22"/>
      <x:c r="I506" s="22"/>
      <x:c r="J506" s="22"/>
      <x:c r="K506" s="22"/>
      <x:c r="L506" s="6" t="str">
        <x:f>IF(COUNTA(E506:K506)=0,"",IF(OR(H506="不适用",H506="阻塞",H506="资料确认（未实测）"),"非实测记录",IF(AND(E506&lt;&gt;"",ISNUMBER(G506),G506&gt;0,H506&lt;&gt;"",I506&lt;&gt;"",J506&lt;&gt;""),"记录齐全","待补记录")))</x:f>
      </x:c>
    </x:row>
    <x:row r="507" ht="48" customHeight="1">
      <x:c r="A507" s="36" t="str">
        <x:v>SUP-03/繁易</x:v>
      </x:c>
      <x:c r="B507" s="36" t="str">
        <x:v>繁易</x:v>
      </x:c>
      <x:c r="C507" s="36" t="str">
        <x:v>SUP-03</x:v>
      </x:c>
      <x:c r="D507" s="36" t="str">
        <x:v>繁易-01</x:v>
      </x:c>
      <x:c r="E507" s="22"/>
      <x:c r="F507" s="22"/>
      <x:c r="G507" s="37"/>
      <x:c r="H507" s="22"/>
      <x:c r="I507" s="22"/>
      <x:c r="J507" s="22"/>
      <x:c r="K507" s="22"/>
      <x:c r="L507" s="6" t="str">
        <x:f>IF(COUNTA(E507:K507)=0,"",IF(OR(H507="不适用",H507="阻塞",H507="资料确认（未实测）"),"非实测记录",IF(AND(E507&lt;&gt;"",ISNUMBER(G507),G507&gt;0,H507&lt;&gt;"",I507&lt;&gt;"",J507&lt;&gt;""),"记录齐全","待补记录")))</x:f>
      </x:c>
    </x:row>
    <x:row r="508" ht="48" customHeight="1">
      <x:c r="A508" s="36" t="str">
        <x:v>SUP-03/Elmo</x:v>
      </x:c>
      <x:c r="B508" s="36" t="str">
        <x:v>Elmo</x:v>
      </x:c>
      <x:c r="C508" s="36" t="str">
        <x:v>SUP-03</x:v>
      </x:c>
      <x:c r="D508" s="36" t="str">
        <x:v>Elmo-01</x:v>
      </x:c>
      <x:c r="E508" s="22"/>
      <x:c r="F508" s="22"/>
      <x:c r="G508" s="37"/>
      <x:c r="H508" s="22"/>
      <x:c r="I508" s="22"/>
      <x:c r="J508" s="22"/>
      <x:c r="K508" s="22"/>
      <x:c r="L508" s="6" t="str">
        <x:f>IF(COUNTA(E508:K508)=0,"",IF(OR(H508="不适用",H508="阻塞",H508="资料确认（未实测）"),"非实测记录",IF(AND(E508&lt;&gt;"",ISNUMBER(G508),G508&gt;0,H508&lt;&gt;"",I508&lt;&gt;"",J508&lt;&gt;""),"记录齐全","待补记录")))</x:f>
      </x:c>
    </x:row>
    <x:row r="509" ht="48" customHeight="1">
      <x:c r="A509" s="36" t="str">
        <x:v>SUP-03/KEBA（可选）</x:v>
      </x:c>
      <x:c r="B509" s="36" t="str">
        <x:v>KEBA（可选）</x:v>
      </x:c>
      <x:c r="C509" s="36" t="str">
        <x:v>SUP-03</x:v>
      </x:c>
      <x:c r="D509" s="36" t="str">
        <x:v>KEBA-01</x:v>
      </x:c>
      <x:c r="E509" s="22"/>
      <x:c r="F509" s="22"/>
      <x:c r="G509" s="37"/>
      <x:c r="H509" s="22"/>
      <x:c r="I509" s="22"/>
      <x:c r="J509" s="22"/>
      <x:c r="K509" s="22"/>
      <x:c r="L509" s="6" t="str">
        <x:f>IF(COUNTA(E509:K509)=0,"",IF(OR(H509="不适用",H509="阻塞",H509="资料确认（未实测）"),"非实测记录",IF(AND(E509&lt;&gt;"",ISNUMBER(G509),G509&gt;0,H509&lt;&gt;"",I509&lt;&gt;"",J509&lt;&gt;""),"记录齐全","待补记录")))</x:f>
      </x:c>
    </x:row>
    <x:row r="510" ht="48" customHeight="1">
      <x:c r="A510" s="36" t="str">
        <x:v>SUP-04/CDHD</x:v>
      </x:c>
      <x:c r="B510" s="36" t="str">
        <x:v>CDHD</x:v>
      </x:c>
      <x:c r="C510" s="36" t="str">
        <x:v>SUP-04</x:v>
      </x:c>
      <x:c r="D510" s="36" t="str">
        <x:v>CDHD-01</x:v>
      </x:c>
      <x:c r="E510" s="22"/>
      <x:c r="F510" s="22"/>
      <x:c r="G510" s="37"/>
      <x:c r="H510" s="22"/>
      <x:c r="I510" s="22"/>
      <x:c r="J510" s="22"/>
      <x:c r="K510" s="22"/>
      <x:c r="L510" s="6" t="str">
        <x:f>IF(COUNTA(E510:K510)=0,"",IF(OR(H510="不适用",H510="阻塞",H510="资料确认（未实测）"),"非实测记录",IF(AND(E510&lt;&gt;"",ISNUMBER(G510),G510&gt;0,H510&lt;&gt;"",I510&lt;&gt;"",J510&lt;&gt;""),"记录齐全","待补记录")))</x:f>
      </x:c>
    </x:row>
    <x:row r="511" ht="48" customHeight="1">
      <x:c r="A511" s="36" t="str">
        <x:v>SUP-04/台达</x:v>
      </x:c>
      <x:c r="B511" s="36" t="str">
        <x:v>台达</x:v>
      </x:c>
      <x:c r="C511" s="36" t="str">
        <x:v>SUP-04</x:v>
      </x:c>
      <x:c r="D511" s="36" t="str">
        <x:v>台达-01</x:v>
      </x:c>
      <x:c r="E511" s="22"/>
      <x:c r="F511" s="22"/>
      <x:c r="G511" s="37"/>
      <x:c r="H511" s="22"/>
      <x:c r="I511" s="22"/>
      <x:c r="J511" s="22"/>
      <x:c r="K511" s="22"/>
      <x:c r="L511" s="6" t="str">
        <x:f>IF(COUNTA(E511:K511)=0,"",IF(OR(H511="不适用",H511="阻塞",H511="资料确认（未实测）"),"非实测记录",IF(AND(E511&lt;&gt;"",ISNUMBER(G511),G511&gt;0,H511&lt;&gt;"",I511&lt;&gt;"",J511&lt;&gt;""),"记录齐全","待补记录")))</x:f>
      </x:c>
    </x:row>
    <x:row r="512" ht="48" customHeight="1">
      <x:c r="A512" s="36" t="str">
        <x:v>SUP-04/繁易</x:v>
      </x:c>
      <x:c r="B512" s="36" t="str">
        <x:v>繁易</x:v>
      </x:c>
      <x:c r="C512" s="36" t="str">
        <x:v>SUP-04</x:v>
      </x:c>
      <x:c r="D512" s="36" t="str">
        <x:v>繁易-01</x:v>
      </x:c>
      <x:c r="E512" s="22"/>
      <x:c r="F512" s="22"/>
      <x:c r="G512" s="37"/>
      <x:c r="H512" s="22"/>
      <x:c r="I512" s="22"/>
      <x:c r="J512" s="22"/>
      <x:c r="K512" s="22"/>
      <x:c r="L512" s="6" t="str">
        <x:f>IF(COUNTA(E512:K512)=0,"",IF(OR(H512="不适用",H512="阻塞",H512="资料确认（未实测）"),"非实测记录",IF(AND(E512&lt;&gt;"",ISNUMBER(G512),G512&gt;0,H512&lt;&gt;"",I512&lt;&gt;"",J512&lt;&gt;""),"记录齐全","待补记录")))</x:f>
      </x:c>
    </x:row>
    <x:row r="513" ht="48" customHeight="1">
      <x:c r="A513" s="36" t="str">
        <x:v>SUP-04/Elmo</x:v>
      </x:c>
      <x:c r="B513" s="36" t="str">
        <x:v>Elmo</x:v>
      </x:c>
      <x:c r="C513" s="36" t="str">
        <x:v>SUP-04</x:v>
      </x:c>
      <x:c r="D513" s="36" t="str">
        <x:v>Elmo-01</x:v>
      </x:c>
      <x:c r="E513" s="22"/>
      <x:c r="F513" s="22"/>
      <x:c r="G513" s="37"/>
      <x:c r="H513" s="22"/>
      <x:c r="I513" s="22"/>
      <x:c r="J513" s="22"/>
      <x:c r="K513" s="22"/>
      <x:c r="L513" s="6" t="str">
        <x:f>IF(COUNTA(E513:K513)=0,"",IF(OR(H513="不适用",H513="阻塞",H513="资料确认（未实测）"),"非实测记录",IF(AND(E513&lt;&gt;"",ISNUMBER(G513),G513&gt;0,H513&lt;&gt;"",I513&lt;&gt;"",J513&lt;&gt;""),"记录齐全","待补记录")))</x:f>
      </x:c>
    </x:row>
    <x:row r="514" ht="48" customHeight="1">
      <x:c r="A514" s="36" t="str">
        <x:v>SUP-04/KEBA（可选）</x:v>
      </x:c>
      <x:c r="B514" s="36" t="str">
        <x:v>KEBA（可选）</x:v>
      </x:c>
      <x:c r="C514" s="36" t="str">
        <x:v>SUP-04</x:v>
      </x:c>
      <x:c r="D514" s="36" t="str">
        <x:v>KEBA-01</x:v>
      </x:c>
      <x:c r="E514" s="22"/>
      <x:c r="F514" s="22"/>
      <x:c r="G514" s="37"/>
      <x:c r="H514" s="22"/>
      <x:c r="I514" s="22"/>
      <x:c r="J514" s="22"/>
      <x:c r="K514" s="22"/>
      <x:c r="L514" s="6" t="str">
        <x:f>IF(COUNTA(E514:K514)=0,"",IF(OR(H514="不适用",H514="阻塞",H514="资料确认（未实测）"),"非实测记录",IF(AND(E514&lt;&gt;"",ISNUMBER(G514),G514&gt;0,H514&lt;&gt;"",I514&lt;&gt;"",J514&lt;&gt;""),"记录齐全","待补记录")))</x:f>
      </x:c>
    </x:row>
    <x:row r="515" ht="48" customHeight="1">
      <x:c r="A515" s="36" t="str">
        <x:v>SUP-05/CDHD</x:v>
      </x:c>
      <x:c r="B515" s="36" t="str">
        <x:v>CDHD</x:v>
      </x:c>
      <x:c r="C515" s="36" t="str">
        <x:v>SUP-05</x:v>
      </x:c>
      <x:c r="D515" s="36" t="str">
        <x:v>CDHD-01</x:v>
      </x:c>
      <x:c r="E515" s="22"/>
      <x:c r="F515" s="22"/>
      <x:c r="G515" s="37"/>
      <x:c r="H515" s="22"/>
      <x:c r="I515" s="22"/>
      <x:c r="J515" s="22"/>
      <x:c r="K515" s="22"/>
      <x:c r="L515" s="6" t="str">
        <x:f>IF(COUNTA(E515:K515)=0,"",IF(OR(H515="不适用",H515="阻塞",H515="资料确认（未实测）"),"非实测记录",IF(AND(E515&lt;&gt;"",ISNUMBER(G515),G515&gt;0,H515&lt;&gt;"",I515&lt;&gt;"",J515&lt;&gt;""),"记录齐全","待补记录")))</x:f>
      </x:c>
    </x:row>
    <x:row r="516" ht="48" customHeight="1">
      <x:c r="A516" s="36" t="str">
        <x:v>SUP-05/台达</x:v>
      </x:c>
      <x:c r="B516" s="36" t="str">
        <x:v>台达</x:v>
      </x:c>
      <x:c r="C516" s="36" t="str">
        <x:v>SUP-05</x:v>
      </x:c>
      <x:c r="D516" s="36" t="str">
        <x:v>台达-01</x:v>
      </x:c>
      <x:c r="E516" s="22"/>
      <x:c r="F516" s="22"/>
      <x:c r="G516" s="37"/>
      <x:c r="H516" s="22"/>
      <x:c r="I516" s="22"/>
      <x:c r="J516" s="22"/>
      <x:c r="K516" s="22"/>
      <x:c r="L516" s="6" t="str">
        <x:f>IF(COUNTA(E516:K516)=0,"",IF(OR(H516="不适用",H516="阻塞",H516="资料确认（未实测）"),"非实测记录",IF(AND(E516&lt;&gt;"",ISNUMBER(G516),G516&gt;0,H516&lt;&gt;"",I516&lt;&gt;"",J516&lt;&gt;""),"记录齐全","待补记录")))</x:f>
      </x:c>
    </x:row>
    <x:row r="517" ht="48" customHeight="1">
      <x:c r="A517" s="36" t="str">
        <x:v>SUP-05/繁易</x:v>
      </x:c>
      <x:c r="B517" s="36" t="str">
        <x:v>繁易</x:v>
      </x:c>
      <x:c r="C517" s="36" t="str">
        <x:v>SUP-05</x:v>
      </x:c>
      <x:c r="D517" s="36" t="str">
        <x:v>繁易-01</x:v>
      </x:c>
      <x:c r="E517" s="22"/>
      <x:c r="F517" s="22"/>
      <x:c r="G517" s="37"/>
      <x:c r="H517" s="22"/>
      <x:c r="I517" s="22"/>
      <x:c r="J517" s="22"/>
      <x:c r="K517" s="22"/>
      <x:c r="L517" s="6" t="str">
        <x:f>IF(COUNTA(E517:K517)=0,"",IF(OR(H517="不适用",H517="阻塞",H517="资料确认（未实测）"),"非实测记录",IF(AND(E517&lt;&gt;"",ISNUMBER(G517),G517&gt;0,H517&lt;&gt;"",I517&lt;&gt;"",J517&lt;&gt;""),"记录齐全","待补记录")))</x:f>
      </x:c>
    </x:row>
    <x:row r="518" ht="48" customHeight="1">
      <x:c r="A518" s="36" t="str">
        <x:v>SUP-05/Elmo</x:v>
      </x:c>
      <x:c r="B518" s="36" t="str">
        <x:v>Elmo</x:v>
      </x:c>
      <x:c r="C518" s="36" t="str">
        <x:v>SUP-05</x:v>
      </x:c>
      <x:c r="D518" s="36" t="str">
        <x:v>Elmo-01</x:v>
      </x:c>
      <x:c r="E518" s="22"/>
      <x:c r="F518" s="22"/>
      <x:c r="G518" s="37"/>
      <x:c r="H518" s="22"/>
      <x:c r="I518" s="22"/>
      <x:c r="J518" s="22"/>
      <x:c r="K518" s="22"/>
      <x:c r="L518" s="6" t="str">
        <x:f>IF(COUNTA(E518:K518)=0,"",IF(OR(H518="不适用",H518="阻塞",H518="资料确认（未实测）"),"非实测记录",IF(AND(E518&lt;&gt;"",ISNUMBER(G518),G518&gt;0,H518&lt;&gt;"",I518&lt;&gt;"",J518&lt;&gt;""),"记录齐全","待补记录")))</x:f>
      </x:c>
    </x:row>
    <x:row r="519" ht="48" customHeight="1">
      <x:c r="A519" s="36" t="str">
        <x:v>SUP-05/KEBA（可选）</x:v>
      </x:c>
      <x:c r="B519" s="36" t="str">
        <x:v>KEBA（可选）</x:v>
      </x:c>
      <x:c r="C519" s="36" t="str">
        <x:v>SUP-05</x:v>
      </x:c>
      <x:c r="D519" s="36" t="str">
        <x:v>KEBA-01</x:v>
      </x:c>
      <x:c r="E519" s="22"/>
      <x:c r="F519" s="22"/>
      <x:c r="G519" s="37"/>
      <x:c r="H519" s="22"/>
      <x:c r="I519" s="22"/>
      <x:c r="J519" s="22"/>
      <x:c r="K519" s="22"/>
      <x:c r="L519" s="6" t="str">
        <x:f>IF(COUNTA(E519:K519)=0,"",IF(OR(H519="不适用",H519="阻塞",H519="资料确认（未实测）"),"非实测记录",IF(AND(E519&lt;&gt;"",ISNUMBER(G519),G519&gt;0,H519&lt;&gt;"",I519&lt;&gt;"",J519&lt;&gt;""),"记录齐全","待补记录")))</x:f>
      </x:c>
    </x:row>
    <x:row r="520" ht="48" customHeight="1">
      <x:c r="A520" s="36" t="str">
        <x:v>SUP-06/CDHD</x:v>
      </x:c>
      <x:c r="B520" s="36" t="str">
        <x:v>CDHD</x:v>
      </x:c>
      <x:c r="C520" s="36" t="str">
        <x:v>SUP-06</x:v>
      </x:c>
      <x:c r="D520" s="36" t="str">
        <x:v>CDHD-01</x:v>
      </x:c>
      <x:c r="E520" s="22"/>
      <x:c r="F520" s="22"/>
      <x:c r="G520" s="37"/>
      <x:c r="H520" s="22"/>
      <x:c r="I520" s="22"/>
      <x:c r="J520" s="22"/>
      <x:c r="K520" s="22"/>
      <x:c r="L520" s="6" t="str">
        <x:f>IF(COUNTA(E520:K520)=0,"",IF(OR(H520="不适用",H520="阻塞",H520="资料确认（未实测）"),"非实测记录",IF(AND(E520&lt;&gt;"",ISNUMBER(G520),G520&gt;0,H520&lt;&gt;"",I520&lt;&gt;"",J520&lt;&gt;""),"记录齐全","待补记录")))</x:f>
      </x:c>
    </x:row>
    <x:row r="521" ht="48" customHeight="1">
      <x:c r="A521" s="36" t="str">
        <x:v>SUP-06/台达</x:v>
      </x:c>
      <x:c r="B521" s="36" t="str">
        <x:v>台达</x:v>
      </x:c>
      <x:c r="C521" s="36" t="str">
        <x:v>SUP-06</x:v>
      </x:c>
      <x:c r="D521" s="36" t="str">
        <x:v>台达-01</x:v>
      </x:c>
      <x:c r="E521" s="22"/>
      <x:c r="F521" s="22"/>
      <x:c r="G521" s="37"/>
      <x:c r="H521" s="22"/>
      <x:c r="I521" s="22"/>
      <x:c r="J521" s="22"/>
      <x:c r="K521" s="22"/>
      <x:c r="L521" s="6" t="str">
        <x:f>IF(COUNTA(E521:K521)=0,"",IF(OR(H521="不适用",H521="阻塞",H521="资料确认（未实测）"),"非实测记录",IF(AND(E521&lt;&gt;"",ISNUMBER(G521),G521&gt;0,H521&lt;&gt;"",I521&lt;&gt;"",J521&lt;&gt;""),"记录齐全","待补记录")))</x:f>
      </x:c>
    </x:row>
    <x:row r="522" ht="48" customHeight="1">
      <x:c r="A522" s="36" t="str">
        <x:v>SUP-06/繁易</x:v>
      </x:c>
      <x:c r="B522" s="36" t="str">
        <x:v>繁易</x:v>
      </x:c>
      <x:c r="C522" s="36" t="str">
        <x:v>SUP-06</x:v>
      </x:c>
      <x:c r="D522" s="36" t="str">
        <x:v>繁易-01</x:v>
      </x:c>
      <x:c r="E522" s="22"/>
      <x:c r="F522" s="22"/>
      <x:c r="G522" s="37"/>
      <x:c r="H522" s="22"/>
      <x:c r="I522" s="22"/>
      <x:c r="J522" s="22"/>
      <x:c r="K522" s="22"/>
      <x:c r="L522" s="6" t="str">
        <x:f>IF(COUNTA(E522:K522)=0,"",IF(OR(H522="不适用",H522="阻塞",H522="资料确认（未实测）"),"非实测记录",IF(AND(E522&lt;&gt;"",ISNUMBER(G522),G522&gt;0,H522&lt;&gt;"",I522&lt;&gt;"",J522&lt;&gt;""),"记录齐全","待补记录")))</x:f>
      </x:c>
    </x:row>
    <x:row r="523" ht="48" customHeight="1">
      <x:c r="A523" s="36" t="str">
        <x:v>SUP-06/Elmo</x:v>
      </x:c>
      <x:c r="B523" s="36" t="str">
        <x:v>Elmo</x:v>
      </x:c>
      <x:c r="C523" s="36" t="str">
        <x:v>SUP-06</x:v>
      </x:c>
      <x:c r="D523" s="36" t="str">
        <x:v>Elmo-01</x:v>
      </x:c>
      <x:c r="E523" s="22"/>
      <x:c r="F523" s="22"/>
      <x:c r="G523" s="37"/>
      <x:c r="H523" s="22"/>
      <x:c r="I523" s="22"/>
      <x:c r="J523" s="22"/>
      <x:c r="K523" s="22"/>
      <x:c r="L523" s="6" t="str">
        <x:f>IF(COUNTA(E523:K523)=0,"",IF(OR(H523="不适用",H523="阻塞",H523="资料确认（未实测）"),"非实测记录",IF(AND(E523&lt;&gt;"",ISNUMBER(G523),G523&gt;0,H523&lt;&gt;"",I523&lt;&gt;"",J523&lt;&gt;""),"记录齐全","待补记录")))</x:f>
      </x:c>
    </x:row>
    <x:row r="524" ht="48" customHeight="1">
      <x:c r="A524" s="36" t="str">
        <x:v>SUP-06/KEBA（可选）</x:v>
      </x:c>
      <x:c r="B524" s="36" t="str">
        <x:v>KEBA（可选）</x:v>
      </x:c>
      <x:c r="C524" s="36" t="str">
        <x:v>SUP-06</x:v>
      </x:c>
      <x:c r="D524" s="36" t="str">
        <x:v>KEBA-01</x:v>
      </x:c>
      <x:c r="E524" s="22"/>
      <x:c r="F524" s="22"/>
      <x:c r="G524" s="37"/>
      <x:c r="H524" s="22"/>
      <x:c r="I524" s="22"/>
      <x:c r="J524" s="22"/>
      <x:c r="K524" s="22"/>
      <x:c r="L524" s="6" t="str">
        <x:f>IF(COUNTA(E524:K524)=0,"",IF(OR(H524="不适用",H524="阻塞",H524="资料确认（未实测）"),"非实测记录",IF(AND(E524&lt;&gt;"",ISNUMBER(G524),G524&gt;0,H524&lt;&gt;"",I524&lt;&gt;"",J524&lt;&gt;""),"记录齐全","待补记录")))</x:f>
      </x:c>
    </x:row>
    <x:row r="525" ht="48" customHeight="1">
      <x:c r="A525" s="36" t="str">
        <x:v>PLC-01/CDHD</x:v>
      </x:c>
      <x:c r="B525" s="36" t="str">
        <x:v>CDHD</x:v>
      </x:c>
      <x:c r="C525" s="36" t="str">
        <x:v>PLC-01</x:v>
      </x:c>
      <x:c r="D525" s="36" t="str">
        <x:v>CDHD-01</x:v>
      </x:c>
      <x:c r="E525" s="22"/>
      <x:c r="F525" s="22"/>
      <x:c r="G525" s="37"/>
      <x:c r="H525" s="22"/>
      <x:c r="I525" s="22"/>
      <x:c r="J525" s="22"/>
      <x:c r="K525" s="22"/>
      <x:c r="L525" s="6" t="str">
        <x:f>IF(COUNTA(E525:K525)=0,"",IF(OR(H525="不适用",H525="阻塞",H525="资料确认（未实测）"),"非实测记录",IF(AND(E525&lt;&gt;"",ISNUMBER(G525),G525&gt;0,H525&lt;&gt;"",I525&lt;&gt;"",J525&lt;&gt;""),"记录齐全","待补记录")))</x:f>
      </x:c>
    </x:row>
    <x:row r="526" ht="48" customHeight="1">
      <x:c r="A526" s="36" t="str">
        <x:v>PLC-01/台达</x:v>
      </x:c>
      <x:c r="B526" s="36" t="str">
        <x:v>台达</x:v>
      </x:c>
      <x:c r="C526" s="36" t="str">
        <x:v>PLC-01</x:v>
      </x:c>
      <x:c r="D526" s="36" t="str">
        <x:v>台达-01</x:v>
      </x:c>
      <x:c r="E526" s="22"/>
      <x:c r="F526" s="22"/>
      <x:c r="G526" s="37"/>
      <x:c r="H526" s="22"/>
      <x:c r="I526" s="22"/>
      <x:c r="J526" s="22"/>
      <x:c r="K526" s="22"/>
      <x:c r="L526" s="6" t="str">
        <x:f>IF(COUNTA(E526:K526)=0,"",IF(OR(H526="不适用",H526="阻塞",H526="资料确认（未实测）"),"非实测记录",IF(AND(E526&lt;&gt;"",ISNUMBER(G526),G526&gt;0,H526&lt;&gt;"",I526&lt;&gt;"",J526&lt;&gt;""),"记录齐全","待补记录")))</x:f>
      </x:c>
    </x:row>
    <x:row r="527" ht="48" customHeight="1">
      <x:c r="A527" s="36" t="str">
        <x:v>PLC-01/繁易</x:v>
      </x:c>
      <x:c r="B527" s="36" t="str">
        <x:v>繁易</x:v>
      </x:c>
      <x:c r="C527" s="36" t="str">
        <x:v>PLC-01</x:v>
      </x:c>
      <x:c r="D527" s="36" t="str">
        <x:v>繁易-01</x:v>
      </x:c>
      <x:c r="E527" s="22"/>
      <x:c r="F527" s="22"/>
      <x:c r="G527" s="37"/>
      <x:c r="H527" s="22"/>
      <x:c r="I527" s="22"/>
      <x:c r="J527" s="22"/>
      <x:c r="K527" s="22"/>
      <x:c r="L527" s="6" t="str">
        <x:f>IF(COUNTA(E527:K527)=0,"",IF(OR(H527="不适用",H527="阻塞",H527="资料确认（未实测）"),"非实测记录",IF(AND(E527&lt;&gt;"",ISNUMBER(G527),G527&gt;0,H527&lt;&gt;"",I527&lt;&gt;"",J527&lt;&gt;""),"记录齐全","待补记录")))</x:f>
      </x:c>
    </x:row>
    <x:row r="528" ht="48" customHeight="1">
      <x:c r="A528" s="36" t="str">
        <x:v>PLC-01/Elmo</x:v>
      </x:c>
      <x:c r="B528" s="36" t="str">
        <x:v>Elmo</x:v>
      </x:c>
      <x:c r="C528" s="36" t="str">
        <x:v>PLC-01</x:v>
      </x:c>
      <x:c r="D528" s="36" t="str">
        <x:v>Elmo-01</x:v>
      </x:c>
      <x:c r="E528" s="22"/>
      <x:c r="F528" s="22"/>
      <x:c r="G528" s="37"/>
      <x:c r="H528" s="22"/>
      <x:c r="I528" s="22"/>
      <x:c r="J528" s="22"/>
      <x:c r="K528" s="22"/>
      <x:c r="L528" s="6" t="str">
        <x:f>IF(COUNTA(E528:K528)=0,"",IF(OR(H528="不适用",H528="阻塞",H528="资料确认（未实测）"),"非实测记录",IF(AND(E528&lt;&gt;"",ISNUMBER(G528),G528&gt;0,H528&lt;&gt;"",I528&lt;&gt;"",J528&lt;&gt;""),"记录齐全","待补记录")))</x:f>
      </x:c>
    </x:row>
    <x:row r="529" ht="48" customHeight="1">
      <x:c r="A529" s="36" t="str">
        <x:v>PLC-01/KEBA（可选）</x:v>
      </x:c>
      <x:c r="B529" s="36" t="str">
        <x:v>KEBA（可选）</x:v>
      </x:c>
      <x:c r="C529" s="36" t="str">
        <x:v>PLC-01</x:v>
      </x:c>
      <x:c r="D529" s="36" t="str">
        <x:v>KEBA-01</x:v>
      </x:c>
      <x:c r="E529" s="22"/>
      <x:c r="F529" s="22"/>
      <x:c r="G529" s="37"/>
      <x:c r="H529" s="22"/>
      <x:c r="I529" s="22"/>
      <x:c r="J529" s="22"/>
      <x:c r="K529" s="22"/>
      <x:c r="L529" s="6" t="str">
        <x:f>IF(COUNTA(E529:K529)=0,"",IF(OR(H529="不适用",H529="阻塞",H529="资料确认（未实测）"),"非实测记录",IF(AND(E529&lt;&gt;"",ISNUMBER(G529),G529&gt;0,H529&lt;&gt;"",I529&lt;&gt;"",J529&lt;&gt;""),"记录齐全","待补记录")))</x:f>
      </x:c>
    </x:row>
    <x:row r="530" ht="48" customHeight="1">
      <x:c r="A530" s="36" t="str">
        <x:v>PLC-02/CDHD</x:v>
      </x:c>
      <x:c r="B530" s="36" t="str">
        <x:v>CDHD</x:v>
      </x:c>
      <x:c r="C530" s="36" t="str">
        <x:v>PLC-02</x:v>
      </x:c>
      <x:c r="D530" s="36" t="str">
        <x:v>CDHD-01</x:v>
      </x:c>
      <x:c r="E530" s="22"/>
      <x:c r="F530" s="22"/>
      <x:c r="G530" s="37"/>
      <x:c r="H530" s="22"/>
      <x:c r="I530" s="22"/>
      <x:c r="J530" s="22"/>
      <x:c r="K530" s="22"/>
      <x:c r="L530" s="6" t="str">
        <x:f>IF(COUNTA(E530:K530)=0,"",IF(OR(H530="不适用",H530="阻塞",H530="资料确认（未实测）"),"非实测记录",IF(AND(E530&lt;&gt;"",ISNUMBER(G530),G530&gt;0,H530&lt;&gt;"",I530&lt;&gt;"",J530&lt;&gt;""),"记录齐全","待补记录")))</x:f>
      </x:c>
    </x:row>
    <x:row r="531" ht="48" customHeight="1">
      <x:c r="A531" s="36" t="str">
        <x:v>PLC-02/台达</x:v>
      </x:c>
      <x:c r="B531" s="36" t="str">
        <x:v>台达</x:v>
      </x:c>
      <x:c r="C531" s="36" t="str">
        <x:v>PLC-02</x:v>
      </x:c>
      <x:c r="D531" s="36" t="str">
        <x:v>台达-01</x:v>
      </x:c>
      <x:c r="E531" s="22"/>
      <x:c r="F531" s="22"/>
      <x:c r="G531" s="37"/>
      <x:c r="H531" s="22"/>
      <x:c r="I531" s="22"/>
      <x:c r="J531" s="22"/>
      <x:c r="K531" s="22"/>
      <x:c r="L531" s="6" t="str">
        <x:f>IF(COUNTA(E531:K531)=0,"",IF(OR(H531="不适用",H531="阻塞",H531="资料确认（未实测）"),"非实测记录",IF(AND(E531&lt;&gt;"",ISNUMBER(G531),G531&gt;0,H531&lt;&gt;"",I531&lt;&gt;"",J531&lt;&gt;""),"记录齐全","待补记录")))</x:f>
      </x:c>
    </x:row>
    <x:row r="532" ht="48" customHeight="1">
      <x:c r="A532" s="36" t="str">
        <x:v>PLC-02/繁易</x:v>
      </x:c>
      <x:c r="B532" s="36" t="str">
        <x:v>繁易</x:v>
      </x:c>
      <x:c r="C532" s="36" t="str">
        <x:v>PLC-02</x:v>
      </x:c>
      <x:c r="D532" s="36" t="str">
        <x:v>繁易-01</x:v>
      </x:c>
      <x:c r="E532" s="22"/>
      <x:c r="F532" s="22"/>
      <x:c r="G532" s="37"/>
      <x:c r="H532" s="22"/>
      <x:c r="I532" s="22"/>
      <x:c r="J532" s="22"/>
      <x:c r="K532" s="22"/>
      <x:c r="L532" s="6" t="str">
        <x:f>IF(COUNTA(E532:K532)=0,"",IF(OR(H532="不适用",H532="阻塞",H532="资料确认（未实测）"),"非实测记录",IF(AND(E532&lt;&gt;"",ISNUMBER(G532),G532&gt;0,H532&lt;&gt;"",I532&lt;&gt;"",J532&lt;&gt;""),"记录齐全","待补记录")))</x:f>
      </x:c>
    </x:row>
    <x:row r="533" ht="48" customHeight="1">
      <x:c r="A533" s="36" t="str">
        <x:v>PLC-02/Elmo</x:v>
      </x:c>
      <x:c r="B533" s="36" t="str">
        <x:v>Elmo</x:v>
      </x:c>
      <x:c r="C533" s="36" t="str">
        <x:v>PLC-02</x:v>
      </x:c>
      <x:c r="D533" s="36" t="str">
        <x:v>Elmo-01</x:v>
      </x:c>
      <x:c r="E533" s="22"/>
      <x:c r="F533" s="22"/>
      <x:c r="G533" s="37"/>
      <x:c r="H533" s="22"/>
      <x:c r="I533" s="22"/>
      <x:c r="J533" s="22"/>
      <x:c r="K533" s="22"/>
      <x:c r="L533" s="6" t="str">
        <x:f>IF(COUNTA(E533:K533)=0,"",IF(OR(H533="不适用",H533="阻塞",H533="资料确认（未实测）"),"非实测记录",IF(AND(E533&lt;&gt;"",ISNUMBER(G533),G533&gt;0,H533&lt;&gt;"",I533&lt;&gt;"",J533&lt;&gt;""),"记录齐全","待补记录")))</x:f>
      </x:c>
    </x:row>
    <x:row r="534" ht="48" customHeight="1">
      <x:c r="A534" s="36" t="str">
        <x:v>PLC-02/KEBA（可选）</x:v>
      </x:c>
      <x:c r="B534" s="36" t="str">
        <x:v>KEBA（可选）</x:v>
      </x:c>
      <x:c r="C534" s="36" t="str">
        <x:v>PLC-02</x:v>
      </x:c>
      <x:c r="D534" s="36" t="str">
        <x:v>KEBA-01</x:v>
      </x:c>
      <x:c r="E534" s="22"/>
      <x:c r="F534" s="22"/>
      <x:c r="G534" s="37"/>
      <x:c r="H534" s="22"/>
      <x:c r="I534" s="22"/>
      <x:c r="J534" s="22"/>
      <x:c r="K534" s="22"/>
      <x:c r="L534" s="6" t="str">
        <x:f>IF(COUNTA(E534:K534)=0,"",IF(OR(H534="不适用",H534="阻塞",H534="资料确认（未实测）"),"非实测记录",IF(AND(E534&lt;&gt;"",ISNUMBER(G534),G534&gt;0,H534&lt;&gt;"",I534&lt;&gt;"",J534&lt;&gt;""),"记录齐全","待补记录")))</x:f>
      </x:c>
    </x:row>
    <x:row r="535" ht="48" customHeight="1">
      <x:c r="A535" s="36" t="str">
        <x:v>PLC-03/CDHD</x:v>
      </x:c>
      <x:c r="B535" s="36" t="str">
        <x:v>CDHD</x:v>
      </x:c>
      <x:c r="C535" s="36" t="str">
        <x:v>PLC-03</x:v>
      </x:c>
      <x:c r="D535" s="36" t="str">
        <x:v>CDHD-01</x:v>
      </x:c>
      <x:c r="E535" s="22"/>
      <x:c r="F535" s="22"/>
      <x:c r="G535" s="37"/>
      <x:c r="H535" s="22"/>
      <x:c r="I535" s="22"/>
      <x:c r="J535" s="22"/>
      <x:c r="K535" s="22"/>
      <x:c r="L535" s="6" t="str">
        <x:f>IF(COUNTA(E535:K535)=0,"",IF(OR(H535="不适用",H535="阻塞",H535="资料确认（未实测）"),"非实测记录",IF(AND(E535&lt;&gt;"",ISNUMBER(G535),G535&gt;0,H535&lt;&gt;"",I535&lt;&gt;"",J535&lt;&gt;""),"记录齐全","待补记录")))</x:f>
      </x:c>
    </x:row>
    <x:row r="536" ht="48" customHeight="1">
      <x:c r="A536" s="36" t="str">
        <x:v>PLC-03/台达</x:v>
      </x:c>
      <x:c r="B536" s="36" t="str">
        <x:v>台达</x:v>
      </x:c>
      <x:c r="C536" s="36" t="str">
        <x:v>PLC-03</x:v>
      </x:c>
      <x:c r="D536" s="36" t="str">
        <x:v>台达-01</x:v>
      </x:c>
      <x:c r="E536" s="22"/>
      <x:c r="F536" s="22"/>
      <x:c r="G536" s="37"/>
      <x:c r="H536" s="22"/>
      <x:c r="I536" s="22"/>
      <x:c r="J536" s="22"/>
      <x:c r="K536" s="22"/>
      <x:c r="L536" s="6" t="str">
        <x:f>IF(COUNTA(E536:K536)=0,"",IF(OR(H536="不适用",H536="阻塞",H536="资料确认（未实测）"),"非实测记录",IF(AND(E536&lt;&gt;"",ISNUMBER(G536),G536&gt;0,H536&lt;&gt;"",I536&lt;&gt;"",J536&lt;&gt;""),"记录齐全","待补记录")))</x:f>
      </x:c>
    </x:row>
    <x:row r="537" ht="48" customHeight="1">
      <x:c r="A537" s="36" t="str">
        <x:v>PLC-03/繁易</x:v>
      </x:c>
      <x:c r="B537" s="36" t="str">
        <x:v>繁易</x:v>
      </x:c>
      <x:c r="C537" s="36" t="str">
        <x:v>PLC-03</x:v>
      </x:c>
      <x:c r="D537" s="36" t="str">
        <x:v>繁易-01</x:v>
      </x:c>
      <x:c r="E537" s="22"/>
      <x:c r="F537" s="22"/>
      <x:c r="G537" s="37"/>
      <x:c r="H537" s="22"/>
      <x:c r="I537" s="22"/>
      <x:c r="J537" s="22"/>
      <x:c r="K537" s="22"/>
      <x:c r="L537" s="6" t="str">
        <x:f>IF(COUNTA(E537:K537)=0,"",IF(OR(H537="不适用",H537="阻塞",H537="资料确认（未实测）"),"非实测记录",IF(AND(E537&lt;&gt;"",ISNUMBER(G537),G537&gt;0,H537&lt;&gt;"",I537&lt;&gt;"",J537&lt;&gt;""),"记录齐全","待补记录")))</x:f>
      </x:c>
    </x:row>
    <x:row r="538" ht="48" customHeight="1">
      <x:c r="A538" s="36" t="str">
        <x:v>PLC-03/Elmo</x:v>
      </x:c>
      <x:c r="B538" s="36" t="str">
        <x:v>Elmo</x:v>
      </x:c>
      <x:c r="C538" s="36" t="str">
        <x:v>PLC-03</x:v>
      </x:c>
      <x:c r="D538" s="36" t="str">
        <x:v>Elmo-01</x:v>
      </x:c>
      <x:c r="E538" s="22"/>
      <x:c r="F538" s="22"/>
      <x:c r="G538" s="37"/>
      <x:c r="H538" s="22"/>
      <x:c r="I538" s="22"/>
      <x:c r="J538" s="22"/>
      <x:c r="K538" s="22"/>
      <x:c r="L538" s="6" t="str">
        <x:f>IF(COUNTA(E538:K538)=0,"",IF(OR(H538="不适用",H538="阻塞",H538="资料确认（未实测）"),"非实测记录",IF(AND(E538&lt;&gt;"",ISNUMBER(G538),G538&gt;0,H538&lt;&gt;"",I538&lt;&gt;"",J538&lt;&gt;""),"记录齐全","待补记录")))</x:f>
      </x:c>
    </x:row>
    <x:row r="539" ht="48" customHeight="1">
      <x:c r="A539" s="36" t="str">
        <x:v>PLC-03/KEBA（可选）</x:v>
      </x:c>
      <x:c r="B539" s="36" t="str">
        <x:v>KEBA（可选）</x:v>
      </x:c>
      <x:c r="C539" s="36" t="str">
        <x:v>PLC-03</x:v>
      </x:c>
      <x:c r="D539" s="36" t="str">
        <x:v>KEBA-01</x:v>
      </x:c>
      <x:c r="E539" s="22"/>
      <x:c r="F539" s="22"/>
      <x:c r="G539" s="37"/>
      <x:c r="H539" s="22"/>
      <x:c r="I539" s="22"/>
      <x:c r="J539" s="22"/>
      <x:c r="K539" s="22"/>
      <x:c r="L539" s="6" t="str">
        <x:f>IF(COUNTA(E539:K539)=0,"",IF(OR(H539="不适用",H539="阻塞",H539="资料确认（未实测）"),"非实测记录",IF(AND(E539&lt;&gt;"",ISNUMBER(G539),G539&gt;0,H539&lt;&gt;"",I539&lt;&gt;"",J539&lt;&gt;""),"记录齐全","待补记录")))</x:f>
      </x:c>
    </x:row>
    <x:row r="540" ht="48" customHeight="1">
      <x:c r="A540" s="36" t="str">
        <x:v>PLC-04/CDHD</x:v>
      </x:c>
      <x:c r="B540" s="36" t="str">
        <x:v>CDHD</x:v>
      </x:c>
      <x:c r="C540" s="36" t="str">
        <x:v>PLC-04</x:v>
      </x:c>
      <x:c r="D540" s="36" t="str">
        <x:v>CDHD-01</x:v>
      </x:c>
      <x:c r="E540" s="22"/>
      <x:c r="F540" s="22"/>
      <x:c r="G540" s="37"/>
      <x:c r="H540" s="22"/>
      <x:c r="I540" s="22"/>
      <x:c r="J540" s="22"/>
      <x:c r="K540" s="22"/>
      <x:c r="L540" s="6" t="str">
        <x:f>IF(COUNTA(E540:K540)=0,"",IF(OR(H540="不适用",H540="阻塞",H540="资料确认（未实测）"),"非实测记录",IF(AND(E540&lt;&gt;"",ISNUMBER(G540),G540&gt;0,H540&lt;&gt;"",I540&lt;&gt;"",J540&lt;&gt;""),"记录齐全","待补记录")))</x:f>
      </x:c>
    </x:row>
    <x:row r="541" ht="48" customHeight="1">
      <x:c r="A541" s="36" t="str">
        <x:v>PLC-04/台达</x:v>
      </x:c>
      <x:c r="B541" s="36" t="str">
        <x:v>台达</x:v>
      </x:c>
      <x:c r="C541" s="36" t="str">
        <x:v>PLC-04</x:v>
      </x:c>
      <x:c r="D541" s="36" t="str">
        <x:v>台达-01</x:v>
      </x:c>
      <x:c r="E541" s="22"/>
      <x:c r="F541" s="22"/>
      <x:c r="G541" s="37"/>
      <x:c r="H541" s="22"/>
      <x:c r="I541" s="22"/>
      <x:c r="J541" s="22"/>
      <x:c r="K541" s="22"/>
      <x:c r="L541" s="6" t="str">
        <x:f>IF(COUNTA(E541:K541)=0,"",IF(OR(H541="不适用",H541="阻塞",H541="资料确认（未实测）"),"非实测记录",IF(AND(E541&lt;&gt;"",ISNUMBER(G541),G541&gt;0,H541&lt;&gt;"",I541&lt;&gt;"",J541&lt;&gt;""),"记录齐全","待补记录")))</x:f>
      </x:c>
    </x:row>
    <x:row r="542" ht="48" customHeight="1">
      <x:c r="A542" s="36" t="str">
        <x:v>PLC-04/繁易</x:v>
      </x:c>
      <x:c r="B542" s="36" t="str">
        <x:v>繁易</x:v>
      </x:c>
      <x:c r="C542" s="36" t="str">
        <x:v>PLC-04</x:v>
      </x:c>
      <x:c r="D542" s="36" t="str">
        <x:v>繁易-01</x:v>
      </x:c>
      <x:c r="E542" s="22"/>
      <x:c r="F542" s="22"/>
      <x:c r="G542" s="37"/>
      <x:c r="H542" s="22"/>
      <x:c r="I542" s="22"/>
      <x:c r="J542" s="22"/>
      <x:c r="K542" s="22"/>
      <x:c r="L542" s="6" t="str">
        <x:f>IF(COUNTA(E542:K542)=0,"",IF(OR(H542="不适用",H542="阻塞",H542="资料确认（未实测）"),"非实测记录",IF(AND(E542&lt;&gt;"",ISNUMBER(G542),G542&gt;0,H542&lt;&gt;"",I542&lt;&gt;"",J542&lt;&gt;""),"记录齐全","待补记录")))</x:f>
      </x:c>
    </x:row>
    <x:row r="543" ht="48" customHeight="1">
      <x:c r="A543" s="36" t="str">
        <x:v>PLC-04/Elmo</x:v>
      </x:c>
      <x:c r="B543" s="36" t="str">
        <x:v>Elmo</x:v>
      </x:c>
      <x:c r="C543" s="36" t="str">
        <x:v>PLC-04</x:v>
      </x:c>
      <x:c r="D543" s="36" t="str">
        <x:v>Elmo-01</x:v>
      </x:c>
      <x:c r="E543" s="22"/>
      <x:c r="F543" s="22"/>
      <x:c r="G543" s="37"/>
      <x:c r="H543" s="22"/>
      <x:c r="I543" s="22"/>
      <x:c r="J543" s="22"/>
      <x:c r="K543" s="22"/>
      <x:c r="L543" s="6" t="str">
        <x:f>IF(COUNTA(E543:K543)=0,"",IF(OR(H543="不适用",H543="阻塞",H543="资料确认（未实测）"),"非实测记录",IF(AND(E543&lt;&gt;"",ISNUMBER(G543),G543&gt;0,H543&lt;&gt;"",I543&lt;&gt;"",J543&lt;&gt;""),"记录齐全","待补记录")))</x:f>
      </x:c>
    </x:row>
    <x:row r="544" ht="48" customHeight="1">
      <x:c r="A544" s="36" t="str">
        <x:v>PLC-04/KEBA（可选）</x:v>
      </x:c>
      <x:c r="B544" s="36" t="str">
        <x:v>KEBA（可选）</x:v>
      </x:c>
      <x:c r="C544" s="36" t="str">
        <x:v>PLC-04</x:v>
      </x:c>
      <x:c r="D544" s="36" t="str">
        <x:v>KEBA-01</x:v>
      </x:c>
      <x:c r="E544" s="22"/>
      <x:c r="F544" s="22"/>
      <x:c r="G544" s="37"/>
      <x:c r="H544" s="22"/>
      <x:c r="I544" s="22"/>
      <x:c r="J544" s="22"/>
      <x:c r="K544" s="22"/>
      <x:c r="L544" s="6" t="str">
        <x:f>IF(COUNTA(E544:K544)=0,"",IF(OR(H544="不适用",H544="阻塞",H544="资料确认（未实测）"),"非实测记录",IF(AND(E544&lt;&gt;"",ISNUMBER(G544),G544&gt;0,H544&lt;&gt;"",I544&lt;&gt;"",J544&lt;&gt;""),"记录齐全","待补记录")))</x:f>
      </x:c>
    </x:row>
    <x:row r="545" ht="48" customHeight="1">
      <x:c r="A545" s="36" t="str">
        <x:v>PLC-05/CDHD</x:v>
      </x:c>
      <x:c r="B545" s="36" t="str">
        <x:v>CDHD</x:v>
      </x:c>
      <x:c r="C545" s="36" t="str">
        <x:v>PLC-05</x:v>
      </x:c>
      <x:c r="D545" s="36" t="str">
        <x:v>CDHD-01</x:v>
      </x:c>
      <x:c r="E545" s="22"/>
      <x:c r="F545" s="22"/>
      <x:c r="G545" s="37"/>
      <x:c r="H545" s="22"/>
      <x:c r="I545" s="22"/>
      <x:c r="J545" s="22"/>
      <x:c r="K545" s="22"/>
      <x:c r="L545" s="6" t="str">
        <x:f>IF(COUNTA(E545:K545)=0,"",IF(OR(H545="不适用",H545="阻塞",H545="资料确认（未实测）"),"非实测记录",IF(AND(E545&lt;&gt;"",ISNUMBER(G545),G545&gt;0,H545&lt;&gt;"",I545&lt;&gt;"",J545&lt;&gt;""),"记录齐全","待补记录")))</x:f>
      </x:c>
    </x:row>
    <x:row r="546" ht="48" customHeight="1">
      <x:c r="A546" s="36" t="str">
        <x:v>PLC-05/台达</x:v>
      </x:c>
      <x:c r="B546" s="36" t="str">
        <x:v>台达</x:v>
      </x:c>
      <x:c r="C546" s="36" t="str">
        <x:v>PLC-05</x:v>
      </x:c>
      <x:c r="D546" s="36" t="str">
        <x:v>台达-01</x:v>
      </x:c>
      <x:c r="E546" s="22"/>
      <x:c r="F546" s="22"/>
      <x:c r="G546" s="37"/>
      <x:c r="H546" s="22"/>
      <x:c r="I546" s="22"/>
      <x:c r="J546" s="22"/>
      <x:c r="K546" s="22"/>
      <x:c r="L546" s="6" t="str">
        <x:f>IF(COUNTA(E546:K546)=0,"",IF(OR(H546="不适用",H546="阻塞",H546="资料确认（未实测）"),"非实测记录",IF(AND(E546&lt;&gt;"",ISNUMBER(G546),G546&gt;0,H546&lt;&gt;"",I546&lt;&gt;"",J546&lt;&gt;""),"记录齐全","待补记录")))</x:f>
      </x:c>
    </x:row>
    <x:row r="547" ht="48" customHeight="1">
      <x:c r="A547" s="36" t="str">
        <x:v>PLC-05/繁易</x:v>
      </x:c>
      <x:c r="B547" s="36" t="str">
        <x:v>繁易</x:v>
      </x:c>
      <x:c r="C547" s="36" t="str">
        <x:v>PLC-05</x:v>
      </x:c>
      <x:c r="D547" s="36" t="str">
        <x:v>繁易-01</x:v>
      </x:c>
      <x:c r="E547" s="22"/>
      <x:c r="F547" s="22"/>
      <x:c r="G547" s="37"/>
      <x:c r="H547" s="22"/>
      <x:c r="I547" s="22"/>
      <x:c r="J547" s="22"/>
      <x:c r="K547" s="22"/>
      <x:c r="L547" s="6" t="str">
        <x:f>IF(COUNTA(E547:K547)=0,"",IF(OR(H547="不适用",H547="阻塞",H547="资料确认（未实测）"),"非实测记录",IF(AND(E547&lt;&gt;"",ISNUMBER(G547),G547&gt;0,H547&lt;&gt;"",I547&lt;&gt;"",J547&lt;&gt;""),"记录齐全","待补记录")))</x:f>
      </x:c>
    </x:row>
    <x:row r="548" ht="48" customHeight="1">
      <x:c r="A548" s="36" t="str">
        <x:v>PLC-05/Elmo</x:v>
      </x:c>
      <x:c r="B548" s="36" t="str">
        <x:v>Elmo</x:v>
      </x:c>
      <x:c r="C548" s="36" t="str">
        <x:v>PLC-05</x:v>
      </x:c>
      <x:c r="D548" s="36" t="str">
        <x:v>Elmo-01</x:v>
      </x:c>
      <x:c r="E548" s="22"/>
      <x:c r="F548" s="22"/>
      <x:c r="G548" s="37"/>
      <x:c r="H548" s="22"/>
      <x:c r="I548" s="22"/>
      <x:c r="J548" s="22"/>
      <x:c r="K548" s="22"/>
      <x:c r="L548" s="6" t="str">
        <x:f>IF(COUNTA(E548:K548)=0,"",IF(OR(H548="不适用",H548="阻塞",H548="资料确认（未实测）"),"非实测记录",IF(AND(E548&lt;&gt;"",ISNUMBER(G548),G548&gt;0,H548&lt;&gt;"",I548&lt;&gt;"",J548&lt;&gt;""),"记录齐全","待补记录")))</x:f>
      </x:c>
    </x:row>
    <x:row r="549" ht="48" customHeight="1">
      <x:c r="A549" s="36" t="str">
        <x:v>PLC-05/KEBA（可选）</x:v>
      </x:c>
      <x:c r="B549" s="36" t="str">
        <x:v>KEBA（可选）</x:v>
      </x:c>
      <x:c r="C549" s="36" t="str">
        <x:v>PLC-05</x:v>
      </x:c>
      <x:c r="D549" s="36" t="str">
        <x:v>KEBA-01</x:v>
      </x:c>
      <x:c r="E549" s="22"/>
      <x:c r="F549" s="22"/>
      <x:c r="G549" s="37"/>
      <x:c r="H549" s="22"/>
      <x:c r="I549" s="22"/>
      <x:c r="J549" s="22"/>
      <x:c r="K549" s="22"/>
      <x:c r="L549" s="6" t="str">
        <x:f>IF(COUNTA(E549:K549)=0,"",IF(OR(H549="不适用",H549="阻塞",H549="资料确认（未实测）"),"非实测记录",IF(AND(E549&lt;&gt;"",ISNUMBER(G549),G549&gt;0,H549&lt;&gt;"",I549&lt;&gt;"",J549&lt;&gt;""),"记录齐全","待补记录")))</x:f>
      </x:c>
    </x:row>
    <x:row r="550" ht="48" customHeight="1">
      <x:c r="A550" s="36" t="str">
        <x:v>PLC-06/CDHD</x:v>
      </x:c>
      <x:c r="B550" s="36" t="str">
        <x:v>CDHD</x:v>
      </x:c>
      <x:c r="C550" s="36" t="str">
        <x:v>PLC-06</x:v>
      </x:c>
      <x:c r="D550" s="36" t="str">
        <x:v>CDHD-01</x:v>
      </x:c>
      <x:c r="E550" s="22"/>
      <x:c r="F550" s="22"/>
      <x:c r="G550" s="37"/>
      <x:c r="H550" s="22"/>
      <x:c r="I550" s="22"/>
      <x:c r="J550" s="22"/>
      <x:c r="K550" s="22"/>
      <x:c r="L550" s="6" t="str">
        <x:f>IF(COUNTA(E550:K550)=0,"",IF(OR(H550="不适用",H550="阻塞",H550="资料确认（未实测）"),"非实测记录",IF(AND(E550&lt;&gt;"",ISNUMBER(G550),G550&gt;0,H550&lt;&gt;"",I550&lt;&gt;"",J550&lt;&gt;""),"记录齐全","待补记录")))</x:f>
      </x:c>
    </x:row>
    <x:row r="551" ht="48" customHeight="1">
      <x:c r="A551" s="36" t="str">
        <x:v>PLC-06/台达</x:v>
      </x:c>
      <x:c r="B551" s="36" t="str">
        <x:v>台达</x:v>
      </x:c>
      <x:c r="C551" s="36" t="str">
        <x:v>PLC-06</x:v>
      </x:c>
      <x:c r="D551" s="36" t="str">
        <x:v>台达-01</x:v>
      </x:c>
      <x:c r="E551" s="22"/>
      <x:c r="F551" s="22"/>
      <x:c r="G551" s="37"/>
      <x:c r="H551" s="22"/>
      <x:c r="I551" s="22"/>
      <x:c r="J551" s="22"/>
      <x:c r="K551" s="22"/>
      <x:c r="L551" s="6" t="str">
        <x:f>IF(COUNTA(E551:K551)=0,"",IF(OR(H551="不适用",H551="阻塞",H551="资料确认（未实测）"),"非实测记录",IF(AND(E551&lt;&gt;"",ISNUMBER(G551),G551&gt;0,H551&lt;&gt;"",I551&lt;&gt;"",J551&lt;&gt;""),"记录齐全","待补记录")))</x:f>
      </x:c>
    </x:row>
    <x:row r="552" ht="48" customHeight="1">
      <x:c r="A552" s="36" t="str">
        <x:v>PLC-06/繁易</x:v>
      </x:c>
      <x:c r="B552" s="36" t="str">
        <x:v>繁易</x:v>
      </x:c>
      <x:c r="C552" s="36" t="str">
        <x:v>PLC-06</x:v>
      </x:c>
      <x:c r="D552" s="36" t="str">
        <x:v>繁易-01</x:v>
      </x:c>
      <x:c r="E552" s="22"/>
      <x:c r="F552" s="22"/>
      <x:c r="G552" s="37"/>
      <x:c r="H552" s="22"/>
      <x:c r="I552" s="22"/>
      <x:c r="J552" s="22"/>
      <x:c r="K552" s="22"/>
      <x:c r="L552" s="6" t="str">
        <x:f>IF(COUNTA(E552:K552)=0,"",IF(OR(H552="不适用",H552="阻塞",H552="资料确认（未实测）"),"非实测记录",IF(AND(E552&lt;&gt;"",ISNUMBER(G552),G552&gt;0,H552&lt;&gt;"",I552&lt;&gt;"",J552&lt;&gt;""),"记录齐全","待补记录")))</x:f>
      </x:c>
    </x:row>
    <x:row r="553" ht="48" customHeight="1">
      <x:c r="A553" s="36" t="str">
        <x:v>PLC-06/Elmo</x:v>
      </x:c>
      <x:c r="B553" s="36" t="str">
        <x:v>Elmo</x:v>
      </x:c>
      <x:c r="C553" s="36" t="str">
        <x:v>PLC-06</x:v>
      </x:c>
      <x:c r="D553" s="36" t="str">
        <x:v>Elmo-01</x:v>
      </x:c>
      <x:c r="E553" s="22"/>
      <x:c r="F553" s="22"/>
      <x:c r="G553" s="37"/>
      <x:c r="H553" s="22"/>
      <x:c r="I553" s="22"/>
      <x:c r="J553" s="22"/>
      <x:c r="K553" s="22"/>
      <x:c r="L553" s="6" t="str">
        <x:f>IF(COUNTA(E553:K553)=0,"",IF(OR(H553="不适用",H553="阻塞",H553="资料确认（未实测）"),"非实测记录",IF(AND(E553&lt;&gt;"",ISNUMBER(G553),G553&gt;0,H553&lt;&gt;"",I553&lt;&gt;"",J553&lt;&gt;""),"记录齐全","待补记录")))</x:f>
      </x:c>
    </x:row>
    <x:row r="554" ht="48" customHeight="1">
      <x:c r="A554" s="36" t="str">
        <x:v>PLC-06/KEBA（可选）</x:v>
      </x:c>
      <x:c r="B554" s="36" t="str">
        <x:v>KEBA（可选）</x:v>
      </x:c>
      <x:c r="C554" s="36" t="str">
        <x:v>PLC-06</x:v>
      </x:c>
      <x:c r="D554" s="36" t="str">
        <x:v>KEBA-01</x:v>
      </x:c>
      <x:c r="E554" s="22"/>
      <x:c r="F554" s="22"/>
      <x:c r="G554" s="37"/>
      <x:c r="H554" s="22"/>
      <x:c r="I554" s="22"/>
      <x:c r="J554" s="22"/>
      <x:c r="K554" s="22"/>
      <x:c r="L554" s="6" t="str">
        <x:f>IF(COUNTA(E554:K554)=0,"",IF(OR(H554="不适用",H554="阻塞",H554="资料确认（未实测）"),"非实测记录",IF(AND(E554&lt;&gt;"",ISNUMBER(G554),G554&gt;0,H554&lt;&gt;"",I554&lt;&gt;"",J554&lt;&gt;""),"记录齐全","待补记录")))</x:f>
      </x:c>
    </x:row>
  </x:sheetData>
  <x:conditionalFormatting sqref="L10:L554">
    <x:cfRule type="containsText" dxfId="3" priority="1" operator="containsText" text="待补"/>
  </x:conditionalFormatting>
  <x:conditionalFormatting sqref="H10:H554">
    <x:cfRule type="containsText" dxfId="4" priority="2" operator="containsText" text="有差异"/>
  </x:conditionalFormatting>
  <x:dataValidations count="2">
    <x:dataValidation type="list" sqref="F10:F554">
      <x:formula1>"开发工程师,测试工程师,应用工程师,其他"</x:formula1>
    </x:dataValidation>
    <x:dataValidation type="list" sqref="H10:H554">
      <x:formula1>"达标,有差异,不支持（实测）,未定判据,资料确认（未实测）,不适用,阻塞"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513a03485a44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25" hidden="0" customWidth="1"/>
    <x:col min="2" max="2" width="48.130001068115234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 ht="20.25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设备组合与对照判据</x:v>
      </x:c>
      <x:c r="B2" s="2"/>
      <x:c r="C2" s="2"/>
      <x:c r="D2" s="2"/>
      <x:c r="E2" s="2"/>
      <x:c r="F2" s="2"/>
      <x:c r="G2" s="2"/>
    </x:row>
    <x:row r="3" ht="20.25" customHeight="1">
      <x:c r="A3" s="4"/>
      <x:c r="B3" s="4"/>
      <x:c r="C3" s="4"/>
      <x:c r="D3" s="4"/>
      <x:c r="E3" s="4"/>
      <x:c r="F3" s="4"/>
      <x:c r="G3" s="4"/>
    </x:row>
    <x:row r="4" ht="20.25" customHeight="1">
      <x:c r="A4" s="2" t="str">
        <x:v>每列对应一套固定型号、固件与PLC组合。黄色单元格供填写，空白表示待确认。更换组合时另存整本。</x:v>
      </x:c>
      <x:c r="B4" s="2"/>
      <x:c r="C4" s="2"/>
      <x:c r="D4" s="2"/>
      <x:c r="E4" s="2"/>
      <x:c r="F4" s="2"/>
      <x:c r="G4" s="2"/>
    </x:row>
    <x:row r="5" ht="20.25" customHeight="1">
      <x:c r="A5" s="2" t="str">
        <x:v>本表用于各品牌实机对照，未预填任何功能支持结论。KEBA可不纳入本轮。</x:v>
      </x:c>
      <x:c r="B5" s="2"/>
      <x:c r="C5" s="2"/>
      <x:c r="D5" s="2"/>
      <x:c r="E5" s="2"/>
      <x:c r="F5" s="2"/>
      <x:c r="G5" s="2"/>
    </x:row>
    <x:row r="6" ht="20.25" customHeight="1">
      <x:c r="A6" s="2"/>
      <x:c r="B6" s="2"/>
      <x:c r="C6" s="2"/>
      <x:c r="D6" s="2"/>
      <x:c r="E6" s="2"/>
      <x:c r="F6" s="2"/>
      <x:c r="G6" s="2"/>
    </x:row>
    <x:row r="7" ht="20.25" customHeight="1">
      <x:c r="A7" s="2"/>
      <x:c r="B7" s="2"/>
      <x:c r="C7" s="2"/>
      <x:c r="D7" s="2"/>
      <x:c r="E7" s="2"/>
      <x:c r="F7" s="2"/>
      <x:c r="G7" s="2"/>
    </x:row>
    <x:row r="8" ht="20.25" customHeight="1">
      <x:c r="A8" s="2"/>
      <x:c r="B8" s="2"/>
      <x:c r="C8" s="2"/>
      <x:c r="D8" s="2"/>
      <x:c r="E8" s="2"/>
      <x:c r="F8" s="2"/>
      <x:c r="G8" s="2"/>
    </x:row>
    <x:row r="9" ht="31.5" customHeight="1">
      <x:c r="A9" s="17" t="str">
        <x:v>字段</x:v>
      </x:c>
      <x:c r="B9" s="18" t="str">
        <x:v>填写要求</x:v>
      </x:c>
      <x:c r="C9" s="18" t="str">
        <x:v>CDHD</x:v>
      </x:c>
      <x:c r="D9" s="18" t="str">
        <x:v>台达</x:v>
      </x:c>
      <x:c r="E9" s="18" t="str">
        <x:v>繁易</x:v>
      </x:c>
      <x:c r="F9" s="18" t="str">
        <x:v>Elmo</x:v>
      </x:c>
      <x:c r="G9" s="19" t="str">
        <x:v>KEBA（可选）</x:v>
      </x:c>
    </x:row>
    <x:row r="10" ht="52.5" customHeight="1">
      <x:c r="A10" s="6" t="str">
        <x:v>基线编号</x:v>
      </x:c>
      <x:c r="B10" s="6" t="str">
        <x:v>与实测记录一致，标识一套固定组合。</x:v>
      </x:c>
      <x:c r="C10" s="22" t="str">
        <x:v>CDHD-01</x:v>
      </x:c>
      <x:c r="D10" s="22" t="str">
        <x:v>台达-01</x:v>
      </x:c>
      <x:c r="E10" s="22" t="str">
        <x:v>繁易-01</x:v>
      </x:c>
      <x:c r="F10" s="22" t="str">
        <x:v>Elmo-01</x:v>
      </x:c>
      <x:c r="G10" s="22" t="str">
        <x:v>KEBA-01</x:v>
      </x:c>
    </x:row>
    <x:row r="11" ht="52.5" customHeight="1">
      <x:c r="A11" s="6" t="str">
        <x:v>驱动器具体型号</x:v>
      </x:c>
      <x:c r="B11" s="6" t="str">
        <x:v>品牌不等于型号，同品牌不同型号需分开。</x:v>
      </x:c>
      <x:c r="C11" s="22"/>
      <x:c r="D11" s="22"/>
      <x:c r="E11" s="22"/>
      <x:c r="F11" s="22"/>
      <x:c r="G11" s="22"/>
    </x:row>
    <x:row r="12" ht="52.5" customHeight="1">
      <x:c r="A12" s="6" t="str">
        <x:v>硬件 / 序列号</x:v>
      </x:c>
      <x:c r="B12" s="6" t="str">
        <x:v>记录硬件版本及设备序列号。</x:v>
      </x:c>
      <x:c r="C12" s="22"/>
      <x:c r="D12" s="22"/>
      <x:c r="E12" s="22"/>
      <x:c r="F12" s="22"/>
      <x:c r="G12" s="22"/>
    </x:row>
    <x:row r="13" ht="52.5" customHeight="1">
      <x:c r="A13" s="6" t="str">
        <x:v>固件 / 引导程序</x:v>
      </x:c>
      <x:c r="B13" s="6" t="str">
        <x:v>填写完整版本。</x:v>
      </x:c>
      <x:c r="C13" s="22"/>
      <x:c r="D13" s="22"/>
      <x:c r="E13" s="22"/>
      <x:c r="F13" s="22"/>
      <x:c r="G13" s="22"/>
    </x:row>
    <x:row r="14" ht="52.5" customHeight="1">
      <x:c r="A14" s="6" t="str">
        <x:v>ESI / 对象字典</x:v>
      </x:c>
      <x:c r="B14" s="6" t="str">
        <x:v>文件名、版本及校验值。</x:v>
      </x:c>
      <x:c r="C14" s="22"/>
      <x:c r="D14" s="22"/>
      <x:c r="E14" s="22"/>
      <x:c r="F14" s="22"/>
      <x:c r="G14" s="22"/>
    </x:row>
    <x:row r="15" ht="52.5" customHeight="1">
      <x:c r="A15" s="6" t="str">
        <x:v>PLC CPU / 主站模块</x:v>
      </x:c>
      <x:c r="B15" s="6" t="str">
        <x:v>填写实际主站与运动模块型号。</x:v>
      </x:c>
      <x:c r="C15" s="22"/>
      <x:c r="D15" s="22"/>
      <x:c r="E15" s="22"/>
      <x:c r="F15" s="22"/>
      <x:c r="G15" s="22"/>
    </x:row>
    <x:row r="16" ht="52.5" customHeight="1">
      <x:c r="A16" s="6" t="str">
        <x:v>PLC固件 / 工程软件</x:v>
      </x:c>
      <x:c r="B16" s="6" t="str">
        <x:v>填写完整版本。</x:v>
      </x:c>
      <x:c r="C16" s="22"/>
      <x:c r="D16" s="22"/>
      <x:c r="E16" s="22"/>
      <x:c r="F16" s="22"/>
      <x:c r="G16" s="22"/>
    </x:row>
    <x:row r="17" ht="52.5" customHeight="1">
      <x:c r="A17" s="6" t="str">
        <x:v>运行时 / 运动库 / 许可</x:v>
      </x:c>
      <x:c r="B17" s="6" t="str">
        <x:v>包括设备包和第三方轴驱动版本。</x:v>
      </x:c>
      <x:c r="C17" s="22"/>
      <x:c r="D17" s="22"/>
      <x:c r="E17" s="22"/>
      <x:c r="F17" s="22"/>
      <x:c r="G17" s="22"/>
    </x:row>
    <x:row r="18" ht="52.5" customHeight="1">
      <x:c r="A18" s="6" t="str">
        <x:v>工程 / 启动参数</x:v>
      </x:c>
      <x:c r="B18" s="6" t="str">
        <x:v>工程归档和Startup SDO清单编号。</x:v>
      </x:c>
      <x:c r="C18" s="22"/>
      <x:c r="D18" s="22"/>
      <x:c r="E18" s="22"/>
      <x:c r="F18" s="22"/>
      <x:c r="G18" s="22"/>
    </x:row>
    <x:row r="19" ht="52.5" customHeight="1">
      <x:c r="A19" s="6" t="str">
        <x:v>模式 / PDO / 同步周期</x:v>
      </x:c>
      <x:c r="B19" s="6" t="str">
        <x:v>记录本次实测的具体模式、映射和时钟配置。</x:v>
      </x:c>
      <x:c r="C19" s="22"/>
      <x:c r="D19" s="22"/>
      <x:c r="E19" s="22"/>
      <x:c r="F19" s="22"/>
      <x:c r="G19" s="22"/>
    </x:row>
    <x:row r="20" ht="52.5" customHeight="1">
      <x:c r="A20" s="6" t="str">
        <x:v>电机 / 编码器 / 制动器</x:v>
      </x:c>
      <x:c r="B20" s="6" t="str">
        <x:v>型号、分辨率、绝对/增量及制动器供电。</x:v>
      </x:c>
      <x:c r="C20" s="22"/>
      <x:c r="D20" s="22"/>
      <x:c r="E20" s="22"/>
      <x:c r="F20" s="22"/>
      <x:c r="G20" s="22"/>
    </x:row>
    <x:row r="21" ht="52.5" customHeight="1">
      <x:c r="A21" s="6" t="str">
        <x:v>机械 / 负载 / 传动</x:v>
      </x:c>
      <x:c r="B21" s="6" t="str">
        <x:v>水平/垂直、惯量、传动比、导程与行程。</x:v>
      </x:c>
      <x:c r="C21" s="22"/>
      <x:c r="D21" s="22"/>
      <x:c r="E21" s="22"/>
      <x:c r="F21" s="22"/>
      <x:c r="G21" s="22"/>
    </x:row>
    <x:row r="22" ht="52.5" customHeight="1">
      <x:c r="A22" s="6" t="str">
        <x:v>轴数 / 拓扑 / 线缆</x:v>
      </x:c>
      <x:c r="B22" s="6" t="str">
        <x:v>包含混合I/O和供电方式。</x:v>
      </x:c>
      <x:c r="C22" s="22"/>
      <x:c r="D22" s="22"/>
      <x:c r="E22" s="22"/>
      <x:c r="F22" s="22"/>
      <x:c r="G22" s="22"/>
    </x:row>
    <x:row r="23" ht="52.5" customHeight="1">
      <x:c r="A23" s="6" t="str">
        <x:v>原点 / 限位 / 输入接线</x:v>
      </x:c>
      <x:c r="B23" s="6" t="str">
        <x:v>输入接PLC还是驱动，极性与回零方法。</x:v>
      </x:c>
      <x:c r="C23" s="22"/>
      <x:c r="D23" s="22"/>
      <x:c r="E23" s="22"/>
      <x:c r="F23" s="22"/>
      <x:c r="G23" s="22"/>
    </x:row>
    <x:row r="24" ht="52.5" customHeight="1">
      <x:c r="A24" s="6" t="str">
        <x:v>安全与故障注入条件</x:v>
      </x:c>
      <x:c r="B24" s="6" t="str">
        <x:v>台架约束、独立停止手段、负载保持和中止条件。</x:v>
      </x:c>
      <x:c r="C24" s="22"/>
      <x:c r="D24" s="22"/>
      <x:c r="E24" s="22"/>
      <x:c r="F24" s="22"/>
      <x:c r="G24" s="22"/>
    </x:row>
    <x:row r="25" ht="52.5" customHeight="1">
      <x:c r="A25" s="6" t="str">
        <x:v>资料 / 手册依据</x:v>
      </x:c>
      <x:c r="B25" s="6" t="str">
        <x:v>对应型号的手册版本、章节和资料位置。</x:v>
      </x:c>
      <x:c r="C25" s="22"/>
      <x:c r="D25" s="22"/>
      <x:c r="E25" s="22"/>
      <x:c r="F25" s="22"/>
      <x:c r="G25" s="22"/>
    </x:row>
    <x:row r="26" ht="52.5" customHeight="1">
      <x:c r="A26" s="6" t="str">
        <x:v>负责人 / 测试轮次</x:v>
      </x:c>
      <x:c r="B26" s="6" t="str">
        <x:v>本轮开发/测试负责人及轮次。</x:v>
      </x:c>
      <x:c r="C26" s="22"/>
      <x:c r="D26" s="22"/>
      <x:c r="E26" s="22"/>
      <x:c r="F26" s="22"/>
      <x:c r="G26" s="22"/>
    </x:row>
    <x:row r="27" ht="20.25" customHeight="1">
      <x:c r="A27" s="2"/>
      <x:c r="B27" s="2"/>
      <x:c r="C27" s="2"/>
      <x:c r="D27" s="2"/>
      <x:c r="E27" s="2"/>
      <x:c r="F27" s="2"/>
      <x:c r="G27" s="2"/>
    </x:row>
    <x:row r="28" ht="20.25" customHeight="1">
      <x:c r="A28" s="2"/>
      <x:c r="B28" s="2"/>
      <x:c r="C28" s="2"/>
      <x:c r="D28" s="2"/>
      <x:c r="E28" s="2"/>
      <x:c r="F28" s="2"/>
      <x:c r="G28" s="2"/>
    </x:row>
    <x:row r="29" ht="20.25" customHeight="1">
      <x:c r="A29" s="2"/>
      <x:c r="B29" s="2"/>
      <x:c r="C29" s="2"/>
      <x:c r="D29" s="2"/>
      <x:c r="E29" s="2"/>
      <x:c r="F29" s="2"/>
      <x:c r="G29" s="2"/>
    </x:row>
    <x:row r="30" ht="31.5" customHeight="1">
      <x:c r="A30" s="17" t="str">
        <x:v>判据符号</x:v>
      </x:c>
      <x:c r="B30" s="18" t="str">
        <x:v>定义 / 单位 / 测量条件</x:v>
      </x:c>
      <x:c r="C30" s="18" t="str">
        <x:v>CDHD</x:v>
      </x:c>
      <x:c r="D30" s="18" t="str">
        <x:v>台达</x:v>
      </x:c>
      <x:c r="E30" s="18" t="str">
        <x:v>繁易</x:v>
      </x:c>
      <x:c r="F30" s="18" t="str">
        <x:v>Elmo</x:v>
      </x:c>
      <x:c r="G30" s="19" t="str">
        <x:v>KEBA（可选）</x:v>
      </x:c>
    </x:row>
    <x:row r="31" ht="52.5" customHeight="1">
      <x:c r="A31" s="6" t="str">
        <x:v>T_boot / T_enable / T_mode / T_reset / T_recover</x:v>
      </x:c>
      <x:c r="B31" s="6" t="str">
        <x:v>上线、使能、切模式、复位、通信恢复最大时间；明确计时起止点</x:v>
      </x:c>
      <x:c r="C31" s="22"/>
      <x:c r="D31" s="22"/>
      <x:c r="E31" s="22"/>
      <x:c r="F31" s="22"/>
      <x:c r="G31" s="22"/>
    </x:row>
    <x:row r="32" ht="52.5" customHeight="1">
      <x:c r="A32" s="6" t="str">
        <x:v>C_set / J_max / D_max</x:v>
      </x:c>
      <x:c r="B32" s="6" t="str">
        <x:v>支持周期集合、主站任务抖动界限、设备同步误差界限；单位、统计窗口、测量方式</x:v>
      </x:c>
      <x:c r="C32" s="22"/>
      <x:c r="D32" s="22"/>
      <x:c r="E32" s="22"/>
      <x:c r="F32" s="22"/>
      <x:c r="G32" s="22"/>
    </x:row>
    <x:row r="33" ht="52.5" customHeight="1">
      <x:c r="A33" s="6" t="str">
        <x:v>T_watch / T_react / V_stop / S_stop</x:v>
      </x:c>
      <x:c r="B33" s="6" t="str">
        <x:v>看门狗设置、失联反应时间、停机速度判据和允许停机距离；按负载与停机策略区分</x:v>
      </x:c>
      <x:c r="C33" s="22"/>
      <x:c r="D33" s="22"/>
      <x:c r="E33" s="22"/>
      <x:c r="F33" s="22"/>
      <x:c r="G33" s="22"/>
    </x:row>
    <x:row r="34" ht="52.5" customHeight="1">
      <x:c r="A34" s="6" t="str">
        <x:v>T_stale / Hold_policy</x:v>
      </x:c>
      <x:c r="B34" s="6" t="str">
        <x:v>应用命令陈旧的判定时间、检测/处理责任方；若允许保持，冻结保持的物理量、最大持续时间和允许运动范围</x:v>
      </x:c>
      <x:c r="C34" s="22"/>
      <x:c r="D34" s="22"/>
      <x:c r="E34" s="22"/>
      <x:c r="F34" s="22"/>
      <x:c r="G34" s="22"/>
    </x:row>
    <x:row r="35" ht="52.5" customHeight="1">
      <x:c r="A35" s="6" t="str">
        <x:v>E_pos / E_follow / E_home / E_sync</x:v>
      </x:c>
      <x:c r="B35" s="6" t="str">
        <x:v>定位误差、跟随误差、回零重复误差、多轴同步误差；单位、负载与速度条件</x:v>
      </x:c>
      <x:c r="C35" s="22"/>
      <x:c r="D35" s="22"/>
      <x:c r="E35" s="22"/>
      <x:c r="F35" s="22"/>
      <x:c r="G35" s="22"/>
    </x:row>
    <x:row r="36" ht="52.5" customHeight="1">
      <x:c r="A36" s="6" t="str">
        <x:v>W_done / T_done / E_home_abs</x:v>
      </x:c>
      <x:c r="B36" s="6" t="str">
        <x:v>功能块到位监控开关、窗口及驻留时间；需要绝对原点精度时单独冻结E_home_abs，不能以重复性代替</x:v>
      </x:c>
      <x:c r="C36" s="22"/>
      <x:c r="D36" s="22"/>
      <x:c r="E36" s="22"/>
      <x:c r="F36" s="22"/>
      <x:c r="G36" s="22"/>
    </x:row>
    <x:row r="37" ht="52.5" customHeight="1">
      <x:c r="A37" s="6" t="str">
        <x:v>V_max / A_max / Jerk_max / Torque_max</x:v>
      </x:c>
      <x:c r="B37" s="6" t="str">
        <x:v>速度、加速度、加加速度、转矩限值及正负方向</x:v>
      </x:c>
      <x:c r="C37" s="22"/>
      <x:c r="D37" s="22"/>
      <x:c r="E37" s="22"/>
      <x:c r="F37" s="22"/>
      <x:c r="G37" s="22"/>
    </x:row>
    <x:row r="38" ht="52.5" customHeight="1">
      <x:c r="A38" s="6" t="str">
        <x:v>Override</x:v>
      </x:c>
      <x:c r="B38" s="6" t="str">
        <x:v>各动作允许的速度/加速度/加加速度倍率范围、生效时刻、置零与恢复规则</x:v>
      </x:c>
      <x:c r="C38" s="22"/>
      <x:c r="D38" s="22"/>
      <x:c r="E38" s="22"/>
      <x:c r="F38" s="22"/>
      <x:c r="G38" s="22"/>
    </x:row>
    <x:row r="39" ht="52.5" customHeight="1">
      <x:c r="A39" s="6" t="str">
        <x:v>P_jump / V_jump</x:v>
      </x:c>
      <x:c r="B39" s="6" t="str">
        <x:v>上电、使能、复位、模式切换时允许的位置/速度瞬态；观察窗口</x:v>
      </x:c>
      <x:c r="C39" s="22"/>
      <x:c r="D39" s="22"/>
      <x:c r="E39" s="22"/>
      <x:c r="F39" s="22"/>
      <x:c r="G39" s="22"/>
    </x:row>
    <x:row r="40" ht="52.5" customHeight="1">
      <x:c r="A40" s="6" t="str">
        <x:v>T_sdo / R_sdo / B_mailbox</x:v>
      </x:c>
      <x:c r="B40" s="6" t="str">
        <x:v>SDO 超时、重试规则与允许后台通信负载</x:v>
      </x:c>
      <x:c r="C40" s="22"/>
      <x:c r="D40" s="22"/>
      <x:c r="E40" s="22"/>
      <x:c r="F40" s="22"/>
      <x:c r="G40" s="22"/>
    </x:row>
    <x:row r="41" ht="52.5" customHeight="1">
      <x:c r="A41" s="6" t="str">
        <x:v>N_repeat / H_soak / Duty</x:v>
      </x:c>
      <x:c r="B41" s="6" t="str">
        <x:v>循环次数、持续运行时长与运行负载</x:v>
      </x:c>
      <x:c r="C41" s="22"/>
      <x:c r="D41" s="22"/>
      <x:c r="E41" s="22"/>
      <x:c r="F41" s="22"/>
      <x:c r="G41" s="22"/>
    </x:row>
    <x:row r="42" ht="52.5" customHeight="1">
      <x:c r="A42" s="6" t="str">
        <x:v>T_first_motion / T_triage / T_restore</x:v>
      </x:c>
      <x:c r="B42" s="6" t="str">
        <x:v>新工程首次运动、支持定位和备件恢复的交付服务指标</x:v>
      </x:c>
      <x:c r="C42" s="22"/>
      <x:c r="D42" s="22"/>
      <x:c r="E42" s="22"/>
      <x:c r="F42" s="22"/>
      <x:c r="G42" s="22"/>
    </x:row>
    <x:row r="43" ht="20.25" customHeight="1">
      <x:c r="A43" s="2"/>
      <x:c r="B43" s="2"/>
      <x:c r="C43" s="2"/>
      <x:c r="D43" s="2"/>
      <x:c r="E43" s="2"/>
      <x:c r="F43" s="2"/>
      <x:c r="G43" s="2"/>
    </x:row>
    <x:row r="44" ht="20.25" customHeight="1">
      <x:c r="A44" s="2"/>
      <x:c r="B44" s="2"/>
      <x:c r="C44" s="2"/>
      <x:c r="D44" s="2"/>
      <x:c r="E44" s="2"/>
      <x:c r="F44" s="2"/>
      <x:c r="G44" s="2"/>
    </x:row>
    <x:row r="45" ht="20.25" customHeight="1">
      <x:c r="A45" s="38" t="str">
        <x:v>执行与证据说明</x:v>
      </x:c>
      <x:c r="B45" s="2"/>
      <x:c r="C45" s="2"/>
      <x:c r="D45" s="2"/>
      <x:c r="E45" s="2"/>
      <x:c r="F45" s="2"/>
      <x:c r="G45" s="2"/>
    </x:row>
    <x:row r="46" ht="36" customHeight="1">
      <x:c r="A46" s="6" t="str">
        <x:v>判据用途</x:v>
      </x:c>
      <x:c r="B46" s="6" t="str">
        <x:v>主表保留原验收判据供对照。先记录各品牌真实表现，再比较差异，不据品牌名预填支持或通过。</x:v>
      </x:c>
      <x:c r="C46" s="2"/>
      <x:c r="D46" s="2"/>
      <x:c r="E46" s="2"/>
      <x:c r="F46" s="2"/>
      <x:c r="G46" s="2"/>
    </x:row>
    <x:row r="47" ht="36" customHeight="1">
      <x:c r="A47" s="6" t="str">
        <x:v>未定判据</x:v>
      </x:c>
      <x:c r="B47" s="6" t="str">
        <x:v>未冻结数值时可以记录观察，结论选“未定判据”。不得把“已实测”解释为性能达标。</x:v>
      </x:c>
      <x:c r="C47" s="2"/>
      <x:c r="D47" s="2"/>
      <x:c r="E47" s="2"/>
      <x:c r="F47" s="2"/>
      <x:c r="G47" s="2"/>
    </x:row>
    <x:row r="48" ht="36" customHeight="1">
      <x:c r="A48" s="6" t="str">
        <x:v>支持范围</x:v>
      </x:c>
      <x:c r="B48" s="6" t="str">
        <x:v>功能不支持、无相应硬件和测试条件不具备分别记录。仅查手册不算上机实测。</x:v>
      </x:c>
      <x:c r="C48" s="2"/>
      <x:c r="D48" s="2"/>
      <x:c r="E48" s="2"/>
      <x:c r="F48" s="2"/>
      <x:c r="G48" s="2"/>
    </x:row>
    <x:row r="49" ht="36" customHeight="1">
      <x:c r="A49" s="6" t="str">
        <x:v>分支覆盖</x:v>
      </x:c>
      <x:c r="B49" s="6" t="str">
        <x:v>一个ID有多个适用模式、故障分支或子功能时，证据应覆盖全部分支。未完成前不勾已实测。</x:v>
      </x:c>
      <x:c r="C49" s="2"/>
      <x:c r="D49" s="2"/>
      <x:c r="E49" s="2"/>
      <x:c r="F49" s="2"/>
      <x:c r="G49" s="2"/>
    </x:row>
    <x:row r="50" ht="36" customHeight="1">
      <x:c r="A50" s="6" t="str">
        <x:v>P0 / P1 / P2</x:v>
      </x:c>
      <x:c r="B50" s="6" t="str">
        <x:v>沿用原验收优先级。P0优先验证关键路径与错误运动风险，P1覆盖正式交付，P2覆盖扩展场景。</x:v>
      </x:c>
      <x:c r="C50" s="2"/>
      <x:c r="D50" s="2"/>
      <x:c r="E50" s="2"/>
      <x:c r="F50" s="2"/>
      <x:c r="G50" s="2"/>
    </x:row>
    <x:row r="51" ht="33" customHeight="1">
      <x:c r="A51" s="6" t="str">
        <x:v>E0</x:v>
      </x:c>
      <x:c r="B51" s="6" t="str">
        <x:v>基线、版本、能力说明。</x:v>
      </x:c>
      <x:c r="C51" s="2"/>
      <x:c r="D51" s="2"/>
      <x:c r="E51" s="2"/>
      <x:c r="F51" s="2"/>
      <x:c r="G51" s="2"/>
    </x:row>
    <x:row r="52" ht="33" customHeight="1">
      <x:c r="A52" s="6" t="str">
        <x:v>E1</x:v>
      </x:c>
      <x:c r="B52" s="6" t="str">
        <x:v>工程、ESI、PDO、启动SDO及参数读回。</x:v>
      </x:c>
      <x:c r="C52" s="2"/>
      <x:c r="D52" s="2"/>
      <x:c r="E52" s="2"/>
      <x:c r="F52" s="2"/>
      <x:c r="G52" s="2"/>
    </x:row>
    <x:row r="53" ht="33" customHeight="1">
      <x:c r="A53" s="6" t="str">
        <x:v>E2</x:v>
      </x:c>
      <x:c r="B53" s="6" t="str">
        <x:v>PLC功能块、驱动状态和目标/反馈的同步Trace。</x:v>
      </x:c>
      <x:c r="C53" s="2"/>
      <x:c r="D53" s="2"/>
      <x:c r="E53" s="2"/>
      <x:c r="F53" s="2"/>
      <x:c r="G53" s="2"/>
    </x:row>
    <x:row r="54" ht="33" customHeight="1">
      <x:c r="A54" s="6" t="str">
        <x:v>E3</x:v>
      </x:c>
      <x:c r="B54" s="6" t="str">
        <x:v>网络、AL、WKC、同步、SDO诊断及抓包。</x:v>
      </x:c>
      <x:c r="C54" s="2"/>
      <x:c r="D54" s="2"/>
      <x:c r="E54" s="2"/>
      <x:c r="F54" s="2"/>
      <x:c r="G54" s="2"/>
    </x:row>
    <x:row r="55" ht="36" customHeight="1">
      <x:c r="A55" s="6" t="str">
        <x:v>E4</x:v>
      </x:c>
      <x:c r="B55" s="6" t="str">
        <x:v>机械测量、停机时间/距离、输入与制动时序。失联后不得用缓存PDO证明机械已停止。</x:v>
      </x:c>
      <x:c r="C55" s="2"/>
      <x:c r="D55" s="2"/>
      <x:c r="E55" s="2"/>
      <x:c r="F55" s="2"/>
      <x:c r="G55" s="2"/>
    </x:row>
    <x:row r="56" ht="33" customHeight="1">
      <x:c r="A56" s="6" t="str">
        <x:v>E5</x:v>
      </x:c>
      <x:c r="B56" s="6" t="str">
        <x:v>发布包、备份迁移与支持演练记录。</x:v>
      </x:c>
      <x:c r="C56" s="2"/>
      <x:c r="D56" s="2"/>
      <x:c r="E56" s="2"/>
      <x:c r="F56" s="2"/>
      <x:c r="G56" s="2"/>
    </x:row>
    <x:row r="57" ht="36" customHeight="1">
      <x:c r="A57" s="6" t="str">
        <x:v>资料来源</x:v>
      </x:c>
      <x:c r="B57" s="6" t="str">
        <x:v>原验收checklist v0.1（2026-09-11），109项按原ID完整转入。品牌清单由项目方于2026-09-14指定。</x:v>
      </x:c>
      <x:c r="C57" s="2"/>
      <x:c r="D57" s="2"/>
      <x:c r="E57" s="2"/>
      <x:c r="F57" s="2"/>
      <x:c r="G57" s="2"/>
    </x:row>
  </x:sheetData>
  <x:pageMargins left="0.7" right="0.7" top="0.75" bottom="0.75" header="0.3" footer="0.3"/>
</x:worksheet>
</file>